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7A2D7E96-6E34-419A-AE5F-296B3A7E7977}"/>
  <workbookPr filterPrivacy="1" codeName="ThisWorkbook" defaultThemeVersion="124226"/>
  <bookViews>
    <workbookView xWindow="12285" yWindow="1230" windowWidth="12915" windowHeight="6000"/>
  </bookViews>
  <sheets>
    <sheet name="6.0-RDB通讯协议" sheetId="9" r:id="rId1"/>
    <sheet name="6.0故障码解析" sheetId="8" r:id="rId2"/>
  </sheets>
  <externalReferences>
    <externalReference r:id="rId3"/>
  </externalReferences>
  <definedNames>
    <definedName name="_xlnm._FilterDatabase" localSheetId="0" hidden="1">'6.0-RDB通讯协议'!$A$1:$W$264</definedName>
    <definedName name="_xlnm._FilterDatabase" localSheetId="1" hidden="1">'6.0故障码解析'!$A$1:$D$539</definedName>
    <definedName name="_xlnm.Print_Titles" localSheetId="0">'6.0-RDB通讯协议'!$1:$1</definedName>
  </definedNames>
  <calcPr calcId="145621"/>
</workbook>
</file>

<file path=xl/calcChain.xml><?xml version="1.0" encoding="utf-8"?>
<calcChain xmlns="http://schemas.openxmlformats.org/spreadsheetml/2006/main">
  <c r="S264" i="9" l="1"/>
  <c r="R264" i="9"/>
  <c r="E264" i="9"/>
  <c r="S263" i="9"/>
  <c r="R263" i="9"/>
  <c r="E263" i="9"/>
  <c r="C263" i="9" s="1"/>
  <c r="S262" i="9"/>
  <c r="R262" i="9"/>
  <c r="E262" i="9"/>
  <c r="I262" i="9" s="1"/>
  <c r="S261" i="9"/>
  <c r="R261" i="9"/>
  <c r="E261" i="9"/>
  <c r="H261" i="9" s="1"/>
  <c r="S260" i="9"/>
  <c r="R260" i="9"/>
  <c r="E260" i="9"/>
  <c r="H260" i="9" s="1"/>
  <c r="S259" i="9"/>
  <c r="R259" i="9"/>
  <c r="E259" i="9"/>
  <c r="S258" i="9"/>
  <c r="R258" i="9"/>
  <c r="E258" i="9"/>
  <c r="I258" i="9" s="1"/>
  <c r="S257" i="9"/>
  <c r="R257" i="9"/>
  <c r="E257" i="9"/>
  <c r="H257" i="9" s="1"/>
  <c r="S256" i="9"/>
  <c r="R256" i="9"/>
  <c r="E256" i="9"/>
  <c r="I256" i="9" s="1"/>
  <c r="S255" i="9"/>
  <c r="R255" i="9"/>
  <c r="E255" i="9"/>
  <c r="I255" i="9" s="1"/>
  <c r="S254" i="9"/>
  <c r="R254" i="9"/>
  <c r="E254" i="9"/>
  <c r="I254" i="9" s="1"/>
  <c r="S253" i="9"/>
  <c r="R253" i="9"/>
  <c r="E253" i="9"/>
  <c r="S252" i="9"/>
  <c r="R252" i="9"/>
  <c r="E252" i="9"/>
  <c r="H252" i="9" s="1"/>
  <c r="S251" i="9"/>
  <c r="R251" i="9"/>
  <c r="E251" i="9"/>
  <c r="S250" i="9"/>
  <c r="R250" i="9"/>
  <c r="E250" i="9"/>
  <c r="S249" i="9"/>
  <c r="R249" i="9"/>
  <c r="E249" i="9"/>
  <c r="C249" i="9" s="1"/>
  <c r="S248" i="9"/>
  <c r="R248" i="9"/>
  <c r="E248" i="9"/>
  <c r="D248" i="9" s="1"/>
  <c r="S247" i="9"/>
  <c r="R247" i="9"/>
  <c r="E247" i="9"/>
  <c r="C247" i="9" s="1"/>
  <c r="S246" i="9"/>
  <c r="R246" i="9"/>
  <c r="E246" i="9"/>
  <c r="F246" i="9" s="1"/>
  <c r="S245" i="9"/>
  <c r="R245" i="9"/>
  <c r="E245" i="9"/>
  <c r="S244" i="9"/>
  <c r="R244" i="9"/>
  <c r="E244" i="9"/>
  <c r="S243" i="9"/>
  <c r="R243" i="9"/>
  <c r="E243" i="9"/>
  <c r="C243" i="9" s="1"/>
  <c r="S242" i="9"/>
  <c r="R242" i="9"/>
  <c r="E242" i="9"/>
  <c r="I242" i="9" s="1"/>
  <c r="S241" i="9"/>
  <c r="R241" i="9"/>
  <c r="E241" i="9"/>
  <c r="S240" i="9"/>
  <c r="R240" i="9"/>
  <c r="E240" i="9"/>
  <c r="S239" i="9"/>
  <c r="R239" i="9"/>
  <c r="E239" i="9"/>
  <c r="S238" i="9"/>
  <c r="R238" i="9"/>
  <c r="E238" i="9"/>
  <c r="I238" i="9" s="1"/>
  <c r="S237" i="9"/>
  <c r="R237" i="9"/>
  <c r="E237" i="9"/>
  <c r="S236" i="9"/>
  <c r="R236" i="9"/>
  <c r="E236" i="9"/>
  <c r="F236" i="9" s="1"/>
  <c r="S235" i="9"/>
  <c r="R235" i="9"/>
  <c r="E235" i="9"/>
  <c r="S234" i="9"/>
  <c r="R234" i="9"/>
  <c r="E234" i="9"/>
  <c r="D234" i="9" s="1"/>
  <c r="S233" i="9"/>
  <c r="R233" i="9"/>
  <c r="E233" i="9"/>
  <c r="S232" i="9"/>
  <c r="R232" i="9"/>
  <c r="E232" i="9"/>
  <c r="D232" i="9" s="1"/>
  <c r="S231" i="9"/>
  <c r="R231" i="9"/>
  <c r="E231" i="9"/>
  <c r="F231" i="9" s="1"/>
  <c r="S230" i="9"/>
  <c r="R230" i="9"/>
  <c r="E230" i="9"/>
  <c r="S229" i="9"/>
  <c r="R229" i="9"/>
  <c r="E229" i="9"/>
  <c r="H229" i="9" s="1"/>
  <c r="S228" i="9"/>
  <c r="R228" i="9"/>
  <c r="E228" i="9"/>
  <c r="H228" i="9" s="1"/>
  <c r="S227" i="9"/>
  <c r="R227" i="9"/>
  <c r="E227" i="9"/>
  <c r="C227" i="9" s="1"/>
  <c r="S226" i="9"/>
  <c r="R226" i="9"/>
  <c r="E226" i="9"/>
  <c r="I226" i="9" s="1"/>
  <c r="S225" i="9"/>
  <c r="R225" i="9"/>
  <c r="E225" i="9"/>
  <c r="S224" i="9"/>
  <c r="R224" i="9"/>
  <c r="E224" i="9"/>
  <c r="I224" i="9" s="1"/>
  <c r="S223" i="9"/>
  <c r="R223" i="9"/>
  <c r="E223" i="9"/>
  <c r="I223" i="9" s="1"/>
  <c r="S222" i="9"/>
  <c r="R222" i="9"/>
  <c r="E222" i="9"/>
  <c r="S221" i="9"/>
  <c r="R221" i="9"/>
  <c r="E221" i="9"/>
  <c r="S220" i="9"/>
  <c r="R220" i="9"/>
  <c r="E220" i="9"/>
  <c r="H220" i="9" s="1"/>
  <c r="S219" i="9"/>
  <c r="R219" i="9"/>
  <c r="E219" i="9"/>
  <c r="S218" i="9"/>
  <c r="R218" i="9"/>
  <c r="E218" i="9"/>
  <c r="I218" i="9" s="1"/>
  <c r="S217" i="9"/>
  <c r="R217" i="9"/>
  <c r="E217" i="9"/>
  <c r="C217" i="9" s="1"/>
  <c r="S216" i="9"/>
  <c r="R216" i="9"/>
  <c r="E216" i="9"/>
  <c r="S215" i="9"/>
  <c r="R215" i="9"/>
  <c r="E215" i="9"/>
  <c r="G215" i="9" s="1"/>
  <c r="S214" i="9"/>
  <c r="R214" i="9"/>
  <c r="E214" i="9"/>
  <c r="S213" i="9"/>
  <c r="R213" i="9"/>
  <c r="E213" i="9"/>
  <c r="S212" i="9"/>
  <c r="R212" i="9"/>
  <c r="E212" i="9"/>
  <c r="S211" i="9"/>
  <c r="R211" i="9"/>
  <c r="E211" i="9"/>
  <c r="S210" i="9"/>
  <c r="R210" i="9"/>
  <c r="E210" i="9"/>
  <c r="C210" i="9" s="1"/>
  <c r="S209" i="9"/>
  <c r="R209" i="9"/>
  <c r="E209" i="9"/>
  <c r="S208" i="9"/>
  <c r="R208" i="9"/>
  <c r="E208" i="9"/>
  <c r="S207" i="9"/>
  <c r="R207" i="9"/>
  <c r="E207" i="9"/>
  <c r="S206" i="9"/>
  <c r="R206" i="9"/>
  <c r="E206" i="9"/>
  <c r="F206" i="9" s="1"/>
  <c r="S205" i="9"/>
  <c r="R205" i="9"/>
  <c r="E205" i="9"/>
  <c r="I205" i="9" s="1"/>
  <c r="S204" i="9"/>
  <c r="R204" i="9"/>
  <c r="E204" i="9"/>
  <c r="C204" i="9" s="1"/>
  <c r="S203" i="9"/>
  <c r="R203" i="9"/>
  <c r="E203" i="9"/>
  <c r="S202" i="9"/>
  <c r="R202" i="9"/>
  <c r="E202" i="9"/>
  <c r="F202" i="9" s="1"/>
  <c r="S201" i="9"/>
  <c r="R201" i="9"/>
  <c r="E201" i="9"/>
  <c r="G201" i="9" s="1"/>
  <c r="S200" i="9"/>
  <c r="R200" i="9"/>
  <c r="E200" i="9"/>
  <c r="C200" i="9" s="1"/>
  <c r="S199" i="9"/>
  <c r="R199" i="9"/>
  <c r="E199" i="9"/>
  <c r="H199" i="9" s="1"/>
  <c r="S198" i="9"/>
  <c r="R198" i="9"/>
  <c r="E198" i="9"/>
  <c r="I198" i="9" s="1"/>
  <c r="S197" i="9"/>
  <c r="R197" i="9"/>
  <c r="E197" i="9"/>
  <c r="G197" i="9" s="1"/>
  <c r="S196" i="9"/>
  <c r="R196" i="9"/>
  <c r="E196" i="9"/>
  <c r="C196" i="9" s="1"/>
  <c r="S195" i="9"/>
  <c r="R195" i="9"/>
  <c r="E195" i="9"/>
  <c r="S194" i="9"/>
  <c r="R194" i="9"/>
  <c r="E194" i="9"/>
  <c r="C194" i="9" s="1"/>
  <c r="S193" i="9"/>
  <c r="R193" i="9"/>
  <c r="E193" i="9"/>
  <c r="G193" i="9" s="1"/>
  <c r="S192" i="9"/>
  <c r="R192" i="9"/>
  <c r="E192" i="9"/>
  <c r="H192" i="9" s="1"/>
  <c r="S191" i="9"/>
  <c r="R191" i="9"/>
  <c r="E191" i="9"/>
  <c r="S190" i="9"/>
  <c r="R190" i="9"/>
  <c r="E190" i="9"/>
  <c r="G190" i="9" s="1"/>
  <c r="S189" i="9"/>
  <c r="R189" i="9"/>
  <c r="E189" i="9"/>
  <c r="G189" i="9" s="1"/>
  <c r="S188" i="9"/>
  <c r="R188" i="9"/>
  <c r="E188" i="9"/>
  <c r="H188" i="9" s="1"/>
  <c r="S187" i="9"/>
  <c r="R187" i="9"/>
  <c r="E187" i="9"/>
  <c r="S186" i="9"/>
  <c r="R186" i="9"/>
  <c r="E186" i="9"/>
  <c r="F186" i="9" s="1"/>
  <c r="S185" i="9"/>
  <c r="R185" i="9"/>
  <c r="E185" i="9"/>
  <c r="D185" i="9" s="1"/>
  <c r="S184" i="9"/>
  <c r="R184" i="9"/>
  <c r="E184" i="9"/>
  <c r="S183" i="9"/>
  <c r="R183" i="9"/>
  <c r="E183" i="9"/>
  <c r="S182" i="9"/>
  <c r="R182" i="9"/>
  <c r="E182" i="9"/>
  <c r="S181" i="9"/>
  <c r="R181" i="9"/>
  <c r="E181" i="9"/>
  <c r="D181" i="9" s="1"/>
  <c r="S180" i="9"/>
  <c r="R180" i="9"/>
  <c r="E180" i="9"/>
  <c r="S179" i="9"/>
  <c r="R179" i="9"/>
  <c r="E179" i="9"/>
  <c r="F179" i="9" s="1"/>
  <c r="S178" i="9"/>
  <c r="R178" i="9"/>
  <c r="E178" i="9"/>
  <c r="C178" i="9" s="1"/>
  <c r="S177" i="9"/>
  <c r="R177" i="9"/>
  <c r="E177" i="9"/>
  <c r="H177" i="9" s="1"/>
  <c r="S176" i="9"/>
  <c r="R176" i="9"/>
  <c r="E176" i="9"/>
  <c r="S175" i="9"/>
  <c r="R175" i="9"/>
  <c r="E175" i="9"/>
  <c r="D175" i="9" s="1"/>
  <c r="S174" i="9"/>
  <c r="R174" i="9"/>
  <c r="E174" i="9"/>
  <c r="S173" i="9"/>
  <c r="R173" i="9"/>
  <c r="E173" i="9"/>
  <c r="D173" i="9" s="1"/>
  <c r="S172" i="9"/>
  <c r="R172" i="9"/>
  <c r="E172" i="9"/>
  <c r="S171" i="9"/>
  <c r="R171" i="9"/>
  <c r="E171" i="9"/>
  <c r="H171" i="9" s="1"/>
  <c r="S170" i="9"/>
  <c r="R170" i="9"/>
  <c r="E170" i="9"/>
  <c r="F170" i="9" s="1"/>
  <c r="S169" i="9"/>
  <c r="R169" i="9"/>
  <c r="E169" i="9"/>
  <c r="S168" i="9"/>
  <c r="R168" i="9"/>
  <c r="E168" i="9"/>
  <c r="H168" i="9" s="1"/>
  <c r="S167" i="9"/>
  <c r="R167" i="9"/>
  <c r="E167" i="9"/>
  <c r="S166" i="9"/>
  <c r="E166" i="9"/>
  <c r="F166" i="9" s="1"/>
  <c r="S165" i="9"/>
  <c r="E165" i="9"/>
  <c r="D165" i="9" s="1"/>
  <c r="S164" i="9"/>
  <c r="E164" i="9"/>
  <c r="H164" i="9" s="1"/>
  <c r="S163" i="9"/>
  <c r="E163" i="9"/>
  <c r="I163" i="9" s="1"/>
  <c r="S162" i="9"/>
  <c r="E162" i="9"/>
  <c r="E161" i="9"/>
  <c r="D161" i="9" s="1"/>
  <c r="E160" i="9"/>
  <c r="C160" i="9" s="1"/>
  <c r="S159" i="9"/>
  <c r="E159" i="9"/>
  <c r="S158" i="9"/>
  <c r="E158" i="9"/>
  <c r="S157" i="9"/>
  <c r="E157" i="9"/>
  <c r="G157" i="9" s="1"/>
  <c r="S156" i="9"/>
  <c r="E156" i="9"/>
  <c r="C156" i="9" s="1"/>
  <c r="S155" i="9"/>
  <c r="E155" i="9"/>
  <c r="D155" i="9" s="1"/>
  <c r="S154" i="9"/>
  <c r="E154" i="9"/>
  <c r="S153" i="9"/>
  <c r="R153" i="9"/>
  <c r="E153" i="9"/>
  <c r="C153" i="9" s="1"/>
  <c r="S152" i="9"/>
  <c r="R152" i="9"/>
  <c r="E152" i="9"/>
  <c r="I152" i="9" s="1"/>
  <c r="S151" i="9"/>
  <c r="R151" i="9"/>
  <c r="E151" i="9"/>
  <c r="S150" i="9"/>
  <c r="R150" i="9"/>
  <c r="E150" i="9"/>
  <c r="S149" i="9"/>
  <c r="R149" i="9"/>
  <c r="E149" i="9"/>
  <c r="D149" i="9" s="1"/>
  <c r="S148" i="9"/>
  <c r="R148" i="9"/>
  <c r="E148" i="9"/>
  <c r="S147" i="9"/>
  <c r="R147" i="9"/>
  <c r="E147" i="9"/>
  <c r="C147" i="9" s="1"/>
  <c r="S146" i="9"/>
  <c r="R146" i="9"/>
  <c r="E146" i="9"/>
  <c r="D146" i="9" s="1"/>
  <c r="S145" i="9"/>
  <c r="R145" i="9"/>
  <c r="E145" i="9"/>
  <c r="G145" i="9" s="1"/>
  <c r="S144" i="9"/>
  <c r="R144" i="9"/>
  <c r="E144" i="9"/>
  <c r="S143" i="9"/>
  <c r="R143" i="9"/>
  <c r="E143" i="9"/>
  <c r="S142" i="9"/>
  <c r="R142" i="9"/>
  <c r="E142" i="9"/>
  <c r="H142" i="9" s="1"/>
  <c r="E141" i="9"/>
  <c r="C141" i="9" s="1"/>
  <c r="E140" i="9"/>
  <c r="D140" i="9" s="1"/>
  <c r="S139" i="9"/>
  <c r="E139" i="9"/>
  <c r="S138" i="9"/>
  <c r="E138" i="9"/>
  <c r="D138" i="9" s="1"/>
  <c r="S137" i="9"/>
  <c r="E137" i="9"/>
  <c r="H137" i="9" s="1"/>
  <c r="S136" i="9"/>
  <c r="R136" i="9"/>
  <c r="E136" i="9"/>
  <c r="S135" i="9"/>
  <c r="R135" i="9"/>
  <c r="E135" i="9"/>
  <c r="D135" i="9" s="1"/>
  <c r="S134" i="9"/>
  <c r="R134" i="9"/>
  <c r="E134" i="9"/>
  <c r="I134" i="9" s="1"/>
  <c r="S133" i="9"/>
  <c r="R133" i="9"/>
  <c r="E133" i="9"/>
  <c r="S132" i="9"/>
  <c r="R132" i="9"/>
  <c r="E132" i="9"/>
  <c r="C132" i="9" s="1"/>
  <c r="S131" i="9"/>
  <c r="R131" i="9"/>
  <c r="E131" i="9"/>
  <c r="D131" i="9" s="1"/>
  <c r="S130" i="9"/>
  <c r="R130" i="9"/>
  <c r="E130" i="9"/>
  <c r="D130" i="9" s="1"/>
  <c r="S129" i="9"/>
  <c r="R129" i="9"/>
  <c r="E129" i="9"/>
  <c r="D129" i="9" s="1"/>
  <c r="S128" i="9"/>
  <c r="R128" i="9"/>
  <c r="E128" i="9"/>
  <c r="H128" i="9" s="1"/>
  <c r="S127" i="9"/>
  <c r="R127" i="9"/>
  <c r="E127" i="9"/>
  <c r="I127" i="9" s="1"/>
  <c r="S126" i="9"/>
  <c r="R126" i="9"/>
  <c r="E126" i="9"/>
  <c r="S125" i="9"/>
  <c r="R125" i="9"/>
  <c r="E125" i="9"/>
  <c r="C125" i="9" s="1"/>
  <c r="R124" i="9"/>
  <c r="E124" i="9"/>
  <c r="S123" i="9"/>
  <c r="R123" i="9"/>
  <c r="E123" i="9"/>
  <c r="S122" i="9"/>
  <c r="R122" i="9"/>
  <c r="E122" i="9"/>
  <c r="F122" i="9" s="1"/>
  <c r="S121" i="9"/>
  <c r="R121" i="9"/>
  <c r="E121" i="9"/>
  <c r="G121" i="9" s="1"/>
  <c r="R120" i="9"/>
  <c r="E120" i="9"/>
  <c r="D120" i="9" s="1"/>
  <c r="S119" i="9"/>
  <c r="R119" i="9"/>
  <c r="E119" i="9"/>
  <c r="S118" i="9"/>
  <c r="R118" i="9"/>
  <c r="E118" i="9"/>
  <c r="S117" i="9"/>
  <c r="R117" i="9"/>
  <c r="E117" i="9"/>
  <c r="S116" i="9"/>
  <c r="R116" i="9"/>
  <c r="E116" i="9"/>
  <c r="F116" i="9" s="1"/>
  <c r="S115" i="9"/>
  <c r="R115" i="9"/>
  <c r="E115" i="9"/>
  <c r="S114" i="9"/>
  <c r="R114" i="9"/>
  <c r="E114" i="9"/>
  <c r="S113" i="9"/>
  <c r="R113" i="9"/>
  <c r="E113" i="9"/>
  <c r="I113" i="9" s="1"/>
  <c r="R112" i="9"/>
  <c r="E112" i="9"/>
  <c r="I112" i="9" s="1"/>
  <c r="S111" i="9"/>
  <c r="R111" i="9"/>
  <c r="E111" i="9"/>
  <c r="I111" i="9" s="1"/>
  <c r="S110" i="9"/>
  <c r="R110" i="9"/>
  <c r="E110" i="9"/>
  <c r="S109" i="9"/>
  <c r="R109" i="9"/>
  <c r="E109" i="9"/>
  <c r="I109" i="9" s="1"/>
  <c r="S108" i="9"/>
  <c r="R108" i="9"/>
  <c r="E108" i="9"/>
  <c r="R107" i="9"/>
  <c r="E107" i="9"/>
  <c r="I107" i="9" s="1"/>
  <c r="S106" i="9"/>
  <c r="R106" i="9"/>
  <c r="E106" i="9"/>
  <c r="E105" i="9"/>
  <c r="S104" i="9"/>
  <c r="R104" i="9"/>
  <c r="E104" i="9"/>
  <c r="H104" i="9" s="1"/>
  <c r="S103" i="9"/>
  <c r="R103" i="9"/>
  <c r="E103" i="9"/>
  <c r="H103" i="9" s="1"/>
  <c r="S102" i="9"/>
  <c r="R102" i="9"/>
  <c r="E102" i="9"/>
  <c r="D102" i="9" s="1"/>
  <c r="S101" i="9"/>
  <c r="R101" i="9"/>
  <c r="E101" i="9"/>
  <c r="I101" i="9" s="1"/>
  <c r="S100" i="9"/>
  <c r="R100" i="9"/>
  <c r="E100" i="9"/>
  <c r="D100" i="9" s="1"/>
  <c r="R99" i="9"/>
  <c r="E99" i="9"/>
  <c r="G99" i="9" s="1"/>
  <c r="S98" i="9"/>
  <c r="R98" i="9"/>
  <c r="E98" i="9"/>
  <c r="D98" i="9" s="1"/>
  <c r="R97" i="9"/>
  <c r="E97" i="9"/>
  <c r="D97" i="9" s="1"/>
  <c r="S96" i="9"/>
  <c r="R96" i="9"/>
  <c r="E96" i="9"/>
  <c r="D96" i="9" s="1"/>
  <c r="S95" i="9"/>
  <c r="R95" i="9"/>
  <c r="E95" i="9"/>
  <c r="I95" i="9" s="1"/>
  <c r="S94" i="9"/>
  <c r="R94" i="9"/>
  <c r="E94" i="9"/>
  <c r="S93" i="9"/>
  <c r="R93" i="9"/>
  <c r="E93" i="9"/>
  <c r="S92" i="9"/>
  <c r="R92" i="9"/>
  <c r="E92" i="9"/>
  <c r="S91" i="9"/>
  <c r="R91" i="9"/>
  <c r="E91" i="9"/>
  <c r="I91" i="9" s="1"/>
  <c r="S90" i="9"/>
  <c r="R90" i="9"/>
  <c r="E90" i="9"/>
  <c r="I90" i="9" s="1"/>
  <c r="S89" i="9"/>
  <c r="R89" i="9"/>
  <c r="E89" i="9"/>
  <c r="G89" i="9" s="1"/>
  <c r="S88" i="9"/>
  <c r="R88" i="9"/>
  <c r="E88" i="9"/>
  <c r="I88" i="9" s="1"/>
  <c r="S87" i="9"/>
  <c r="R87" i="9"/>
  <c r="E87" i="9"/>
  <c r="S86" i="9"/>
  <c r="R86" i="9"/>
  <c r="E86" i="9"/>
  <c r="S85" i="9"/>
  <c r="R85" i="9"/>
  <c r="E85" i="9"/>
  <c r="D85" i="9" s="1"/>
  <c r="S84" i="9"/>
  <c r="R84" i="9"/>
  <c r="E84" i="9"/>
  <c r="S83" i="9"/>
  <c r="R83" i="9"/>
  <c r="E83" i="9"/>
  <c r="I83" i="9" s="1"/>
  <c r="S82" i="9"/>
  <c r="R82" i="9"/>
  <c r="E82" i="9"/>
  <c r="I82" i="9" s="1"/>
  <c r="S81" i="9"/>
  <c r="R81" i="9"/>
  <c r="E81" i="9"/>
  <c r="C81" i="9" s="1"/>
  <c r="S80" i="9"/>
  <c r="R80" i="9"/>
  <c r="E80" i="9"/>
  <c r="I80" i="9" s="1"/>
  <c r="S79" i="9"/>
  <c r="R79" i="9"/>
  <c r="E79" i="9"/>
  <c r="S78" i="9"/>
  <c r="R78" i="9"/>
  <c r="E78" i="9"/>
  <c r="D78" i="9" s="1"/>
  <c r="S77" i="9"/>
  <c r="R77" i="9"/>
  <c r="E77" i="9"/>
  <c r="S76" i="9"/>
  <c r="R76" i="9"/>
  <c r="E76" i="9"/>
  <c r="S75" i="9"/>
  <c r="R75" i="9"/>
  <c r="E75" i="9"/>
  <c r="I75" i="9" s="1"/>
  <c r="S74" i="9"/>
  <c r="R74" i="9"/>
  <c r="E74" i="9"/>
  <c r="H74" i="9" s="1"/>
  <c r="S73" i="9"/>
  <c r="R73" i="9"/>
  <c r="E73" i="9"/>
  <c r="D73" i="9" s="1"/>
  <c r="S72" i="9"/>
  <c r="R72" i="9"/>
  <c r="E72" i="9"/>
  <c r="D72" i="9" s="1"/>
  <c r="R71" i="9"/>
  <c r="E71" i="9"/>
  <c r="D71" i="9" s="1"/>
  <c r="R70" i="9"/>
  <c r="E70" i="9"/>
  <c r="I70" i="9" s="1"/>
  <c r="R69" i="9"/>
  <c r="E69" i="9"/>
  <c r="H69" i="9" s="1"/>
  <c r="R68" i="9"/>
  <c r="E68" i="9"/>
  <c r="I68" i="9" s="1"/>
  <c r="S67" i="9"/>
  <c r="R67" i="9"/>
  <c r="E67" i="9"/>
  <c r="I67" i="9" s="1"/>
  <c r="S66" i="9"/>
  <c r="R66" i="9"/>
  <c r="E66" i="9"/>
  <c r="F66" i="9" s="1"/>
  <c r="S65" i="9"/>
  <c r="R65" i="9"/>
  <c r="E65" i="9"/>
  <c r="S64" i="9"/>
  <c r="R64" i="9"/>
  <c r="E64" i="9"/>
  <c r="I64" i="9" s="1"/>
  <c r="S63" i="9"/>
  <c r="R63" i="9"/>
  <c r="E63" i="9"/>
  <c r="I63" i="9" s="1"/>
  <c r="S62" i="9"/>
  <c r="R62" i="9"/>
  <c r="E62" i="9"/>
  <c r="C62" i="9" s="1"/>
  <c r="S61" i="9"/>
  <c r="R61" i="9"/>
  <c r="E61" i="9"/>
  <c r="D61" i="9" s="1"/>
  <c r="S60" i="9"/>
  <c r="R60" i="9"/>
  <c r="E60" i="9"/>
  <c r="S59" i="9"/>
  <c r="R59" i="9"/>
  <c r="E59" i="9"/>
  <c r="S58" i="9"/>
  <c r="R58" i="9"/>
  <c r="E58" i="9"/>
  <c r="C58" i="9" s="1"/>
  <c r="S57" i="9"/>
  <c r="R57" i="9"/>
  <c r="E57" i="9"/>
  <c r="G57" i="9" s="1"/>
  <c r="S56" i="9"/>
  <c r="R56" i="9"/>
  <c r="E56" i="9"/>
  <c r="S55" i="9"/>
  <c r="R55" i="9"/>
  <c r="E55" i="9"/>
  <c r="I55" i="9" s="1"/>
  <c r="E54" i="9"/>
  <c r="E53" i="9"/>
  <c r="E52" i="9"/>
  <c r="E51" i="9"/>
  <c r="E50" i="9"/>
  <c r="D50" i="9" s="1"/>
  <c r="S49" i="9"/>
  <c r="R49" i="9"/>
  <c r="E49" i="9"/>
  <c r="I49" i="9" s="1"/>
  <c r="S48" i="9"/>
  <c r="R48" i="9"/>
  <c r="E48" i="9"/>
  <c r="I48" i="9" s="1"/>
  <c r="S47" i="9"/>
  <c r="R47" i="9"/>
  <c r="E47" i="9"/>
  <c r="H47" i="9" s="1"/>
  <c r="S46" i="9"/>
  <c r="R46" i="9"/>
  <c r="E46" i="9"/>
  <c r="S45" i="9"/>
  <c r="R45" i="9"/>
  <c r="E45" i="9"/>
  <c r="S44" i="9"/>
  <c r="R44" i="9"/>
  <c r="E44" i="9"/>
  <c r="I44" i="9" s="1"/>
  <c r="S43" i="9"/>
  <c r="R43" i="9"/>
  <c r="E43" i="9"/>
  <c r="C43" i="9" s="1"/>
  <c r="S42" i="9"/>
  <c r="R42" i="9"/>
  <c r="E42" i="9"/>
  <c r="D42" i="9" s="1"/>
  <c r="S41" i="9"/>
  <c r="R41" i="9"/>
  <c r="E41" i="9"/>
  <c r="S40" i="9"/>
  <c r="R40" i="9"/>
  <c r="E40" i="9"/>
  <c r="D40" i="9" s="1"/>
  <c r="S39" i="9"/>
  <c r="R39" i="9"/>
  <c r="E39" i="9"/>
  <c r="D39" i="9" s="1"/>
  <c r="S38" i="9"/>
  <c r="R38" i="9"/>
  <c r="E38" i="9"/>
  <c r="H38" i="9" s="1"/>
  <c r="S37" i="9"/>
  <c r="R37" i="9"/>
  <c r="E37" i="9"/>
  <c r="S36" i="9"/>
  <c r="R36" i="9"/>
  <c r="E36" i="9"/>
  <c r="S35" i="9"/>
  <c r="R35" i="9"/>
  <c r="E35" i="9"/>
  <c r="G35" i="9" s="1"/>
  <c r="S34" i="9"/>
  <c r="R34" i="9"/>
  <c r="E34" i="9"/>
  <c r="D34" i="9" s="1"/>
  <c r="S33" i="9"/>
  <c r="R33" i="9"/>
  <c r="E33" i="9"/>
  <c r="I33" i="9" s="1"/>
  <c r="S32" i="9"/>
  <c r="R32" i="9"/>
  <c r="E32" i="9"/>
  <c r="I32" i="9" s="1"/>
  <c r="S31" i="9"/>
  <c r="R31" i="9"/>
  <c r="E31" i="9"/>
  <c r="S30" i="9"/>
  <c r="R30" i="9"/>
  <c r="E30" i="9"/>
  <c r="S29" i="9"/>
  <c r="R29" i="9"/>
  <c r="E29" i="9"/>
  <c r="S28" i="9"/>
  <c r="R28" i="9"/>
  <c r="E28" i="9"/>
  <c r="H28" i="9" s="1"/>
  <c r="S27" i="9"/>
  <c r="R27" i="9"/>
  <c r="E27" i="9"/>
  <c r="F27" i="9" s="1"/>
  <c r="S26" i="9"/>
  <c r="R26" i="9"/>
  <c r="E26" i="9"/>
  <c r="D26" i="9" s="1"/>
  <c r="S25" i="9"/>
  <c r="R25" i="9"/>
  <c r="E25" i="9"/>
  <c r="F25" i="9" s="1"/>
  <c r="S24" i="9"/>
  <c r="R24" i="9"/>
  <c r="E24" i="9"/>
  <c r="G24" i="9" s="1"/>
  <c r="S23" i="9"/>
  <c r="R23" i="9"/>
  <c r="E23" i="9"/>
  <c r="F23" i="9" s="1"/>
  <c r="S22" i="9"/>
  <c r="R22" i="9"/>
  <c r="E22" i="9"/>
  <c r="D22" i="9" s="1"/>
  <c r="S21" i="9"/>
  <c r="R21" i="9"/>
  <c r="E21" i="9"/>
  <c r="S20" i="9"/>
  <c r="R20" i="9"/>
  <c r="E20" i="9"/>
  <c r="G20" i="9" s="1"/>
  <c r="S19" i="9"/>
  <c r="R19" i="9"/>
  <c r="E19" i="9"/>
  <c r="F19" i="9" s="1"/>
  <c r="S18" i="9"/>
  <c r="R18" i="9"/>
  <c r="E18" i="9"/>
  <c r="D18" i="9" s="1"/>
  <c r="S17" i="9"/>
  <c r="R17" i="9"/>
  <c r="E17" i="9"/>
  <c r="I17" i="9" s="1"/>
  <c r="S16" i="9"/>
  <c r="R16" i="9"/>
  <c r="E16" i="9"/>
  <c r="H16" i="9" s="1"/>
  <c r="S15" i="9"/>
  <c r="R15" i="9"/>
  <c r="E15" i="9"/>
  <c r="F15" i="9" s="1"/>
  <c r="S14" i="9"/>
  <c r="R14" i="9"/>
  <c r="E14" i="9"/>
  <c r="D14" i="9" s="1"/>
  <c r="S13" i="9"/>
  <c r="R13" i="9"/>
  <c r="E13" i="9"/>
  <c r="S12" i="9"/>
  <c r="R12" i="9"/>
  <c r="E12" i="9"/>
  <c r="S11" i="9"/>
  <c r="R11" i="9"/>
  <c r="E11" i="9"/>
  <c r="F11" i="9" s="1"/>
  <c r="S10" i="9"/>
  <c r="R10" i="9"/>
  <c r="E10" i="9"/>
  <c r="H10" i="9" s="1"/>
  <c r="S9" i="9"/>
  <c r="R9" i="9"/>
  <c r="E9" i="9"/>
  <c r="F9" i="9" s="1"/>
  <c r="S8" i="9"/>
  <c r="R8" i="9"/>
  <c r="E8" i="9"/>
  <c r="H8" i="9" s="1"/>
  <c r="S7" i="9"/>
  <c r="R7" i="9"/>
  <c r="E7" i="9"/>
  <c r="F7" i="9" s="1"/>
  <c r="S6" i="9"/>
  <c r="R6" i="9"/>
  <c r="E6" i="9"/>
  <c r="D6" i="9" s="1"/>
  <c r="S5" i="9"/>
  <c r="R5" i="9"/>
  <c r="E5" i="9"/>
  <c r="S4" i="9"/>
  <c r="R4" i="9"/>
  <c r="E4" i="9"/>
  <c r="G4" i="9" s="1"/>
  <c r="S3" i="9"/>
  <c r="R3" i="9"/>
  <c r="E3" i="9"/>
  <c r="F3" i="9" s="1"/>
  <c r="S2" i="9"/>
  <c r="R2" i="9"/>
  <c r="E2" i="9"/>
  <c r="D2" i="9" s="1"/>
  <c r="C258" i="9" l="1"/>
  <c r="C47" i="9"/>
  <c r="D58" i="9"/>
  <c r="D90" i="9"/>
  <c r="D27" i="9"/>
  <c r="C28" i="9"/>
  <c r="C192" i="9"/>
  <c r="C226" i="9"/>
  <c r="C16" i="9"/>
  <c r="D35" i="9"/>
  <c r="C44" i="9"/>
  <c r="D142" i="9"/>
  <c r="H44" i="9"/>
  <c r="D242" i="9"/>
  <c r="D44" i="9"/>
  <c r="C103" i="9"/>
  <c r="D104" i="9"/>
  <c r="H242" i="9"/>
  <c r="D3" i="9"/>
  <c r="D4" i="9"/>
  <c r="D32" i="9"/>
  <c r="D74" i="9"/>
  <c r="D88" i="9"/>
  <c r="D163" i="9"/>
  <c r="D168" i="9"/>
  <c r="D177" i="9"/>
  <c r="G238" i="9"/>
  <c r="C242" i="9"/>
  <c r="G205" i="9"/>
  <c r="H236" i="9"/>
  <c r="H226" i="9"/>
  <c r="D19" i="9"/>
  <c r="D20" i="9"/>
  <c r="G44" i="9"/>
  <c r="D69" i="9"/>
  <c r="D82" i="9"/>
  <c r="H90" i="9"/>
  <c r="C142" i="9"/>
  <c r="I165" i="9"/>
  <c r="C205" i="9"/>
  <c r="G242" i="9"/>
  <c r="G258" i="9"/>
  <c r="G40" i="9"/>
  <c r="G3" i="9"/>
  <c r="H19" i="9"/>
  <c r="H82" i="9"/>
  <c r="F90" i="9"/>
  <c r="H99" i="9"/>
  <c r="C111" i="9"/>
  <c r="G111" i="9"/>
  <c r="I161" i="9"/>
  <c r="C3" i="9"/>
  <c r="H3" i="9"/>
  <c r="D8" i="9"/>
  <c r="C19" i="9"/>
  <c r="D23" i="9"/>
  <c r="D24" i="9"/>
  <c r="D48" i="9"/>
  <c r="I69" i="9"/>
  <c r="C82" i="9"/>
  <c r="C90" i="9"/>
  <c r="G90" i="9"/>
  <c r="C99" i="9"/>
  <c r="D109" i="9"/>
  <c r="D111" i="9"/>
  <c r="H111" i="9"/>
  <c r="D125" i="9"/>
  <c r="C161" i="9"/>
  <c r="H166" i="9"/>
  <c r="C170" i="9"/>
  <c r="C188" i="9"/>
  <c r="C189" i="9"/>
  <c r="C190" i="9"/>
  <c r="F205" i="9"/>
  <c r="C206" i="9"/>
  <c r="C223" i="9"/>
  <c r="F238" i="9"/>
  <c r="F242" i="9"/>
  <c r="I247" i="9"/>
  <c r="H248" i="9"/>
  <c r="F111" i="9"/>
  <c r="H161" i="9"/>
  <c r="G255" i="9"/>
  <c r="G11" i="9"/>
  <c r="G15" i="9"/>
  <c r="G130" i="9"/>
  <c r="H146" i="9"/>
  <c r="I147" i="9"/>
  <c r="G156" i="9"/>
  <c r="G173" i="9"/>
  <c r="G181" i="9"/>
  <c r="F198" i="9"/>
  <c r="F218" i="9"/>
  <c r="F220" i="9"/>
  <c r="G231" i="9"/>
  <c r="H234" i="9"/>
  <c r="F262" i="9"/>
  <c r="H7" i="9"/>
  <c r="I22" i="9"/>
  <c r="G43" i="9"/>
  <c r="G62" i="9"/>
  <c r="C7" i="9"/>
  <c r="C11" i="9"/>
  <c r="H11" i="9"/>
  <c r="C15" i="9"/>
  <c r="H15" i="9"/>
  <c r="H20" i="9"/>
  <c r="G27" i="9"/>
  <c r="G32" i="9"/>
  <c r="C39" i="9"/>
  <c r="H43" i="9"/>
  <c r="G48" i="9"/>
  <c r="H58" i="9"/>
  <c r="H62" i="9"/>
  <c r="H125" i="9"/>
  <c r="C129" i="9"/>
  <c r="I130" i="9"/>
  <c r="H155" i="9"/>
  <c r="C181" i="9"/>
  <c r="H181" i="9"/>
  <c r="F190" i="9"/>
  <c r="G198" i="9"/>
  <c r="G206" i="9"/>
  <c r="G218" i="9"/>
  <c r="I231" i="9"/>
  <c r="G262" i="9"/>
  <c r="D7" i="9"/>
  <c r="D11" i="9"/>
  <c r="D15" i="9"/>
  <c r="G19" i="9"/>
  <c r="C20" i="9"/>
  <c r="C27" i="9"/>
  <c r="H27" i="9"/>
  <c r="C32" i="9"/>
  <c r="H32" i="9"/>
  <c r="C48" i="9"/>
  <c r="H48" i="9"/>
  <c r="G82" i="9"/>
  <c r="C121" i="9"/>
  <c r="D153" i="9"/>
  <c r="H165" i="9"/>
  <c r="H185" i="9"/>
  <c r="I190" i="9"/>
  <c r="C197" i="9"/>
  <c r="C198" i="9"/>
  <c r="C218" i="9"/>
  <c r="G226" i="9"/>
  <c r="F254" i="9"/>
  <c r="F255" i="9"/>
  <c r="F258" i="9"/>
  <c r="F31" i="9"/>
  <c r="D31" i="9"/>
  <c r="I36" i="9"/>
  <c r="D36" i="9"/>
  <c r="F93" i="9"/>
  <c r="C93" i="9"/>
  <c r="I106" i="9"/>
  <c r="D106" i="9"/>
  <c r="F81" i="9"/>
  <c r="D81" i="9"/>
  <c r="G106" i="9"/>
  <c r="I132" i="9"/>
  <c r="G160" i="9"/>
  <c r="I173" i="9"/>
  <c r="F173" i="9"/>
  <c r="C185" i="9"/>
  <c r="F193" i="9"/>
  <c r="H201" i="9"/>
  <c r="G263" i="9"/>
  <c r="F263" i="9"/>
  <c r="I52" i="9"/>
  <c r="D52" i="9"/>
  <c r="I157" i="9"/>
  <c r="F157" i="9"/>
  <c r="G36" i="9"/>
  <c r="H52" i="9"/>
  <c r="F61" i="9"/>
  <c r="H61" i="9"/>
  <c r="C61" i="9"/>
  <c r="F73" i="9"/>
  <c r="C73" i="9"/>
  <c r="G81" i="9"/>
  <c r="F98" i="9"/>
  <c r="H98" i="9"/>
  <c r="C98" i="9"/>
  <c r="H144" i="9"/>
  <c r="D144" i="9"/>
  <c r="C201" i="9"/>
  <c r="D216" i="9"/>
  <c r="I216" i="9"/>
  <c r="G222" i="9"/>
  <c r="C222" i="9"/>
  <c r="D225" i="9"/>
  <c r="I225" i="9"/>
  <c r="C225" i="9"/>
  <c r="I230" i="9"/>
  <c r="H230" i="9"/>
  <c r="D230" i="9"/>
  <c r="G230" i="9"/>
  <c r="C230" i="9"/>
  <c r="I250" i="9"/>
  <c r="C250" i="9"/>
  <c r="G250" i="9"/>
  <c r="F252" i="9"/>
  <c r="I263" i="9"/>
  <c r="H123" i="9"/>
  <c r="I123" i="9"/>
  <c r="F152" i="9"/>
  <c r="H152" i="9"/>
  <c r="I193" i="9"/>
  <c r="H193" i="9"/>
  <c r="D193" i="9"/>
  <c r="F239" i="9"/>
  <c r="I239" i="9"/>
  <c r="G239" i="9"/>
  <c r="D257" i="9"/>
  <c r="C257" i="9"/>
  <c r="I257" i="9"/>
  <c r="H6" i="9"/>
  <c r="G31" i="9"/>
  <c r="G52" i="9"/>
  <c r="I78" i="9"/>
  <c r="F78" i="9"/>
  <c r="H93" i="9"/>
  <c r="H100" i="9"/>
  <c r="F101" i="9"/>
  <c r="F103" i="9"/>
  <c r="D103" i="9"/>
  <c r="G8" i="9"/>
  <c r="F17" i="9"/>
  <c r="G23" i="9"/>
  <c r="H31" i="9"/>
  <c r="H36" i="9"/>
  <c r="F39" i="9"/>
  <c r="G39" i="9"/>
  <c r="F47" i="9"/>
  <c r="D47" i="9"/>
  <c r="I58" i="9"/>
  <c r="F58" i="9"/>
  <c r="I60" i="9"/>
  <c r="D60" i="9"/>
  <c r="G78" i="9"/>
  <c r="H106" i="9"/>
  <c r="I137" i="9"/>
  <c r="D137" i="9"/>
  <c r="G141" i="9"/>
  <c r="I141" i="9"/>
  <c r="I142" i="9"/>
  <c r="F142" i="9"/>
  <c r="I153" i="9"/>
  <c r="C157" i="9"/>
  <c r="H157" i="9"/>
  <c r="G7" i="9"/>
  <c r="C8" i="9"/>
  <c r="I9" i="9"/>
  <c r="H22" i="9"/>
  <c r="C23" i="9"/>
  <c r="H23" i="9"/>
  <c r="C31" i="9"/>
  <c r="F35" i="9"/>
  <c r="H35" i="9"/>
  <c r="C35" i="9"/>
  <c r="C36" i="9"/>
  <c r="H39" i="9"/>
  <c r="I40" i="9"/>
  <c r="H40" i="9"/>
  <c r="C40" i="9"/>
  <c r="I41" i="9"/>
  <c r="F41" i="9"/>
  <c r="F43" i="9"/>
  <c r="D43" i="9"/>
  <c r="G47" i="9"/>
  <c r="C52" i="9"/>
  <c r="G58" i="9"/>
  <c r="G61" i="9"/>
  <c r="I62" i="9"/>
  <c r="D62" i="9"/>
  <c r="D68" i="9"/>
  <c r="H73" i="9"/>
  <c r="C78" i="9"/>
  <c r="H78" i="9"/>
  <c r="H81" i="9"/>
  <c r="D93" i="9"/>
  <c r="I96" i="9"/>
  <c r="G98" i="9"/>
  <c r="I99" i="9"/>
  <c r="D99" i="9"/>
  <c r="C106" i="9"/>
  <c r="I118" i="9"/>
  <c r="D118" i="9"/>
  <c r="D123" i="9"/>
  <c r="F125" i="9"/>
  <c r="G125" i="9"/>
  <c r="F134" i="9"/>
  <c r="D134" i="9"/>
  <c r="F137" i="9"/>
  <c r="I138" i="9"/>
  <c r="F141" i="9"/>
  <c r="G142" i="9"/>
  <c r="I144" i="9"/>
  <c r="D152" i="9"/>
  <c r="F156" i="9"/>
  <c r="D157" i="9"/>
  <c r="C173" i="9"/>
  <c r="H173" i="9"/>
  <c r="H179" i="9"/>
  <c r="I181" i="9"/>
  <c r="F181" i="9"/>
  <c r="I183" i="9"/>
  <c r="D183" i="9"/>
  <c r="G185" i="9"/>
  <c r="C186" i="9"/>
  <c r="C193" i="9"/>
  <c r="D201" i="9"/>
  <c r="H210" i="9"/>
  <c r="I215" i="9"/>
  <c r="H216" i="9"/>
  <c r="F222" i="9"/>
  <c r="G223" i="9"/>
  <c r="F223" i="9"/>
  <c r="H225" i="9"/>
  <c r="F230" i="9"/>
  <c r="I234" i="9"/>
  <c r="G234" i="9"/>
  <c r="C234" i="9"/>
  <c r="F234" i="9"/>
  <c r="C239" i="9"/>
  <c r="I246" i="9"/>
  <c r="H246" i="9"/>
  <c r="D246" i="9"/>
  <c r="G246" i="9"/>
  <c r="C246" i="9"/>
  <c r="F250" i="9"/>
  <c r="C202" i="9"/>
  <c r="D205" i="9"/>
  <c r="H205" i="9"/>
  <c r="D218" i="9"/>
  <c r="H218" i="9"/>
  <c r="D226" i="9"/>
  <c r="C231" i="9"/>
  <c r="C238" i="9"/>
  <c r="D258" i="9"/>
  <c r="H258" i="9"/>
  <c r="C262" i="9"/>
  <c r="F110" i="9"/>
  <c r="D110" i="9"/>
  <c r="H110" i="9"/>
  <c r="C110" i="9"/>
  <c r="F124" i="9"/>
  <c r="H124" i="9"/>
  <c r="C124" i="9"/>
  <c r="D124" i="9"/>
  <c r="G151" i="9"/>
  <c r="F151" i="9"/>
  <c r="I169" i="9"/>
  <c r="H169" i="9"/>
  <c r="D169" i="9"/>
  <c r="C169" i="9"/>
  <c r="G169" i="9"/>
  <c r="I209" i="9"/>
  <c r="D209" i="9"/>
  <c r="H209" i="9"/>
  <c r="I16" i="9"/>
  <c r="F16" i="9"/>
  <c r="I28" i="9"/>
  <c r="F28" i="9"/>
  <c r="F77" i="9"/>
  <c r="D77" i="9"/>
  <c r="H77" i="9"/>
  <c r="C77" i="9"/>
  <c r="F115" i="9"/>
  <c r="H115" i="9"/>
  <c r="C115" i="9"/>
  <c r="G115" i="9"/>
  <c r="I126" i="9"/>
  <c r="F126" i="9"/>
  <c r="D126" i="9"/>
  <c r="H126" i="9"/>
  <c r="C126" i="9"/>
  <c r="I159" i="9"/>
  <c r="G159" i="9"/>
  <c r="C159" i="9"/>
  <c r="H159" i="9"/>
  <c r="F159" i="9"/>
  <c r="F174" i="9"/>
  <c r="C174" i="9"/>
  <c r="I174" i="9"/>
  <c r="I12" i="9"/>
  <c r="F12" i="9"/>
  <c r="D46" i="9"/>
  <c r="I46" i="9"/>
  <c r="D54" i="9"/>
  <c r="I54" i="9"/>
  <c r="F119" i="9"/>
  <c r="G119" i="9"/>
  <c r="D119" i="9"/>
  <c r="C119" i="9"/>
  <c r="I133" i="9"/>
  <c r="D133" i="9"/>
  <c r="H139" i="9"/>
  <c r="D139" i="9"/>
  <c r="I139" i="9"/>
  <c r="I150" i="9"/>
  <c r="F150" i="9"/>
  <c r="D150" i="9"/>
  <c r="H150" i="9"/>
  <c r="C150" i="9"/>
  <c r="I154" i="9"/>
  <c r="F154" i="9"/>
  <c r="H154" i="9"/>
  <c r="C154" i="9"/>
  <c r="G154" i="9"/>
  <c r="H221" i="9"/>
  <c r="G221" i="9"/>
  <c r="C221" i="9"/>
  <c r="C12" i="9"/>
  <c r="H12" i="9"/>
  <c r="I14" i="9"/>
  <c r="I25" i="9"/>
  <c r="D30" i="9"/>
  <c r="I30" i="9"/>
  <c r="F53" i="9"/>
  <c r="D53" i="9"/>
  <c r="H53" i="9"/>
  <c r="C53" i="9"/>
  <c r="F65" i="9"/>
  <c r="H65" i="9"/>
  <c r="C65" i="9"/>
  <c r="G65" i="9"/>
  <c r="I86" i="9"/>
  <c r="H86" i="9"/>
  <c r="D86" i="9"/>
  <c r="G86" i="9"/>
  <c r="C86" i="9"/>
  <c r="I94" i="9"/>
  <c r="G94" i="9"/>
  <c r="C94" i="9"/>
  <c r="F94" i="9"/>
  <c r="I158" i="9"/>
  <c r="F158" i="9"/>
  <c r="D158" i="9"/>
  <c r="H158" i="9"/>
  <c r="C158" i="9"/>
  <c r="I4" i="9"/>
  <c r="F4" i="9"/>
  <c r="D10" i="9"/>
  <c r="D12" i="9"/>
  <c r="G16" i="9"/>
  <c r="I24" i="9"/>
  <c r="F24" i="9"/>
  <c r="G28" i="9"/>
  <c r="H30" i="9"/>
  <c r="F49" i="9"/>
  <c r="G53" i="9"/>
  <c r="I74" i="9"/>
  <c r="G74" i="9"/>
  <c r="C74" i="9"/>
  <c r="F74" i="9"/>
  <c r="G77" i="9"/>
  <c r="F85" i="9"/>
  <c r="H85" i="9"/>
  <c r="C85" i="9"/>
  <c r="G85" i="9"/>
  <c r="F86" i="9"/>
  <c r="H94" i="9"/>
  <c r="F97" i="9"/>
  <c r="H97" i="9"/>
  <c r="C97" i="9"/>
  <c r="G97" i="9"/>
  <c r="I100" i="9"/>
  <c r="G100" i="9"/>
  <c r="C100" i="9"/>
  <c r="F100" i="9"/>
  <c r="I104" i="9"/>
  <c r="G104" i="9"/>
  <c r="C104" i="9"/>
  <c r="F104" i="9"/>
  <c r="G126" i="9"/>
  <c r="D154" i="9"/>
  <c r="G158" i="9"/>
  <c r="G174" i="9"/>
  <c r="F182" i="9"/>
  <c r="G182" i="9"/>
  <c r="C182" i="9"/>
  <c r="I182" i="9"/>
  <c r="G180" i="9"/>
  <c r="C180" i="9"/>
  <c r="I211" i="9"/>
  <c r="F211" i="9"/>
  <c r="C211" i="9"/>
  <c r="C253" i="9"/>
  <c r="H253" i="9"/>
  <c r="G253" i="9"/>
  <c r="C4" i="9"/>
  <c r="H4" i="9"/>
  <c r="I6" i="9"/>
  <c r="I8" i="9"/>
  <c r="F8" i="9"/>
  <c r="G12" i="9"/>
  <c r="H14" i="9"/>
  <c r="D16" i="9"/>
  <c r="I20" i="9"/>
  <c r="F20" i="9"/>
  <c r="C24" i="9"/>
  <c r="H24" i="9"/>
  <c r="D28" i="9"/>
  <c r="F33" i="9"/>
  <c r="D38" i="9"/>
  <c r="I38" i="9"/>
  <c r="H46" i="9"/>
  <c r="H54" i="9"/>
  <c r="F57" i="9"/>
  <c r="D57" i="9"/>
  <c r="H57" i="9"/>
  <c r="C57" i="9"/>
  <c r="D65" i="9"/>
  <c r="I66" i="9"/>
  <c r="H66" i="9"/>
  <c r="D66" i="9"/>
  <c r="G66" i="9"/>
  <c r="C66" i="9"/>
  <c r="I72" i="9"/>
  <c r="D80" i="9"/>
  <c r="F89" i="9"/>
  <c r="D89" i="9"/>
  <c r="H89" i="9"/>
  <c r="C89" i="9"/>
  <c r="D94" i="9"/>
  <c r="G110" i="9"/>
  <c r="D115" i="9"/>
  <c r="I116" i="9"/>
  <c r="H116" i="9"/>
  <c r="D116" i="9"/>
  <c r="G116" i="9"/>
  <c r="C116" i="9"/>
  <c r="H119" i="9"/>
  <c r="I120" i="9"/>
  <c r="G120" i="9"/>
  <c r="C120" i="9"/>
  <c r="H120" i="9"/>
  <c r="F120" i="9"/>
  <c r="G124" i="9"/>
  <c r="G128" i="9"/>
  <c r="D128" i="9"/>
  <c r="I131" i="9"/>
  <c r="G131" i="9"/>
  <c r="C131" i="9"/>
  <c r="H131" i="9"/>
  <c r="F131" i="9"/>
  <c r="I135" i="9"/>
  <c r="G135" i="9"/>
  <c r="C135" i="9"/>
  <c r="H135" i="9"/>
  <c r="F135" i="9"/>
  <c r="F139" i="9"/>
  <c r="F145" i="9"/>
  <c r="H145" i="9"/>
  <c r="C145" i="9"/>
  <c r="D145" i="9"/>
  <c r="I145" i="9"/>
  <c r="G150" i="9"/>
  <c r="D159" i="9"/>
  <c r="F169" i="9"/>
  <c r="I214" i="9"/>
  <c r="F214" i="9"/>
  <c r="G214" i="9"/>
  <c r="D214" i="9"/>
  <c r="H214" i="9"/>
  <c r="C214" i="9"/>
  <c r="I241" i="9"/>
  <c r="D241" i="9"/>
  <c r="H241" i="9"/>
  <c r="I121" i="9"/>
  <c r="H121" i="9"/>
  <c r="D121" i="9"/>
  <c r="F129" i="9"/>
  <c r="G129" i="9"/>
  <c r="I146" i="9"/>
  <c r="G146" i="9"/>
  <c r="C146" i="9"/>
  <c r="F153" i="9"/>
  <c r="G153" i="9"/>
  <c r="I155" i="9"/>
  <c r="G155" i="9"/>
  <c r="C155" i="9"/>
  <c r="I160" i="9"/>
  <c r="H160" i="9"/>
  <c r="D160" i="9"/>
  <c r="F177" i="9"/>
  <c r="F189" i="9"/>
  <c r="G194" i="9"/>
  <c r="F194" i="9"/>
  <c r="I197" i="9"/>
  <c r="H197" i="9"/>
  <c r="D197" i="9"/>
  <c r="I210" i="9"/>
  <c r="F210" i="9"/>
  <c r="H237" i="9"/>
  <c r="G237" i="9"/>
  <c r="F32" i="9"/>
  <c r="F36" i="9"/>
  <c r="F40" i="9"/>
  <c r="F44" i="9"/>
  <c r="F48" i="9"/>
  <c r="F52" i="9"/>
  <c r="F62" i="9"/>
  <c r="G73" i="9"/>
  <c r="F82" i="9"/>
  <c r="G93" i="9"/>
  <c r="F99" i="9"/>
  <c r="G103" i="9"/>
  <c r="F106" i="9"/>
  <c r="F121" i="9"/>
  <c r="H129" i="9"/>
  <c r="F130" i="9"/>
  <c r="H130" i="9"/>
  <c r="C130" i="9"/>
  <c r="G132" i="9"/>
  <c r="F144" i="9"/>
  <c r="F146" i="9"/>
  <c r="I149" i="9"/>
  <c r="H153" i="9"/>
  <c r="F155" i="9"/>
  <c r="I156" i="9"/>
  <c r="H156" i="9"/>
  <c r="D156" i="9"/>
  <c r="F160" i="9"/>
  <c r="F161" i="9"/>
  <c r="G161" i="9"/>
  <c r="I168" i="9"/>
  <c r="C168" i="9"/>
  <c r="I178" i="9"/>
  <c r="I185" i="9"/>
  <c r="F185" i="9"/>
  <c r="I194" i="9"/>
  <c r="F197" i="9"/>
  <c r="I201" i="9"/>
  <c r="F201" i="9"/>
  <c r="I206" i="9"/>
  <c r="G210" i="9"/>
  <c r="F215" i="9"/>
  <c r="I227" i="9"/>
  <c r="F227" i="9"/>
  <c r="I232" i="9"/>
  <c r="H232" i="9"/>
  <c r="G247" i="9"/>
  <c r="F247" i="9"/>
  <c r="D264" i="9"/>
  <c r="I264" i="9"/>
  <c r="H264" i="9"/>
  <c r="I177" i="9"/>
  <c r="G177" i="9"/>
  <c r="C177" i="9"/>
  <c r="G186" i="9"/>
  <c r="I186" i="9"/>
  <c r="I189" i="9"/>
  <c r="H189" i="9"/>
  <c r="D189" i="9"/>
  <c r="G202" i="9"/>
  <c r="I202" i="9"/>
  <c r="I208" i="9"/>
  <c r="C208" i="9"/>
  <c r="D210" i="9"/>
  <c r="C215" i="9"/>
  <c r="I222" i="9"/>
  <c r="H222" i="9"/>
  <c r="D222" i="9"/>
  <c r="C237" i="9"/>
  <c r="I243" i="9"/>
  <c r="F243" i="9"/>
  <c r="I259" i="9"/>
  <c r="C259" i="9"/>
  <c r="F259" i="9"/>
  <c r="D238" i="9"/>
  <c r="H238" i="9"/>
  <c r="I248" i="9"/>
  <c r="D250" i="9"/>
  <c r="H250" i="9"/>
  <c r="C254" i="9"/>
  <c r="G254" i="9"/>
  <c r="C255" i="9"/>
  <c r="D262" i="9"/>
  <c r="H262" i="9"/>
  <c r="F226" i="9"/>
  <c r="D254" i="9"/>
  <c r="H254" i="9"/>
  <c r="G76" i="9"/>
  <c r="C76" i="9"/>
  <c r="F76" i="9"/>
  <c r="H79" i="9"/>
  <c r="D79" i="9"/>
  <c r="G79" i="9"/>
  <c r="C79" i="9"/>
  <c r="G84" i="9"/>
  <c r="C84" i="9"/>
  <c r="F84" i="9"/>
  <c r="H87" i="9"/>
  <c r="D87" i="9"/>
  <c r="G87" i="9"/>
  <c r="C87" i="9"/>
  <c r="G92" i="9"/>
  <c r="C92" i="9"/>
  <c r="F92" i="9"/>
  <c r="H108" i="9"/>
  <c r="D108" i="9"/>
  <c r="G108" i="9"/>
  <c r="C108" i="9"/>
  <c r="G114" i="9"/>
  <c r="C114" i="9"/>
  <c r="F114" i="9"/>
  <c r="H117" i="9"/>
  <c r="D117" i="9"/>
  <c r="G117" i="9"/>
  <c r="C117" i="9"/>
  <c r="G212" i="9"/>
  <c r="C212" i="9"/>
  <c r="I212" i="9"/>
  <c r="D212" i="9"/>
  <c r="F212" i="9"/>
  <c r="H212" i="9"/>
  <c r="H13" i="9"/>
  <c r="D13" i="9"/>
  <c r="G13" i="9"/>
  <c r="C13" i="9"/>
  <c r="G18" i="9"/>
  <c r="C18" i="9"/>
  <c r="F18" i="9"/>
  <c r="H21" i="9"/>
  <c r="D21" i="9"/>
  <c r="G21" i="9"/>
  <c r="C21" i="9"/>
  <c r="G34" i="9"/>
  <c r="C34" i="9"/>
  <c r="F34" i="9"/>
  <c r="H37" i="9"/>
  <c r="D37" i="9"/>
  <c r="G37" i="9"/>
  <c r="C37" i="9"/>
  <c r="G71" i="9"/>
  <c r="C71" i="9"/>
  <c r="F71" i="9"/>
  <c r="H84" i="9"/>
  <c r="F87" i="9"/>
  <c r="H92" i="9"/>
  <c r="F95" i="9"/>
  <c r="G102" i="9"/>
  <c r="C102" i="9"/>
  <c r="F102" i="9"/>
  <c r="H105" i="9"/>
  <c r="D105" i="9"/>
  <c r="G105" i="9"/>
  <c r="C105" i="9"/>
  <c r="F107" i="9"/>
  <c r="F108" i="9"/>
  <c r="F13" i="9"/>
  <c r="F21" i="9"/>
  <c r="H34" i="9"/>
  <c r="F37" i="9"/>
  <c r="G60" i="9"/>
  <c r="C60" i="9"/>
  <c r="F60" i="9"/>
  <c r="H63" i="9"/>
  <c r="D63" i="9"/>
  <c r="G63" i="9"/>
  <c r="C63" i="9"/>
  <c r="H71" i="9"/>
  <c r="G72" i="9"/>
  <c r="C72" i="9"/>
  <c r="F72" i="9"/>
  <c r="H75" i="9"/>
  <c r="D75" i="9"/>
  <c r="G75" i="9"/>
  <c r="C75" i="9"/>
  <c r="I76" i="9"/>
  <c r="I79" i="9"/>
  <c r="G80" i="9"/>
  <c r="C80" i="9"/>
  <c r="F80" i="9"/>
  <c r="H83" i="9"/>
  <c r="D83" i="9"/>
  <c r="G83" i="9"/>
  <c r="C83" i="9"/>
  <c r="I84" i="9"/>
  <c r="I87" i="9"/>
  <c r="G88" i="9"/>
  <c r="C88" i="9"/>
  <c r="F88" i="9"/>
  <c r="H91" i="9"/>
  <c r="D91" i="9"/>
  <c r="G91" i="9"/>
  <c r="C91" i="9"/>
  <c r="I92" i="9"/>
  <c r="G96" i="9"/>
  <c r="C96" i="9"/>
  <c r="F96" i="9"/>
  <c r="H102" i="9"/>
  <c r="F105" i="9"/>
  <c r="I108" i="9"/>
  <c r="G109" i="9"/>
  <c r="C109" i="9"/>
  <c r="F109" i="9"/>
  <c r="H112" i="9"/>
  <c r="D112" i="9"/>
  <c r="G112" i="9"/>
  <c r="C112" i="9"/>
  <c r="H113" i="9"/>
  <c r="D113" i="9"/>
  <c r="G113" i="9"/>
  <c r="C113" i="9"/>
  <c r="I114" i="9"/>
  <c r="I117" i="9"/>
  <c r="G118" i="9"/>
  <c r="C118" i="9"/>
  <c r="F118" i="9"/>
  <c r="G148" i="9"/>
  <c r="C148" i="9"/>
  <c r="H148" i="9"/>
  <c r="D148" i="9"/>
  <c r="I148" i="9"/>
  <c r="F148" i="9"/>
  <c r="G167" i="9"/>
  <c r="C167" i="9"/>
  <c r="F167" i="9"/>
  <c r="D167" i="9"/>
  <c r="H167" i="9"/>
  <c r="I167" i="9"/>
  <c r="F176" i="9"/>
  <c r="G176" i="9"/>
  <c r="D176" i="9"/>
  <c r="I176" i="9"/>
  <c r="C176" i="9"/>
  <c r="H176" i="9"/>
  <c r="G207" i="9"/>
  <c r="C207" i="9"/>
  <c r="I207" i="9"/>
  <c r="D207" i="9"/>
  <c r="F207" i="9"/>
  <c r="H207" i="9"/>
  <c r="H235" i="9"/>
  <c r="D235" i="9"/>
  <c r="G235" i="9"/>
  <c r="C235" i="9"/>
  <c r="F235" i="9"/>
  <c r="I235" i="9"/>
  <c r="H51" i="9"/>
  <c r="D51" i="9"/>
  <c r="G51" i="9"/>
  <c r="C51" i="9"/>
  <c r="G56" i="9"/>
  <c r="C56" i="9"/>
  <c r="F56" i="9"/>
  <c r="H59" i="9"/>
  <c r="D59" i="9"/>
  <c r="C59" i="9"/>
  <c r="G59" i="9"/>
  <c r="G64" i="9"/>
  <c r="C64" i="9"/>
  <c r="F64" i="9"/>
  <c r="H67" i="9"/>
  <c r="D67" i="9"/>
  <c r="G67" i="9"/>
  <c r="C67" i="9"/>
  <c r="G70" i="9"/>
  <c r="C70" i="9"/>
  <c r="F70" i="9"/>
  <c r="H95" i="9"/>
  <c r="D95" i="9"/>
  <c r="G95" i="9"/>
  <c r="C95" i="9"/>
  <c r="H107" i="9"/>
  <c r="D107" i="9"/>
  <c r="G107" i="9"/>
  <c r="C107" i="9"/>
  <c r="F172" i="9"/>
  <c r="I172" i="9"/>
  <c r="D172" i="9"/>
  <c r="C172" i="9"/>
  <c r="H172" i="9"/>
  <c r="G172" i="9"/>
  <c r="G203" i="9"/>
  <c r="C203" i="9"/>
  <c r="F203" i="9"/>
  <c r="I203" i="9"/>
  <c r="D203" i="9"/>
  <c r="H203" i="9"/>
  <c r="G244" i="9"/>
  <c r="C244" i="9"/>
  <c r="I244" i="9"/>
  <c r="D244" i="9"/>
  <c r="F244" i="9"/>
  <c r="H244" i="9"/>
  <c r="G2" i="9"/>
  <c r="C2" i="9"/>
  <c r="F2" i="9"/>
  <c r="H5" i="9"/>
  <c r="D5" i="9"/>
  <c r="G5" i="9"/>
  <c r="C5" i="9"/>
  <c r="G10" i="9"/>
  <c r="C10" i="9"/>
  <c r="F10" i="9"/>
  <c r="G26" i="9"/>
  <c r="C26" i="9"/>
  <c r="F26" i="9"/>
  <c r="H29" i="9"/>
  <c r="D29" i="9"/>
  <c r="G29" i="9"/>
  <c r="C29" i="9"/>
  <c r="G42" i="9"/>
  <c r="C42" i="9"/>
  <c r="F42" i="9"/>
  <c r="H45" i="9"/>
  <c r="D45" i="9"/>
  <c r="C45" i="9"/>
  <c r="G45" i="9"/>
  <c r="G50" i="9"/>
  <c r="C50" i="9"/>
  <c r="F50" i="9"/>
  <c r="F51" i="9"/>
  <c r="H56" i="9"/>
  <c r="F59" i="9"/>
  <c r="H64" i="9"/>
  <c r="F67" i="9"/>
  <c r="H70" i="9"/>
  <c r="H76" i="9"/>
  <c r="F79" i="9"/>
  <c r="H114" i="9"/>
  <c r="F117" i="9"/>
  <c r="H122" i="9"/>
  <c r="D122" i="9"/>
  <c r="G122" i="9"/>
  <c r="C122" i="9"/>
  <c r="H127" i="9"/>
  <c r="D127" i="9"/>
  <c r="G127" i="9"/>
  <c r="C127" i="9"/>
  <c r="F127" i="9"/>
  <c r="H136" i="9"/>
  <c r="D136" i="9"/>
  <c r="I136" i="9"/>
  <c r="C136" i="9"/>
  <c r="G136" i="9"/>
  <c r="F136" i="9"/>
  <c r="H2" i="9"/>
  <c r="F5" i="9"/>
  <c r="H18" i="9"/>
  <c r="H26" i="9"/>
  <c r="F29" i="9"/>
  <c r="H42" i="9"/>
  <c r="F45" i="9"/>
  <c r="H50" i="9"/>
  <c r="I51" i="9"/>
  <c r="H55" i="9"/>
  <c r="D55" i="9"/>
  <c r="G55" i="9"/>
  <c r="C55" i="9"/>
  <c r="I56" i="9"/>
  <c r="I59" i="9"/>
  <c r="G68" i="9"/>
  <c r="C68" i="9"/>
  <c r="F68" i="9"/>
  <c r="I2" i="9"/>
  <c r="I5" i="9"/>
  <c r="G6" i="9"/>
  <c r="C6" i="9"/>
  <c r="F6" i="9"/>
  <c r="H9" i="9"/>
  <c r="D9" i="9"/>
  <c r="G9" i="9"/>
  <c r="C9" i="9"/>
  <c r="I10" i="9"/>
  <c r="I13" i="9"/>
  <c r="G14" i="9"/>
  <c r="C14" i="9"/>
  <c r="F14" i="9"/>
  <c r="H17" i="9"/>
  <c r="D17" i="9"/>
  <c r="G17" i="9"/>
  <c r="C17" i="9"/>
  <c r="I18" i="9"/>
  <c r="I21" i="9"/>
  <c r="G22" i="9"/>
  <c r="C22" i="9"/>
  <c r="F22" i="9"/>
  <c r="H25" i="9"/>
  <c r="D25" i="9"/>
  <c r="G25" i="9"/>
  <c r="C25" i="9"/>
  <c r="I26" i="9"/>
  <c r="I29" i="9"/>
  <c r="G30" i="9"/>
  <c r="C30" i="9"/>
  <c r="F30" i="9"/>
  <c r="H33" i="9"/>
  <c r="D33" i="9"/>
  <c r="G33" i="9"/>
  <c r="C33" i="9"/>
  <c r="I34" i="9"/>
  <c r="I37" i="9"/>
  <c r="G38" i="9"/>
  <c r="C38" i="9"/>
  <c r="F38" i="9"/>
  <c r="H41" i="9"/>
  <c r="D41" i="9"/>
  <c r="G41" i="9"/>
  <c r="C41" i="9"/>
  <c r="I42" i="9"/>
  <c r="I45" i="9"/>
  <c r="G46" i="9"/>
  <c r="C46" i="9"/>
  <c r="F46" i="9"/>
  <c r="H49" i="9"/>
  <c r="D49" i="9"/>
  <c r="G49" i="9"/>
  <c r="C49" i="9"/>
  <c r="I50" i="9"/>
  <c r="G54" i="9"/>
  <c r="C54" i="9"/>
  <c r="F54" i="9"/>
  <c r="F55" i="9"/>
  <c r="D56" i="9"/>
  <c r="H60" i="9"/>
  <c r="F63" i="9"/>
  <c r="D64" i="9"/>
  <c r="H68" i="9"/>
  <c r="G69" i="9"/>
  <c r="C69" i="9"/>
  <c r="F69" i="9"/>
  <c r="D70" i="9"/>
  <c r="I71" i="9"/>
  <c r="H72" i="9"/>
  <c r="F75" i="9"/>
  <c r="D76" i="9"/>
  <c r="H80" i="9"/>
  <c r="F83" i="9"/>
  <c r="D84" i="9"/>
  <c r="H88" i="9"/>
  <c r="F91" i="9"/>
  <c r="D92" i="9"/>
  <c r="H96" i="9"/>
  <c r="H101" i="9"/>
  <c r="D101" i="9"/>
  <c r="G101" i="9"/>
  <c r="C101" i="9"/>
  <c r="I102" i="9"/>
  <c r="I105" i="9"/>
  <c r="H109" i="9"/>
  <c r="F112" i="9"/>
  <c r="F113" i="9"/>
  <c r="D114" i="9"/>
  <c r="H118" i="9"/>
  <c r="I122" i="9"/>
  <c r="G123" i="9"/>
  <c r="C123" i="9"/>
  <c r="F123" i="9"/>
  <c r="F184" i="9"/>
  <c r="I184" i="9"/>
  <c r="D184" i="9"/>
  <c r="G184" i="9"/>
  <c r="C184" i="9"/>
  <c r="H184" i="9"/>
  <c r="F213" i="9"/>
  <c r="I213" i="9"/>
  <c r="D213" i="9"/>
  <c r="C213" i="9"/>
  <c r="G213" i="9"/>
  <c r="H213" i="9"/>
  <c r="F233" i="9"/>
  <c r="G233" i="9"/>
  <c r="H233" i="9"/>
  <c r="D233" i="9"/>
  <c r="C233" i="9"/>
  <c r="I233" i="9"/>
  <c r="F245" i="9"/>
  <c r="I245" i="9"/>
  <c r="D245" i="9"/>
  <c r="C245" i="9"/>
  <c r="G245" i="9"/>
  <c r="H245" i="9"/>
  <c r="I128" i="9"/>
  <c r="G175" i="9"/>
  <c r="C175" i="9"/>
  <c r="F175" i="9"/>
  <c r="G195" i="9"/>
  <c r="C195" i="9"/>
  <c r="F195" i="9"/>
  <c r="I195" i="9"/>
  <c r="D195" i="9"/>
  <c r="F204" i="9"/>
  <c r="G204" i="9"/>
  <c r="I204" i="9"/>
  <c r="D204" i="9"/>
  <c r="G240" i="9"/>
  <c r="C240" i="9"/>
  <c r="F240" i="9"/>
  <c r="D240" i="9"/>
  <c r="H240" i="9"/>
  <c r="I23" i="9"/>
  <c r="I27" i="9"/>
  <c r="I43" i="9"/>
  <c r="I77" i="9"/>
  <c r="I85" i="9"/>
  <c r="I93" i="9"/>
  <c r="I98" i="9"/>
  <c r="I110" i="9"/>
  <c r="I119" i="9"/>
  <c r="I124" i="9"/>
  <c r="I125" i="9"/>
  <c r="F149" i="9"/>
  <c r="H149" i="9"/>
  <c r="C149" i="9"/>
  <c r="G163" i="9"/>
  <c r="C163" i="9"/>
  <c r="F163" i="9"/>
  <c r="H178" i="9"/>
  <c r="D178" i="9"/>
  <c r="G178" i="9"/>
  <c r="G183" i="9"/>
  <c r="C183" i="9"/>
  <c r="F183" i="9"/>
  <c r="G187" i="9"/>
  <c r="C187" i="9"/>
  <c r="F187" i="9"/>
  <c r="I187" i="9"/>
  <c r="D187" i="9"/>
  <c r="G191" i="9"/>
  <c r="C191" i="9"/>
  <c r="I191" i="9"/>
  <c r="D191" i="9"/>
  <c r="F191" i="9"/>
  <c r="H195" i="9"/>
  <c r="F196" i="9"/>
  <c r="G196" i="9"/>
  <c r="I196" i="9"/>
  <c r="D196" i="9"/>
  <c r="F200" i="9"/>
  <c r="I200" i="9"/>
  <c r="D200" i="9"/>
  <c r="G200" i="9"/>
  <c r="H204" i="9"/>
  <c r="F217" i="9"/>
  <c r="G217" i="9"/>
  <c r="D217" i="9"/>
  <c r="H217" i="9"/>
  <c r="H219" i="9"/>
  <c r="D219" i="9"/>
  <c r="G219" i="9"/>
  <c r="F219" i="9"/>
  <c r="C219" i="9"/>
  <c r="I240" i="9"/>
  <c r="F249" i="9"/>
  <c r="G249" i="9"/>
  <c r="D249" i="9"/>
  <c r="H249" i="9"/>
  <c r="H251" i="9"/>
  <c r="D251" i="9"/>
  <c r="G251" i="9"/>
  <c r="F251" i="9"/>
  <c r="C251" i="9"/>
  <c r="G133" i="9"/>
  <c r="C133" i="9"/>
  <c r="G138" i="9"/>
  <c r="C138" i="9"/>
  <c r="G140" i="9"/>
  <c r="C140" i="9"/>
  <c r="F140" i="9"/>
  <c r="H143" i="9"/>
  <c r="D143" i="9"/>
  <c r="I143" i="9"/>
  <c r="C143" i="9"/>
  <c r="G162" i="9"/>
  <c r="C162" i="9"/>
  <c r="I162" i="9"/>
  <c r="D162" i="9"/>
  <c r="H170" i="9"/>
  <c r="D170" i="9"/>
  <c r="G170" i="9"/>
  <c r="F180" i="9"/>
  <c r="I180" i="9"/>
  <c r="D180" i="9"/>
  <c r="G199" i="9"/>
  <c r="C199" i="9"/>
  <c r="I199" i="9"/>
  <c r="D199" i="9"/>
  <c r="F199" i="9"/>
  <c r="G208" i="9"/>
  <c r="F208" i="9"/>
  <c r="D208" i="9"/>
  <c r="H208" i="9"/>
  <c r="I3" i="9"/>
  <c r="I7" i="9"/>
  <c r="I11" i="9"/>
  <c r="I15" i="9"/>
  <c r="I19" i="9"/>
  <c r="I31" i="9"/>
  <c r="I35" i="9"/>
  <c r="I39" i="9"/>
  <c r="I47" i="9"/>
  <c r="I53" i="9"/>
  <c r="I57" i="9"/>
  <c r="I61" i="9"/>
  <c r="I65" i="9"/>
  <c r="I73" i="9"/>
  <c r="I81" i="9"/>
  <c r="I89" i="9"/>
  <c r="I97" i="9"/>
  <c r="I103" i="9"/>
  <c r="I115" i="9"/>
  <c r="F128" i="9"/>
  <c r="I129" i="9"/>
  <c r="H132" i="9"/>
  <c r="D132" i="9"/>
  <c r="F133" i="9"/>
  <c r="G134" i="9"/>
  <c r="F138" i="9"/>
  <c r="H140" i="9"/>
  <c r="F143" i="9"/>
  <c r="H147" i="9"/>
  <c r="D147" i="9"/>
  <c r="F147" i="9"/>
  <c r="F162" i="9"/>
  <c r="G164" i="9"/>
  <c r="C164" i="9"/>
  <c r="I164" i="9"/>
  <c r="D164" i="9"/>
  <c r="G171" i="9"/>
  <c r="C171" i="9"/>
  <c r="I171" i="9"/>
  <c r="D171" i="9"/>
  <c r="H175" i="9"/>
  <c r="C128" i="9"/>
  <c r="F132" i="9"/>
  <c r="H133" i="9"/>
  <c r="C134" i="9"/>
  <c r="H134" i="9"/>
  <c r="G137" i="9"/>
  <c r="C137" i="9"/>
  <c r="H138" i="9"/>
  <c r="G139" i="9"/>
  <c r="C139" i="9"/>
  <c r="I140" i="9"/>
  <c r="G143" i="9"/>
  <c r="G147" i="9"/>
  <c r="G149" i="9"/>
  <c r="H151" i="9"/>
  <c r="D151" i="9"/>
  <c r="I151" i="9"/>
  <c r="C151" i="9"/>
  <c r="H162" i="9"/>
  <c r="H163" i="9"/>
  <c r="F164" i="9"/>
  <c r="G165" i="9"/>
  <c r="C165" i="9"/>
  <c r="F165" i="9"/>
  <c r="G166" i="9"/>
  <c r="C166" i="9"/>
  <c r="I166" i="9"/>
  <c r="D166" i="9"/>
  <c r="F168" i="9"/>
  <c r="G168" i="9"/>
  <c r="I170" i="9"/>
  <c r="F171" i="9"/>
  <c r="I175" i="9"/>
  <c r="F178" i="9"/>
  <c r="G179" i="9"/>
  <c r="C179" i="9"/>
  <c r="I179" i="9"/>
  <c r="D179" i="9"/>
  <c r="H180" i="9"/>
  <c r="H183" i="9"/>
  <c r="H187" i="9"/>
  <c r="F188" i="9"/>
  <c r="G188" i="9"/>
  <c r="I188" i="9"/>
  <c r="D188" i="9"/>
  <c r="H191" i="9"/>
  <c r="F192" i="9"/>
  <c r="I192" i="9"/>
  <c r="D192" i="9"/>
  <c r="G192" i="9"/>
  <c r="H196" i="9"/>
  <c r="H200" i="9"/>
  <c r="I217" i="9"/>
  <c r="I219" i="9"/>
  <c r="G224" i="9"/>
  <c r="C224" i="9"/>
  <c r="F224" i="9"/>
  <c r="H224" i="9"/>
  <c r="D224" i="9"/>
  <c r="G228" i="9"/>
  <c r="C228" i="9"/>
  <c r="I228" i="9"/>
  <c r="D228" i="9"/>
  <c r="F228" i="9"/>
  <c r="F229" i="9"/>
  <c r="I229" i="9"/>
  <c r="D229" i="9"/>
  <c r="G229" i="9"/>
  <c r="C229" i="9"/>
  <c r="I249" i="9"/>
  <c r="I251" i="9"/>
  <c r="G256" i="9"/>
  <c r="C256" i="9"/>
  <c r="F256" i="9"/>
  <c r="H256" i="9"/>
  <c r="D256" i="9"/>
  <c r="G260" i="9"/>
  <c r="C260" i="9"/>
  <c r="I260" i="9"/>
  <c r="D260" i="9"/>
  <c r="F260" i="9"/>
  <c r="F261" i="9"/>
  <c r="I261" i="9"/>
  <c r="D261" i="9"/>
  <c r="G261" i="9"/>
  <c r="C261" i="9"/>
  <c r="H141" i="9"/>
  <c r="D141" i="9"/>
  <c r="G144" i="9"/>
  <c r="C144" i="9"/>
  <c r="G152" i="9"/>
  <c r="C152" i="9"/>
  <c r="H174" i="9"/>
  <c r="D174" i="9"/>
  <c r="H182" i="9"/>
  <c r="D182" i="9"/>
  <c r="H190" i="9"/>
  <c r="D190" i="9"/>
  <c r="H198" i="9"/>
  <c r="D198" i="9"/>
  <c r="H206" i="9"/>
  <c r="D206" i="9"/>
  <c r="C209" i="9"/>
  <c r="H211" i="9"/>
  <c r="D211" i="9"/>
  <c r="G211" i="9"/>
  <c r="G216" i="9"/>
  <c r="C216" i="9"/>
  <c r="F216" i="9"/>
  <c r="F221" i="9"/>
  <c r="I221" i="9"/>
  <c r="D221" i="9"/>
  <c r="F225" i="9"/>
  <c r="G225" i="9"/>
  <c r="G236" i="9"/>
  <c r="C236" i="9"/>
  <c r="I236" i="9"/>
  <c r="D236" i="9"/>
  <c r="C241" i="9"/>
  <c r="H243" i="9"/>
  <c r="D243" i="9"/>
  <c r="G243" i="9"/>
  <c r="G248" i="9"/>
  <c r="C248" i="9"/>
  <c r="F248" i="9"/>
  <c r="F253" i="9"/>
  <c r="I253" i="9"/>
  <c r="D253" i="9"/>
  <c r="F257" i="9"/>
  <c r="G257" i="9"/>
  <c r="H186" i="9"/>
  <c r="D186" i="9"/>
  <c r="H194" i="9"/>
  <c r="D194" i="9"/>
  <c r="H202" i="9"/>
  <c r="D202" i="9"/>
  <c r="F209" i="9"/>
  <c r="G209" i="9"/>
  <c r="G220" i="9"/>
  <c r="C220" i="9"/>
  <c r="I220" i="9"/>
  <c r="D220" i="9"/>
  <c r="H227" i="9"/>
  <c r="D227" i="9"/>
  <c r="G227" i="9"/>
  <c r="G232" i="9"/>
  <c r="C232" i="9"/>
  <c r="F232" i="9"/>
  <c r="F237" i="9"/>
  <c r="I237" i="9"/>
  <c r="D237" i="9"/>
  <c r="F241" i="9"/>
  <c r="G241" i="9"/>
  <c r="G252" i="9"/>
  <c r="C252" i="9"/>
  <c r="I252" i="9"/>
  <c r="D252" i="9"/>
  <c r="H259" i="9"/>
  <c r="D259" i="9"/>
  <c r="G259" i="9"/>
  <c r="G264" i="9"/>
  <c r="C264" i="9"/>
  <c r="H215" i="9"/>
  <c r="D215" i="9"/>
  <c r="H223" i="9"/>
  <c r="D223" i="9"/>
  <c r="H231" i="9"/>
  <c r="D231" i="9"/>
  <c r="H239" i="9"/>
  <c r="D239" i="9"/>
  <c r="H247" i="9"/>
  <c r="D247" i="9"/>
  <c r="H255" i="9"/>
  <c r="D255" i="9"/>
  <c r="H263" i="9"/>
  <c r="D263" i="9"/>
  <c r="F264" i="9"/>
</calcChain>
</file>

<file path=xl/comments1.xml><?xml version="1.0" encoding="utf-8"?>
<comments xmlns="http://schemas.openxmlformats.org/spreadsheetml/2006/main">
  <authors>
    <author>作者</author>
  </authors>
  <commentList>
    <comment ref="U145" authorId="0">
      <text>
        <r>
          <rPr>
            <b/>
            <sz val="9"/>
            <color indexed="81"/>
            <rFont val="宋体"/>
            <family val="3"/>
            <charset val="134"/>
          </rPr>
          <t>作者:</t>
        </r>
        <r>
          <rPr>
            <sz val="9"/>
            <color indexed="81"/>
            <rFont val="宋体"/>
            <family val="3"/>
            <charset val="134"/>
          </rPr>
          <t xml:space="preserve">
直流充电请求充电机充电电压
ScCHCS_ReqDCChrgVolt</t>
        </r>
      </text>
    </comment>
    <comment ref="U191" authorId="0">
      <text>
        <r>
          <rPr>
            <b/>
            <sz val="9"/>
            <color indexed="81"/>
            <rFont val="宋体"/>
            <family val="3"/>
            <charset val="134"/>
          </rPr>
          <t>作者:</t>
        </r>
        <r>
          <rPr>
            <sz val="9"/>
            <color indexed="81"/>
            <rFont val="宋体"/>
            <family val="3"/>
            <charset val="134"/>
          </rPr>
          <t xml:space="preserve">
直流充电请求充电机充电电流
ScCHCS_ReqDCChrgCurr</t>
        </r>
      </text>
    </comment>
  </commentList>
</comments>
</file>

<file path=xl/sharedStrings.xml><?xml version="1.0" encoding="utf-8"?>
<sst xmlns="http://schemas.openxmlformats.org/spreadsheetml/2006/main" count="2253" uniqueCount="1172">
  <si>
    <t>正常</t>
  </si>
  <si>
    <t>并联支路累加和压差过大报警</t>
  </si>
  <si>
    <t>内侧高压回路断路故障</t>
  </si>
  <si>
    <t xml:space="preserve">高压互锁故障 </t>
  </si>
  <si>
    <t>绝缘测量故障</t>
  </si>
  <si>
    <t>电池自我保护标志 0-未激活；1-激活</t>
  </si>
  <si>
    <t>单体电压值无效</t>
  </si>
  <si>
    <t>支路1电流传感器故障</t>
  </si>
  <si>
    <t>支路2电流传感器故障</t>
  </si>
  <si>
    <t>支路3电流传感器故障</t>
  </si>
  <si>
    <t>支路4电流传感器故障</t>
  </si>
  <si>
    <t>强制下电故障</t>
  </si>
  <si>
    <t>充电强制断开继电器标志位</t>
  </si>
  <si>
    <t>均衡回路开路</t>
  </si>
  <si>
    <t>均衡回路短路</t>
  </si>
  <si>
    <t>均衡电路过温</t>
  </si>
  <si>
    <t>预充超时故障</t>
  </si>
  <si>
    <t>预充负载短路故障</t>
  </si>
  <si>
    <t>预充电流过大故障</t>
  </si>
  <si>
    <t>ＴＭＳ水冷机组故障</t>
  </si>
  <si>
    <t>加热膜故障</t>
  </si>
  <si>
    <t>CC2丢失标志位</t>
  </si>
  <si>
    <t>CSC数据丢失</t>
  </si>
  <si>
    <t>充电故障：直流充电机故障</t>
  </si>
  <si>
    <t>直流充电通讯故障</t>
  </si>
  <si>
    <t>交流充电机通讯故障</t>
  </si>
  <si>
    <t>The warning flag of the pack DCR difference out of the limit</t>
  </si>
  <si>
    <t>The fault flag of the pack DCR difference out of the limit</t>
  </si>
  <si>
    <t>高压互锁供电电压异常</t>
  </si>
  <si>
    <t>RTC供电电池电量低</t>
  </si>
  <si>
    <t xml:space="preserve"> RTC芯片失效 </t>
  </si>
  <si>
    <t>RTC掉电标志位</t>
  </si>
  <si>
    <t>交流充电插座NTC短路/断路故障</t>
  </si>
  <si>
    <t>直流充电枪1充电插座NTC短路/断路故障</t>
  </si>
  <si>
    <t>直流充电枪2充电插座NTC短路/断路故障</t>
  </si>
  <si>
    <t>直流充电枪1充电插座NTC1短地故障</t>
  </si>
  <si>
    <t>直流充电枪1充电插座NTC1开路故障</t>
  </si>
  <si>
    <t>直流充电枪1充电插座NTC2短地故障</t>
  </si>
  <si>
    <t>直流充电枪1充电插座NTC2开路故障</t>
  </si>
  <si>
    <t>直流充电枪2充电插座NTC1短地故障</t>
  </si>
  <si>
    <t>直流充电枪2充电插座NTC1开路故障</t>
  </si>
  <si>
    <t>直流充电枪2充电插座NTC2短地故障</t>
  </si>
  <si>
    <t>直流充电枪2充电插座NTC2开路故障</t>
  </si>
  <si>
    <t>交流充电插座NTC短地故障</t>
  </si>
  <si>
    <t>交流充电插座NTC开路故障</t>
  </si>
  <si>
    <t>火灾预报警 0-未激活；1-激活</t>
  </si>
  <si>
    <t>电芯单体过压报警 1-一级报警</t>
    <phoneticPr fontId="5" type="noConversion"/>
  </si>
  <si>
    <t>电芯单体过压报警 2-二级报警</t>
    <phoneticPr fontId="5" type="noConversion"/>
  </si>
  <si>
    <t>电芯单体欠压报警 1-一级报警</t>
    <phoneticPr fontId="5" type="noConversion"/>
  </si>
  <si>
    <t>电芯单体欠压报警 2-二级报警</t>
    <phoneticPr fontId="5" type="noConversion"/>
  </si>
  <si>
    <t>单体压差过大报警，1-一级报警</t>
    <phoneticPr fontId="5" type="noConversion"/>
  </si>
  <si>
    <t>单体压差过大报警，3-三级报警</t>
    <phoneticPr fontId="5" type="noConversion"/>
  </si>
  <si>
    <t>绝缘阻值过低告警等级 1:一级报警</t>
    <phoneticPr fontId="5" type="noConversion"/>
  </si>
  <si>
    <t>绝缘阻值过低告警等级 2:二级报警</t>
    <phoneticPr fontId="5" type="noConversion"/>
  </si>
  <si>
    <t>低温加热状态机（test) 1：初始化模式</t>
    <phoneticPr fontId="5" type="noConversion"/>
  </si>
  <si>
    <t>低温加热状态机（test) 2：准备模式</t>
    <phoneticPr fontId="5" type="noConversion"/>
  </si>
  <si>
    <t>低温加热状态机（test) 3：CC模式</t>
    <phoneticPr fontId="5" type="noConversion"/>
  </si>
  <si>
    <t>低温加热状态机（test)4：CV模式</t>
    <phoneticPr fontId="5" type="noConversion"/>
  </si>
  <si>
    <t>低温加热状态机（test) 5：正常停止模式</t>
    <phoneticPr fontId="5" type="noConversion"/>
  </si>
  <si>
    <t>低温加热状态机（test)6：异常停止模式</t>
    <phoneticPr fontId="5" type="noConversion"/>
  </si>
  <si>
    <t>直流充电请求充电机模式：
2为CC模式，默认CC模式</t>
    <phoneticPr fontId="5" type="noConversion"/>
  </si>
  <si>
    <t>直流充电请求充电机模式：
0为非直流充电</t>
    <phoneticPr fontId="5" type="noConversion"/>
  </si>
  <si>
    <t>直流充电请求充电机模式：
1为CV模式</t>
    <phoneticPr fontId="5" type="noConversion"/>
  </si>
  <si>
    <t>主正继电器共用低边短地故障</t>
  </si>
  <si>
    <t>主正继电器共用低边短电源故障</t>
  </si>
  <si>
    <t>主正继电器高边短电源故障</t>
  </si>
  <si>
    <t>主正继电器高边短地故障</t>
  </si>
  <si>
    <t>主正继电器线圈开路故障</t>
  </si>
  <si>
    <t>主正继电器线圈短路故障</t>
  </si>
  <si>
    <t>主负继电器共用低边短地故障</t>
  </si>
  <si>
    <t>主负继电器共用低边短电源故障</t>
  </si>
  <si>
    <t>主负继电器高边短电源故障</t>
  </si>
  <si>
    <t>主负继电器高边短地故障</t>
  </si>
  <si>
    <t>主负继电器线圈开路故障</t>
  </si>
  <si>
    <t>主负继电器线圈短路故障</t>
  </si>
  <si>
    <t>充正1继电器高边短电源故障</t>
  </si>
  <si>
    <t>充正1继电器高边短地故障</t>
  </si>
  <si>
    <t>充正1继电器线圈开路故障</t>
  </si>
  <si>
    <t>充正1继电器线圈短路故障</t>
  </si>
  <si>
    <t>充负1继电器高边短电源故障</t>
  </si>
  <si>
    <t>充负1继电器高边短地故障</t>
  </si>
  <si>
    <t>充负1继电器线圈开路故障</t>
  </si>
  <si>
    <t>充负1继电器线圈短路故障</t>
  </si>
  <si>
    <t>充正2继电器高边短电源故障</t>
  </si>
  <si>
    <t>充正2继电器高边短地故障</t>
  </si>
  <si>
    <t>充正2继电器线圈开路故障</t>
  </si>
  <si>
    <t>充正2继电器线圈短路故障</t>
  </si>
  <si>
    <t>充负2继电器高边短电源故障</t>
  </si>
  <si>
    <t>充负2继电器高边短地故障</t>
  </si>
  <si>
    <t>充负2继电器线圈开路故障</t>
  </si>
  <si>
    <t>充负2继电器线圈短路故障</t>
  </si>
  <si>
    <t>集电弓正继电器高边短电源故障</t>
  </si>
  <si>
    <t>集电弓正继电器高边短地故障</t>
  </si>
  <si>
    <t>集电弓正继电器线圈开路故障</t>
  </si>
  <si>
    <t>集电弓正继电器线圈短路故障</t>
  </si>
  <si>
    <t>集电弓负继电器高边短电源故障</t>
  </si>
  <si>
    <t>集电弓负继电器高边短地故障</t>
  </si>
  <si>
    <t>集电弓负继电器线圈开路故障</t>
  </si>
  <si>
    <t>集电弓负继电器线圈短路故障</t>
  </si>
  <si>
    <t>交流充电正继电器高边短电源故障</t>
  </si>
  <si>
    <t>交流充电正继电器高边短地故障</t>
  </si>
  <si>
    <t>交流充电正继电器线圈开路故障</t>
  </si>
  <si>
    <t>交流充电正继电器线圈短路故障</t>
  </si>
  <si>
    <t>充电共用低边短地故障</t>
  </si>
  <si>
    <t>充电共用低边短电源故障</t>
  </si>
  <si>
    <t>交流充电负继电器高边短电源故障</t>
  </si>
  <si>
    <t>交流充电负继电器高边短地故障</t>
  </si>
  <si>
    <t>交流充电负继电器线圈开路故障</t>
  </si>
  <si>
    <t>交流充电负继电器线圈短路故障</t>
  </si>
  <si>
    <t>预充继电器高边短电源故障</t>
  </si>
  <si>
    <t>预充继电器线圈开路故障</t>
  </si>
  <si>
    <t>预充继电器高边短地故障</t>
  </si>
  <si>
    <t>加热正继电器高边短电源故障</t>
  </si>
  <si>
    <t>加热正继电器线圈开路故障</t>
  </si>
  <si>
    <t>加热正继电器高边短地故障</t>
  </si>
  <si>
    <t>加热负继电器高边短电源故障</t>
  </si>
  <si>
    <t>加热负继电器线圈开路故障</t>
  </si>
  <si>
    <t>加热负继电器高边短地故障</t>
  </si>
  <si>
    <t>TMS正继电器高边短电源故障</t>
  </si>
  <si>
    <t>TMS正继电器线圈开路故障</t>
  </si>
  <si>
    <t>TMS正继电器高边短地故障</t>
  </si>
  <si>
    <t>TMS负继电器高边短电源故障</t>
  </si>
  <si>
    <t>TMS负继电器线圈开路故障</t>
  </si>
  <si>
    <t>TMS负继电器高边短地故障</t>
  </si>
  <si>
    <t>风扇继电器高边短电源故障</t>
  </si>
  <si>
    <t>风扇继电器线圈开路故障</t>
  </si>
  <si>
    <t>风扇继电器高边短地故障</t>
  </si>
  <si>
    <t>附件1继电器高边短电源故障</t>
  </si>
  <si>
    <t>附件1继电器线圈开路故障</t>
  </si>
  <si>
    <t>附件1继电器高边短地故障</t>
  </si>
  <si>
    <t>附件2继电器高边短电源故障</t>
  </si>
  <si>
    <t>附件2继电器线圈开路故障</t>
  </si>
  <si>
    <t>附件2继电器高边短地故障</t>
  </si>
  <si>
    <t>附件3继电器高边短电源故障</t>
  </si>
  <si>
    <t>附件3继电器线圈开路故障</t>
  </si>
  <si>
    <t>附件3继电器高边短地故障</t>
  </si>
  <si>
    <t>电流与SOC变化不匹配故障 0-匹配；1-不匹配</t>
    <phoneticPr fontId="5" type="noConversion"/>
  </si>
  <si>
    <t>主正继电器触点故障，3：无法诊断</t>
    <phoneticPr fontId="5" type="noConversion"/>
  </si>
  <si>
    <t>主负继电器触点故障，3：无法诊断</t>
    <phoneticPr fontId="5" type="noConversion"/>
  </si>
  <si>
    <t>充正1继电器触点故障，1：粘连</t>
    <phoneticPr fontId="5" type="noConversion"/>
  </si>
  <si>
    <t>充正1继电器触点故障，2：开路</t>
    <phoneticPr fontId="5" type="noConversion"/>
  </si>
  <si>
    <t>充正1继电器触点故障，3：无法诊断</t>
    <phoneticPr fontId="5" type="noConversion"/>
  </si>
  <si>
    <t>充负1继电器触点故障，1：粘连</t>
    <phoneticPr fontId="5" type="noConversion"/>
  </si>
  <si>
    <t>充负1继电器触点故障，2：开路</t>
    <phoneticPr fontId="5" type="noConversion"/>
  </si>
  <si>
    <t>充负1继电器触点故障，3：无法诊断</t>
    <phoneticPr fontId="5" type="noConversion"/>
  </si>
  <si>
    <t>充正2继电器触点故障，1：粘连</t>
    <phoneticPr fontId="5" type="noConversion"/>
  </si>
  <si>
    <t>充正2继电器触点故障，2：开路</t>
    <phoneticPr fontId="5" type="noConversion"/>
  </si>
  <si>
    <t>充正2继电器触点故障，3：无法诊断</t>
    <phoneticPr fontId="5" type="noConversion"/>
  </si>
  <si>
    <t>充负2继电器触点故障，1：粘连</t>
    <phoneticPr fontId="5" type="noConversion"/>
  </si>
  <si>
    <t>充负2继电器触点故障，2：开路</t>
    <phoneticPr fontId="5" type="noConversion"/>
  </si>
  <si>
    <t>充负2继电器触点故障，3：无法诊断</t>
    <phoneticPr fontId="5" type="noConversion"/>
  </si>
  <si>
    <t>集电弓正继电器触点故障，1：粘连</t>
    <phoneticPr fontId="5" type="noConversion"/>
  </si>
  <si>
    <t>集电弓正继电器触点故障，2：开路</t>
    <phoneticPr fontId="5" type="noConversion"/>
  </si>
  <si>
    <t>集电弓正继电器触点故障，3：无法诊断</t>
    <phoneticPr fontId="5" type="noConversion"/>
  </si>
  <si>
    <t>集电弓负继电器触点故障，1：粘连</t>
    <phoneticPr fontId="5" type="noConversion"/>
  </si>
  <si>
    <t>集电弓负继电器触点故障，2：开路</t>
    <phoneticPr fontId="5" type="noConversion"/>
  </si>
  <si>
    <t>集电弓负继电器触点故障，3：无法诊断</t>
    <phoneticPr fontId="5" type="noConversion"/>
  </si>
  <si>
    <t>交流充正继电器触点故障，2：开路</t>
    <phoneticPr fontId="5" type="noConversion"/>
  </si>
  <si>
    <t>交流充正继电器触点故障，1：粘连</t>
    <phoneticPr fontId="5" type="noConversion"/>
  </si>
  <si>
    <t>交流充正继电器触点故障，3：无法诊断</t>
    <phoneticPr fontId="5" type="noConversion"/>
  </si>
  <si>
    <t>交流充负继电器触点故障，1：粘连</t>
    <phoneticPr fontId="5" type="noConversion"/>
  </si>
  <si>
    <t>交流充负继电器触点故障，2：开路</t>
    <phoneticPr fontId="5" type="noConversion"/>
  </si>
  <si>
    <t>交流充负继电器触点故障，3：无法诊断</t>
    <phoneticPr fontId="5" type="noConversion"/>
  </si>
  <si>
    <t>加热正继电器触点故障，3：无法诊断</t>
    <phoneticPr fontId="5" type="noConversion"/>
  </si>
  <si>
    <t>加热负继电器触点故障，3：无法诊断</t>
    <phoneticPr fontId="5" type="noConversion"/>
  </si>
  <si>
    <t>TMS正继电器触点故障，3：无法诊断</t>
    <phoneticPr fontId="5" type="noConversion"/>
  </si>
  <si>
    <t>TMS负继电器触点故障，3：无法诊断</t>
    <phoneticPr fontId="5" type="noConversion"/>
  </si>
  <si>
    <t>附件1继电器触点故障，3：无法诊断</t>
    <phoneticPr fontId="5" type="noConversion"/>
  </si>
  <si>
    <t>附件2继电器触点故障，1：粘连</t>
    <phoneticPr fontId="5" type="noConversion"/>
  </si>
  <si>
    <t>附件2继电器触点故障，2：开路</t>
    <phoneticPr fontId="5" type="noConversion"/>
  </si>
  <si>
    <t>附件2继电器触点故障，3：无法诊断</t>
    <phoneticPr fontId="5" type="noConversion"/>
  </si>
  <si>
    <t>附件3继电器触点故障，1：粘连</t>
    <phoneticPr fontId="5" type="noConversion"/>
  </si>
  <si>
    <t>附件3继电器触点故障，2：开路</t>
    <phoneticPr fontId="5" type="noConversion"/>
  </si>
  <si>
    <t>附件3继电器触点故障，3：无法诊断</t>
    <phoneticPr fontId="5" type="noConversion"/>
  </si>
  <si>
    <t>TLE6368下电失败—低压下电失败</t>
    <phoneticPr fontId="5" type="noConversion"/>
  </si>
  <si>
    <t>BackUpLSD1对地短路故障</t>
  </si>
  <si>
    <t>BackUpLSD1对电源短路故障</t>
  </si>
  <si>
    <t>BackUpLSD1负载开路故障</t>
  </si>
  <si>
    <t>BackUpLSD1闭合状态</t>
  </si>
  <si>
    <t>CSC采样芯片寄存器故障</t>
    <phoneticPr fontId="5" type="noConversion"/>
  </si>
  <si>
    <t>辅件回路（第二主回路）预检失败由于无效值</t>
    <phoneticPr fontId="5" type="noConversion"/>
  </si>
  <si>
    <t>辅件回路（第二主回路）预检失败由于阀值过大</t>
    <phoneticPr fontId="5" type="noConversion"/>
  </si>
  <si>
    <t>主回路（第一主回路）预检失败由于无效值</t>
    <phoneticPr fontId="5" type="noConversion"/>
  </si>
  <si>
    <t>主回路（第一主回路）预检失败由于阀值过大</t>
    <phoneticPr fontId="5" type="noConversion"/>
  </si>
  <si>
    <t>充电2回路预检失败由于阀值过大</t>
    <phoneticPr fontId="5" type="noConversion"/>
  </si>
  <si>
    <t>充电1回路预检失败由于阀值过大</t>
    <phoneticPr fontId="5" type="noConversion"/>
  </si>
  <si>
    <t>充电2回路预检失败由于无效值</t>
    <phoneticPr fontId="5" type="noConversion"/>
  </si>
  <si>
    <t>充电机短路故障</t>
  </si>
  <si>
    <t>充电机电压(充电正极继电器内外侧压差)异常</t>
  </si>
  <si>
    <t>充电预检过程中采集到电压无效值</t>
  </si>
  <si>
    <t>充电1回路预检失败由于无效值</t>
    <phoneticPr fontId="5" type="noConversion"/>
  </si>
  <si>
    <t>AC充电上电默认阶段</t>
    <phoneticPr fontId="5" type="noConversion"/>
  </si>
  <si>
    <t>AC充电初始化阶段（交流充电模式）</t>
    <phoneticPr fontId="5" type="noConversion"/>
  </si>
  <si>
    <t>AC充电预充阶段（控制继电器闭合）</t>
    <phoneticPr fontId="5" type="noConversion"/>
  </si>
  <si>
    <t>AC充电Chrging阶段（充电控制位置位）</t>
    <phoneticPr fontId="5" type="noConversion"/>
  </si>
  <si>
    <t>AC充电满充阶段</t>
    <phoneticPr fontId="5" type="noConversion"/>
  </si>
  <si>
    <t>AC充电结束阶段</t>
    <phoneticPr fontId="5" type="noConversion"/>
  </si>
  <si>
    <t>AC充电结束等待阶段（拔枪1s后插枪可进入二次充电）</t>
    <phoneticPr fontId="5" type="noConversion"/>
  </si>
  <si>
    <t>AC充电枪连接状态 - Offline</t>
    <phoneticPr fontId="5" type="noConversion"/>
  </si>
  <si>
    <t>AC充电枪连接状态 - Connect</t>
    <phoneticPr fontId="5" type="noConversion"/>
  </si>
  <si>
    <t>AC充电枪连接状态 - Online</t>
    <phoneticPr fontId="5" type="noConversion"/>
  </si>
  <si>
    <t>ZZT双枪匹配故障</t>
    <phoneticPr fontId="5" type="noConversion"/>
  </si>
  <si>
    <t>客户项目预留故障码1</t>
    <phoneticPr fontId="5" type="noConversion"/>
  </si>
  <si>
    <t>客户项目预留故障码2</t>
  </si>
  <si>
    <t>客户项目预留故障码3</t>
  </si>
  <si>
    <t>客户项目预留故障码4</t>
  </si>
  <si>
    <t>客户项目预留故障码5</t>
  </si>
  <si>
    <t>客户项目预留故障码6</t>
  </si>
  <si>
    <t>客户项目预留故障码7</t>
  </si>
  <si>
    <t>客户项目预留故障码8</t>
  </si>
  <si>
    <t>客户项目预留故障码9</t>
  </si>
  <si>
    <t>客户项目预留故障码10</t>
  </si>
  <si>
    <t>客户项目预留故障码11</t>
  </si>
  <si>
    <t>客户项目预留故障码12</t>
  </si>
  <si>
    <t>客户项目预留故障码13</t>
  </si>
  <si>
    <t>客户项目预留故障码14</t>
  </si>
  <si>
    <t>客户项目预留故障码15</t>
  </si>
  <si>
    <t>客户项目预留故障码16</t>
  </si>
  <si>
    <t>客户项目预留故障码17</t>
  </si>
  <si>
    <t>客户项目预留故障码18</t>
  </si>
  <si>
    <t>客户项目预留故障码19</t>
  </si>
  <si>
    <t>客户项目预留故障码20</t>
  </si>
  <si>
    <t>客户项目预留故障码21</t>
  </si>
  <si>
    <t>客户项目预留故障码22</t>
  </si>
  <si>
    <t>客户项目预留故障码23</t>
  </si>
  <si>
    <t>客户项目预留故障码24</t>
  </si>
  <si>
    <t>客户项目预留故障码25</t>
  </si>
  <si>
    <t>客户项目预留故障码26</t>
  </si>
  <si>
    <t>客户项目预留故障码27</t>
  </si>
  <si>
    <t>客户项目预留故障码28</t>
  </si>
  <si>
    <t>客户项目预留故障码29</t>
  </si>
  <si>
    <t>客户项目预留故障码30</t>
  </si>
  <si>
    <t>No</t>
    <phoneticPr fontId="33" type="noConversion"/>
  </si>
  <si>
    <t>MsgName</t>
    <phoneticPr fontId="33" type="noConversion"/>
  </si>
  <si>
    <t>Order</t>
    <phoneticPr fontId="33" type="noConversion"/>
  </si>
  <si>
    <t>MsgID (Hex)</t>
    <phoneticPr fontId="33" type="noConversion"/>
  </si>
  <si>
    <t>MsgName for dbc</t>
    <phoneticPr fontId="33" type="noConversion"/>
  </si>
  <si>
    <t>DLC</t>
    <phoneticPr fontId="33" type="noConversion"/>
  </si>
  <si>
    <t>Sender</t>
    <phoneticPr fontId="33" type="noConversion"/>
  </si>
  <si>
    <t>Tx</t>
    <phoneticPr fontId="33" type="noConversion"/>
  </si>
  <si>
    <t>Cycle time (ms)</t>
    <phoneticPr fontId="33" type="noConversion"/>
  </si>
  <si>
    <t>VariableNameInCode</t>
    <phoneticPr fontId="33" type="noConversion"/>
  </si>
  <si>
    <t>Signal Name</t>
    <phoneticPr fontId="33" type="noConversion"/>
  </si>
  <si>
    <t>Startbit</t>
    <phoneticPr fontId="33" type="noConversion"/>
  </si>
  <si>
    <t>Length</t>
    <phoneticPr fontId="33" type="noConversion"/>
  </si>
  <si>
    <t>Factor</t>
    <phoneticPr fontId="33" type="noConversion"/>
  </si>
  <si>
    <t>Offset</t>
    <phoneticPr fontId="33" type="noConversion"/>
  </si>
  <si>
    <t>Initial Value</t>
    <phoneticPr fontId="33" type="noConversion"/>
  </si>
  <si>
    <t>Unit</t>
    <phoneticPr fontId="33" type="noConversion"/>
  </si>
  <si>
    <t>Min</t>
    <phoneticPr fontId="33" type="noConversion"/>
  </si>
  <si>
    <t>Max</t>
    <phoneticPr fontId="33" type="noConversion"/>
  </si>
  <si>
    <t>Receiver</t>
    <phoneticPr fontId="33" type="noConversion"/>
  </si>
  <si>
    <t>Comment</t>
    <phoneticPr fontId="33" type="noConversion"/>
  </si>
  <si>
    <t>U2P_ALARM1</t>
  </si>
  <si>
    <t>AL_Over_Ucell</t>
    <phoneticPr fontId="33" type="noConversion"/>
  </si>
  <si>
    <t>PC,RDB</t>
    <phoneticPr fontId="33" type="noConversion"/>
  </si>
  <si>
    <t>单体过压报警</t>
  </si>
  <si>
    <t>0 "No Alarm" 1 "Level 1 Alarm" 2 "Level 2 Alarm" 3 "Level 3 Alarm"</t>
    <phoneticPr fontId="33" type="noConversion"/>
  </si>
  <si>
    <t>AL_Under_Ucell</t>
    <phoneticPr fontId="33" type="noConversion"/>
  </si>
  <si>
    <t>单体欠压报警</t>
  </si>
  <si>
    <t>AL_Over_Tcell</t>
    <phoneticPr fontId="33" type="noConversion"/>
  </si>
  <si>
    <t>单体过温报警</t>
  </si>
  <si>
    <t>AL_Under_Tcell</t>
    <phoneticPr fontId="33" type="noConversion"/>
  </si>
  <si>
    <t>单体低温报警</t>
  </si>
  <si>
    <t>AL_Over_U_HVS</t>
    <phoneticPr fontId="33" type="noConversion"/>
  </si>
  <si>
    <t>箱体过压报警(总电压)</t>
    <phoneticPr fontId="33" type="noConversion"/>
  </si>
  <si>
    <t>AL_Under_U_HVS</t>
    <phoneticPr fontId="33" type="noConversion"/>
  </si>
  <si>
    <t>箱体欠压报警(总电压）</t>
    <phoneticPr fontId="33" type="noConversion"/>
  </si>
  <si>
    <t>AL_ACChgNegRelay</t>
    <phoneticPr fontId="33" type="noConversion"/>
  </si>
  <si>
    <t>交流充负继电器故障</t>
    <phoneticPr fontId="33" type="noCon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</si>
  <si>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</si>
  <si>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</si>
  <si>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</si>
  <si>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</si>
  <si>
    <t>AL_Over_I_Chg</t>
    <phoneticPr fontId="33" type="noConversion"/>
  </si>
  <si>
    <t>AL_Over_I_Dchg</t>
    <phoneticPr fontId="33" type="noConversion"/>
  </si>
  <si>
    <t>放电过流报警</t>
  </si>
  <si>
    <t>AL_Over_SOC</t>
    <phoneticPr fontId="33" type="noConversion"/>
  </si>
  <si>
    <t>AL_Under_SOC</t>
    <phoneticPr fontId="33" type="noConversion"/>
  </si>
  <si>
    <t>AL_Diff_Upack</t>
    <phoneticPr fontId="33" type="noConversion"/>
  </si>
  <si>
    <t>AL_Isolation_R</t>
    <phoneticPr fontId="33" type="noConversion"/>
  </si>
  <si>
    <t>绝缘阻抗报警</t>
  </si>
  <si>
    <t>AL_dV_Ucell</t>
    <phoneticPr fontId="33" type="noConversion"/>
  </si>
  <si>
    <t>单体压差过大</t>
  </si>
  <si>
    <t>AL_dSOC</t>
    <phoneticPr fontId="33" type="noConversion"/>
  </si>
  <si>
    <t>AL_Diff_Tcell</t>
    <phoneticPr fontId="33" type="noConversion"/>
  </si>
  <si>
    <t>单体温差过大</t>
  </si>
  <si>
    <t>AL_Aux1Relay</t>
    <phoneticPr fontId="33" type="noConversion"/>
  </si>
  <si>
    <t>AL_Aux2Relay</t>
    <phoneticPr fontId="33" type="noConversion"/>
  </si>
  <si>
    <t>AL_Aux3Relay</t>
    <phoneticPr fontId="33" type="noConversion"/>
  </si>
  <si>
    <t>AL_Pre_SW</t>
    <phoneticPr fontId="33" type="noConversion"/>
  </si>
  <si>
    <t>预充继电器故障</t>
  </si>
  <si>
    <t>AL_MainPosRelay</t>
  </si>
  <si>
    <t>U2P_ALARM1</t>
    <phoneticPr fontId="33" type="noConversion"/>
  </si>
  <si>
    <t>AL_ChgPos1Relay</t>
  </si>
  <si>
    <t>PC,RDB</t>
    <phoneticPr fontId="33" type="noConversion"/>
  </si>
  <si>
    <t>0 "No Alarm" 1 "Alarm"</t>
    <phoneticPr fontId="33" type="noConversion"/>
  </si>
  <si>
    <t>AL_Fan_SW</t>
    <phoneticPr fontId="33" type="noConversion"/>
  </si>
  <si>
    <t>PC,RDB</t>
    <phoneticPr fontId="33" type="noConversion"/>
  </si>
  <si>
    <t>风扇继电器故障</t>
  </si>
  <si>
    <t>0 "No Alarm" 1 "Alarm"</t>
    <phoneticPr fontId="33" type="noConversion"/>
  </si>
  <si>
    <t>AL_Heater_SW</t>
    <phoneticPr fontId="33" type="noConversion"/>
  </si>
  <si>
    <t>AL_Err_Mea_Isolation</t>
    <phoneticPr fontId="33" type="noConversion"/>
  </si>
  <si>
    <t>绝缘电阻测量故障</t>
  </si>
  <si>
    <t>AL_Err_EEPROM</t>
    <phoneticPr fontId="33" type="noConversion"/>
  </si>
  <si>
    <t>AL_Err_RTC</t>
    <phoneticPr fontId="33" type="noConversion"/>
  </si>
  <si>
    <t>实时时钟故障</t>
  </si>
  <si>
    <t>AL_Err_LCAN</t>
    <phoneticPr fontId="33" type="noConversion"/>
  </si>
  <si>
    <t>AL_Err_Bal_Circuit</t>
    <phoneticPr fontId="33" type="noConversion"/>
  </si>
  <si>
    <t>U2P_ALARM1</t>
    <phoneticPr fontId="33" type="noConversion"/>
  </si>
  <si>
    <t>AL_Trouble_Code</t>
    <phoneticPr fontId="33" type="noConversion"/>
  </si>
  <si>
    <t>U2P_ALARM2</t>
  </si>
  <si>
    <t>S_U08_AL_Over_T_CP</t>
    <phoneticPr fontId="33" type="noConversion"/>
  </si>
  <si>
    <t>0 "No Alarm" 1 "Level 1 Alarm" 2 "Level 2 Alarm" 3 "Level 3 Alarm"</t>
    <phoneticPr fontId="33" type="noConversion"/>
  </si>
  <si>
    <t>AL_Err_Cldu</t>
    <phoneticPr fontId="33" type="noConversion"/>
  </si>
  <si>
    <t>AL_Err_Water</t>
    <phoneticPr fontId="33" type="noConversion"/>
  </si>
  <si>
    <t>AL_UcellSample</t>
    <phoneticPr fontId="33" type="noConversion"/>
  </si>
  <si>
    <t>AL_TempSample</t>
    <phoneticPr fontId="33" type="noConversion"/>
  </si>
  <si>
    <t>AL_OdSOC_cell</t>
    <phoneticPr fontId="33" type="noConversion"/>
  </si>
  <si>
    <t>AL_OC_FeedbackChg</t>
    <phoneticPr fontId="33" type="noConversion"/>
  </si>
  <si>
    <t>AL_OdC_Branch</t>
    <phoneticPr fontId="33" type="noConversion"/>
  </si>
  <si>
    <t>AL_PrecheckMainRelay</t>
    <phoneticPr fontId="33" type="noConversion"/>
  </si>
  <si>
    <t>AL_PrecheckAux1Relay</t>
    <phoneticPr fontId="33" type="noConversion"/>
  </si>
  <si>
    <t>AL_PrecheckChg1Relay</t>
    <phoneticPr fontId="33" type="noConversion"/>
  </si>
  <si>
    <t>AL_PrecheckChg2Relay</t>
    <phoneticPr fontId="33" type="noConversion"/>
  </si>
  <si>
    <t>Reserved</t>
    <phoneticPr fontId="33" type="noConversion"/>
  </si>
  <si>
    <t>reserved</t>
    <phoneticPr fontId="33" type="noConversion"/>
  </si>
  <si>
    <t>U2P_SUMDATA1</t>
  </si>
  <si>
    <t>BAT_U_Out_HVS</t>
    <phoneticPr fontId="33" type="noConversion"/>
  </si>
  <si>
    <t>V</t>
    <phoneticPr fontId="33" type="noConversion"/>
  </si>
  <si>
    <t>65535 "Null"</t>
    <phoneticPr fontId="33" type="noConversion"/>
  </si>
  <si>
    <t>BAT_U_TOT_HVS</t>
    <phoneticPr fontId="33" type="noConversion"/>
  </si>
  <si>
    <t>65535 "Null"</t>
    <phoneticPr fontId="33" type="noConversion"/>
  </si>
  <si>
    <t>BAT_I_HVS</t>
    <phoneticPr fontId="33" type="noConversion"/>
  </si>
  <si>
    <t>A</t>
    <phoneticPr fontId="33" type="noConversion"/>
  </si>
  <si>
    <t>BAT_SOC_HVS</t>
    <phoneticPr fontId="33" type="noConversion"/>
  </si>
  <si>
    <t>%</t>
    <phoneticPr fontId="33" type="noConversion"/>
  </si>
  <si>
    <t>255 "Null"</t>
    <phoneticPr fontId="33" type="noConversion"/>
  </si>
  <si>
    <t>BAT_SOH_HVS</t>
    <phoneticPr fontId="33" type="noConversion"/>
  </si>
  <si>
    <t>U2P_SUMDATA2</t>
  </si>
  <si>
    <t>ALIV_ST_SW_HVS</t>
    <phoneticPr fontId="33" type="noConversion"/>
  </si>
  <si>
    <t>ST_CSC_PowerHSD</t>
    <phoneticPr fontId="33" type="noConversion"/>
  </si>
  <si>
    <t>0 "Off" 1 "On"</t>
    <phoneticPr fontId="33" type="noConversion"/>
  </si>
  <si>
    <t>U2P_SUMDATA2</t>
    <phoneticPr fontId="33" type="noConversion"/>
  </si>
  <si>
    <t>Reserved_Signal</t>
    <phoneticPr fontId="33" type="noConversion"/>
  </si>
  <si>
    <t>预留位信号,用于上位机根据预留位默认值判定是否需要解析后续预留位变更信号</t>
    <phoneticPr fontId="33" type="noConversion"/>
  </si>
  <si>
    <t>ST_Aux_SW_HVS</t>
    <phoneticPr fontId="33" type="noConversion"/>
  </si>
  <si>
    <t>ST_Main_Neg_SW_HVS</t>
    <phoneticPr fontId="33" type="noConversion"/>
  </si>
  <si>
    <t>0 "Off" 1 "On"</t>
    <phoneticPr fontId="33" type="noConversion"/>
  </si>
  <si>
    <t>ST_Pre_SW_HVS</t>
    <phoneticPr fontId="33" type="noConversion"/>
  </si>
  <si>
    <t>预充电继电器状态</t>
  </si>
  <si>
    <t>ST_Main_Pos_SW_HVS</t>
    <phoneticPr fontId="33" type="noConversion"/>
  </si>
  <si>
    <t>PC,RDB</t>
    <phoneticPr fontId="33" type="noConversion"/>
  </si>
  <si>
    <t>0 "Off" 1 "On"</t>
    <phoneticPr fontId="33" type="noConversion"/>
  </si>
  <si>
    <t>U2P_SUMDATA2</t>
    <phoneticPr fontId="33" type="noConversion"/>
  </si>
  <si>
    <t>ST_PrecheckMain_SW_HVS</t>
    <phoneticPr fontId="33" type="noConversion"/>
  </si>
  <si>
    <t>0 "Off" 1 "On"</t>
  </si>
  <si>
    <t>ST_PrecheckAux1_SW_HVS</t>
    <phoneticPr fontId="33" type="noConversion"/>
  </si>
  <si>
    <t>ST_PrecheckChg1_SW_HVS</t>
    <phoneticPr fontId="33" type="noConversion"/>
  </si>
  <si>
    <t>ST_PrecheckChg2_SW_HVS</t>
    <phoneticPr fontId="33" type="noConversion"/>
  </si>
  <si>
    <t>PC,RDB</t>
    <phoneticPr fontId="33" type="noConversion"/>
  </si>
  <si>
    <t>预留</t>
    <phoneticPr fontId="33" type="noConversion"/>
  </si>
  <si>
    <t>ST_Fan_SW_HVS</t>
    <phoneticPr fontId="33" type="noConversion"/>
  </si>
  <si>
    <t>风扇控制继电器状态</t>
  </si>
  <si>
    <t>ST_Heater_SW_HVS</t>
    <phoneticPr fontId="33" type="noConversion"/>
  </si>
  <si>
    <t>BAT_U_HVS</t>
    <phoneticPr fontId="33" type="noConversion"/>
  </si>
  <si>
    <t>65535 "Null"</t>
    <phoneticPr fontId="33" type="noConversion"/>
  </si>
  <si>
    <t>U2P_SUMDATA3</t>
  </si>
  <si>
    <t>BAT_Allow_DisCharge_I</t>
    <phoneticPr fontId="33" type="noConversion"/>
  </si>
  <si>
    <t>BAT_Allow_Charge_I</t>
    <phoneticPr fontId="33" type="noConversion"/>
  </si>
  <si>
    <t>BAT_ISO_R_Pos</t>
    <phoneticPr fontId="33" type="noConversion"/>
  </si>
  <si>
    <t>kohm</t>
    <phoneticPr fontId="33" type="noConversion"/>
  </si>
  <si>
    <t>BAT_ISO_R_Neg</t>
    <phoneticPr fontId="33" type="noConversion"/>
  </si>
  <si>
    <t>U2P_SUMDATA4</t>
  </si>
  <si>
    <t>BAT_Ucell_Max</t>
    <phoneticPr fontId="33" type="noConversion"/>
  </si>
  <si>
    <t>mV</t>
    <phoneticPr fontId="33" type="noConversion"/>
  </si>
  <si>
    <t>BAT_Ucell_Min</t>
  </si>
  <si>
    <t>mV</t>
    <phoneticPr fontId="33" type="noConversion"/>
  </si>
  <si>
    <t>BAT_Ucell_Max_CSC</t>
    <phoneticPr fontId="33" type="noConversion"/>
  </si>
  <si>
    <t>最高单体电压所在CSC号</t>
  </si>
  <si>
    <t>0 "No CSC" 1 "CSC1" 2 "CSC2" 3 "CSC3" 4 "CSC4" 5 "CSC5" 6 "CSC6" 7 "CSC7" 8 "CSC8"</t>
    <phoneticPr fontId="33" type="noConversion"/>
  </si>
  <si>
    <t>BAT_Ucell_Max_CELL</t>
    <phoneticPr fontId="33" type="noConversion"/>
  </si>
  <si>
    <t>最高单体电压所在电芯位置</t>
  </si>
  <si>
    <t>0 "No CELL" 1 "CELL1" 2 "CELL2" 3 "CELL3" 4 "CELL4" 5 "CELL5" 6 "CELL6" 7 "CELL7" 8 "CELL8"</t>
    <phoneticPr fontId="33" type="noConversion"/>
  </si>
  <si>
    <t>BAT_Ucell_Min_CSC</t>
    <phoneticPr fontId="33" type="noConversion"/>
  </si>
  <si>
    <t>最低单体电压所在CSC号</t>
  </si>
  <si>
    <t>0 "No CSC" 1 "CSC1" 2 "CSC2" 3 "CSC3" 4 "CSC4" 5 "CSC5" 6 "CSC6" 7 "CSC7" 8 "CSC8"</t>
    <phoneticPr fontId="33" type="noConversion"/>
  </si>
  <si>
    <t>BAT_Ucell_Min_CELL</t>
    <phoneticPr fontId="33" type="noConversion"/>
  </si>
  <si>
    <t>最低单体电压所在电芯位置</t>
  </si>
  <si>
    <t>U2P_SUMDATA5</t>
  </si>
  <si>
    <t>BAT_T_Max</t>
  </si>
  <si>
    <t>℃</t>
  </si>
  <si>
    <t>最高单体温度</t>
  </si>
  <si>
    <t>255  "Null"</t>
  </si>
  <si>
    <t>BAT_T_Min</t>
  </si>
  <si>
    <t>最低单体温度</t>
  </si>
  <si>
    <t>BAT_T_Avg</t>
  </si>
  <si>
    <t>平均单体温度</t>
  </si>
  <si>
    <t>BAT_T_Max_CSC</t>
    <phoneticPr fontId="33" type="noConversion"/>
  </si>
  <si>
    <t>最高温度所在CSC号</t>
  </si>
  <si>
    <t>BAT_T_Min_CSC</t>
    <phoneticPr fontId="33" type="noConversion"/>
  </si>
  <si>
    <t>最低温度所在CSC号</t>
  </si>
  <si>
    <t>BAT_User_SOC_HVS</t>
    <phoneticPr fontId="33" type="noConversion"/>
  </si>
  <si>
    <t>BAT_Ucell_Avg</t>
    <phoneticPr fontId="33" type="noConversion"/>
  </si>
  <si>
    <t>U2P_SUMDATA6</t>
  </si>
  <si>
    <t>KeyOnVoltage</t>
    <phoneticPr fontId="33" type="noConversion"/>
  </si>
  <si>
    <t>PowerVoltage</t>
    <phoneticPr fontId="33" type="noConversion"/>
  </si>
  <si>
    <t>DCDCAlarmVolt</t>
    <phoneticPr fontId="33" type="noConversion"/>
  </si>
  <si>
    <t>ChargeDCVoltage</t>
    <phoneticPr fontId="33" type="noConversion"/>
  </si>
  <si>
    <t>CC2Voltage</t>
    <phoneticPr fontId="33" type="noConversion"/>
  </si>
  <si>
    <t>255 "invalid"</t>
    <phoneticPr fontId="33" type="noConversion"/>
  </si>
  <si>
    <t>ChargedCapacity</t>
    <phoneticPr fontId="33" type="noConversion"/>
  </si>
  <si>
    <t>Ah</t>
    <phoneticPr fontId="33" type="noConversion"/>
  </si>
  <si>
    <t>CodeInVolt</t>
    <phoneticPr fontId="33" type="noConversion"/>
  </si>
  <si>
    <t>BMU检测到Code_In的电压</t>
    <phoneticPr fontId="33" type="noConversion"/>
  </si>
  <si>
    <t>511 "Invalid"</t>
    <phoneticPr fontId="33" type="noConversion"/>
  </si>
  <si>
    <t>U2P_SUMDATA7</t>
  </si>
  <si>
    <t>CSC_Power_Current</t>
    <phoneticPr fontId="33" type="noConversion"/>
  </si>
  <si>
    <t>mA</t>
    <phoneticPr fontId="33" type="noConversion"/>
  </si>
  <si>
    <t>BAT_MAX_SOC_HVS</t>
    <phoneticPr fontId="33" type="noConversion"/>
  </si>
  <si>
    <t>BAT_MIN_SOC_HVS</t>
    <phoneticPr fontId="33" type="noConversion"/>
  </si>
  <si>
    <t>BAT_WEI_SOC_HVS</t>
    <phoneticPr fontId="33" type="noConversion"/>
  </si>
  <si>
    <t>U2P_SUMDATA7</t>
    <phoneticPr fontId="33" type="noConversion"/>
  </si>
  <si>
    <t>FastChrg_Correct_DeltaT</t>
    <phoneticPr fontId="33" type="noConversion"/>
  </si>
  <si>
    <t>快充修正温度ΔT</t>
    <phoneticPr fontId="33" type="noConversion"/>
  </si>
  <si>
    <t>255 "Invalid Temperature"</t>
    <phoneticPr fontId="33" type="noConversion"/>
  </si>
  <si>
    <t>DCChg_APositive_Volt</t>
    <phoneticPr fontId="33" type="noConversion"/>
  </si>
  <si>
    <t>BAT_User_SOH_HVS</t>
    <phoneticPr fontId="33" type="noConversion"/>
  </si>
  <si>
    <t>U2P_SUMDATA8</t>
  </si>
  <si>
    <t>ST_NegHeater_SW_HVS</t>
    <phoneticPr fontId="33" type="noConversion"/>
  </si>
  <si>
    <t>U2P_SUMDATA8</t>
    <phoneticPr fontId="33" type="noConversion"/>
  </si>
  <si>
    <t>CC2Voltage_2</t>
    <phoneticPr fontId="33" type="noConversion"/>
  </si>
  <si>
    <t>ST_ACC_S2</t>
    <phoneticPr fontId="33" type="noConversion"/>
  </si>
  <si>
    <t>交流充电中S2开关状态</t>
    <phoneticPr fontId="33" type="noConversion"/>
  </si>
  <si>
    <t>ST_AO_RelayLSD2</t>
    <phoneticPr fontId="33" type="noConversion"/>
  </si>
  <si>
    <t>ST_AO_RelayLSD1</t>
    <phoneticPr fontId="33" type="noConversion"/>
  </si>
  <si>
    <t>ACC_CC_Volt</t>
    <phoneticPr fontId="33" type="noConversion"/>
  </si>
  <si>
    <t>ACC_CP_Volt</t>
    <phoneticPr fontId="33" type="noConversion"/>
  </si>
  <si>
    <t>Chg_Wakeup_Volt</t>
    <phoneticPr fontId="33" type="noConversion"/>
  </si>
  <si>
    <t>ACC_PWM_Duty</t>
    <phoneticPr fontId="33" type="noConversion"/>
  </si>
  <si>
    <t>ACC_Plug1_Temp</t>
    <phoneticPr fontId="33" type="noConversion"/>
  </si>
  <si>
    <t>ACC_Plug2_Temp</t>
    <phoneticPr fontId="33" type="noConversion"/>
  </si>
  <si>
    <t>U2P_SUMDATA9</t>
  </si>
  <si>
    <t>Pack_SN_BCD</t>
    <phoneticPr fontId="33" type="noConversion"/>
  </si>
  <si>
    <t>BAT_SOP_HVS</t>
    <phoneticPr fontId="33" type="noConversion"/>
  </si>
  <si>
    <t>SOP</t>
    <phoneticPr fontId="33" type="noConversion"/>
  </si>
  <si>
    <t>PP_Volt</t>
    <phoneticPr fontId="33" type="noConversion"/>
  </si>
  <si>
    <t>U2P_SUMDATA10</t>
  </si>
  <si>
    <t>U2P_BalChgCirFail_CSCNo</t>
    <phoneticPr fontId="33" type="noConversion"/>
  </si>
  <si>
    <t>0 "No CSC" 1 "CSC1" 2 "CSC2" 3 "CSC1 and CSC2" 4 "CSC3" 5 "CSC1 and CSC3" 6 "CSC2 and CSC3" 7 "CSC1 and CSC2 and CSC3" 8 "CSC4" 16 "CSC5" 32 "CSC6" 64 "CSC7"</t>
    <phoneticPr fontId="33" type="noConversion"/>
  </si>
  <si>
    <t>U2P_SUMDATA11</t>
  </si>
  <si>
    <t>U2P_BalDischgCirFail_CSCNo</t>
    <phoneticPr fontId="33" type="noConversion"/>
  </si>
  <si>
    <t>U2P_SUMDATA12</t>
  </si>
  <si>
    <t>U2P_UcellOpenWire_CSCNo</t>
    <phoneticPr fontId="33" type="noConversion"/>
  </si>
  <si>
    <t>U2P_SUMDATA13</t>
  </si>
  <si>
    <t>Delta_SOC</t>
    <phoneticPr fontId="33" type="noConversion"/>
  </si>
  <si>
    <t>低端SOC差值</t>
    <phoneticPr fontId="33" type="noConversion"/>
  </si>
  <si>
    <t>U2P_SD13_BalType</t>
    <phoneticPr fontId="33" type="noConversion"/>
  </si>
  <si>
    <t>0 "NXP" 1 "MX"</t>
    <phoneticPr fontId="33" type="noConversion"/>
  </si>
  <si>
    <t>U2P_SD13_EleLockType</t>
    <phoneticPr fontId="33" type="noConversion"/>
  </si>
  <si>
    <t>电子锁类型</t>
    <phoneticPr fontId="33" type="noConversion"/>
  </si>
  <si>
    <t>U2P_SD13_SOCCalType</t>
    <phoneticPr fontId="33" type="noConversion"/>
  </si>
  <si>
    <t>Flag_Charging</t>
    <phoneticPr fontId="33" type="noConversion"/>
  </si>
  <si>
    <t>Fast_Charging</t>
    <phoneticPr fontId="33" type="noConversion"/>
  </si>
  <si>
    <t>Flag_acan_lost</t>
    <phoneticPr fontId="33" type="noConversion"/>
  </si>
  <si>
    <t>CSC_No</t>
    <phoneticPr fontId="33" type="noConversion"/>
  </si>
  <si>
    <t>项目中CSC的个数</t>
    <phoneticPr fontId="33" type="noConversion"/>
  </si>
  <si>
    <t>Cell_No</t>
    <phoneticPr fontId="33" type="noConversion"/>
  </si>
  <si>
    <t>项目中CSC监控最大电芯数</t>
    <phoneticPr fontId="33" type="noConversion"/>
  </si>
  <si>
    <t>Temp_No</t>
    <phoneticPr fontId="33" type="noConversion"/>
  </si>
  <si>
    <t>项目中CSC监控最大温度个数</t>
    <phoneticPr fontId="33" type="noConversion"/>
  </si>
  <si>
    <t>DC12_24V_Volt</t>
    <phoneticPr fontId="33" type="noConversion"/>
  </si>
  <si>
    <t>PantographicCCSig_Volt</t>
    <phoneticPr fontId="33" type="noConversion"/>
  </si>
  <si>
    <t>U2P_SUMDATA14</t>
  </si>
  <si>
    <t>BMS_Chg_Type</t>
    <phoneticPr fontId="33" type="noConversion"/>
  </si>
  <si>
    <t>BMS_Chg_State</t>
    <phoneticPr fontId="33" type="noConversion"/>
  </si>
  <si>
    <t>BMS充电状态</t>
    <phoneticPr fontId="33" type="noConversion"/>
  </si>
  <si>
    <t>BMS_Chg_Req_DC_Mode</t>
    <phoneticPr fontId="33" type="noConversion"/>
  </si>
  <si>
    <t>BMS_Chg_Req_Volt</t>
    <phoneticPr fontId="33" type="noConversion"/>
  </si>
  <si>
    <t>BMS充电过程中的请求电压</t>
    <phoneticPr fontId="33" type="noConversion"/>
  </si>
  <si>
    <t>Chgr_Out_Curr</t>
    <phoneticPr fontId="33" type="noConversion"/>
  </si>
  <si>
    <t>Chgr_Out_Volt</t>
    <phoneticPr fontId="33" type="noConversion"/>
  </si>
  <si>
    <t>充电机输出的电压（充电机测量值）</t>
    <phoneticPr fontId="33" type="noConversion"/>
  </si>
  <si>
    <t>U2P_SUMDATA15</t>
  </si>
  <si>
    <t>Max_Chgr_Curr</t>
    <phoneticPr fontId="33" type="noConversion"/>
  </si>
  <si>
    <t>充电机最大电流输出能力（非负）</t>
    <phoneticPr fontId="33" type="noConversion"/>
  </si>
  <si>
    <t>Max_Chgr_Volt</t>
    <phoneticPr fontId="33" type="noConversion"/>
  </si>
  <si>
    <t>充电机最大电压输出能力（非负）</t>
    <phoneticPr fontId="33" type="noConversion"/>
  </si>
  <si>
    <t>DCC_Plug1_Temp</t>
    <phoneticPr fontId="33" type="noConversion"/>
  </si>
  <si>
    <t>DCC_Plug2_Temp</t>
  </si>
  <si>
    <t>直流充电插座2温度</t>
  </si>
  <si>
    <t>DCC_Plug3_Temp</t>
  </si>
  <si>
    <t>直流充电插座3温度</t>
  </si>
  <si>
    <t>DCC_Plug4_Temp</t>
  </si>
  <si>
    <t>直流充电插座4温度</t>
  </si>
  <si>
    <t>U2P_SUMDATA16</t>
    <phoneticPr fontId="33" type="noConversion"/>
  </si>
  <si>
    <t>ST_TMSPosRelay</t>
    <phoneticPr fontId="33" type="noConversion"/>
  </si>
  <si>
    <t>0 "Open" 1 "Close"</t>
    <phoneticPr fontId="33" type="noConversion"/>
  </si>
  <si>
    <t>U2P_SUMDATA16</t>
  </si>
  <si>
    <t>B2HVAC_ER_PumpReq</t>
    <phoneticPr fontId="33" type="noConversion"/>
  </si>
  <si>
    <t>0 "Stop" 1 "Start"</t>
    <phoneticPr fontId="33" type="noConversion"/>
  </si>
  <si>
    <t>B2HVAC_ER_HeatingReq</t>
    <phoneticPr fontId="33" type="noConversion"/>
  </si>
  <si>
    <t>B2HVAC_ER_CoolingReq</t>
    <phoneticPr fontId="33" type="noConversion"/>
  </si>
  <si>
    <t>ST_TMSNegRelay</t>
  </si>
  <si>
    <t>Reserved</t>
    <phoneticPr fontId="5" type="noConversion"/>
  </si>
  <si>
    <t>t_Outlet_T</t>
    <phoneticPr fontId="33" type="noConversion"/>
  </si>
  <si>
    <t>255 "Invalid"</t>
    <phoneticPr fontId="33" type="noConversion"/>
  </si>
  <si>
    <t>t_Inlet_T</t>
    <phoneticPr fontId="33" type="noConversion"/>
  </si>
  <si>
    <t>ST_TMSWork</t>
    <phoneticPr fontId="5" type="noConversion"/>
  </si>
  <si>
    <t>0 "Shutdown mode" 1 "Cool mode" 2 "Heat mode(Battery heat)" 3 "Self-loop mode"</t>
    <phoneticPr fontId="33" type="noConversion"/>
  </si>
  <si>
    <t>AL_TMS_TroubleCode</t>
    <phoneticPr fontId="5" type="noConversion"/>
  </si>
  <si>
    <t>0 "No fault" 1 "Bus under voltage,Level 1 Fault" 2 "Bus over voltage,Level 1 Fault" 3 "Over current,Level 2 Fault" 4 "Inner Communication abnormal,Level 1 Fault" 5 "Lost speed,Level 2 Fault" 6 "Abnormal,Level 2 Fault" 7 "System pressure protect,Level 2 Fault" 8 "Prevent freezing protect,Level 2 Fault" 9 "Outlet temperature sensor abnormal,Level 2 Fault" 10 "Inlet temperature sensor abnormal,Level 2 Fault" 11 "Prevent freezing temperature sensor abnormal,Level 2 Fault" 12 "Water pump fault,Level 1 Fault" 13 "PTC Fault, Level 1 Fault" 14 "CAN communication abnormal,Level 1 Fault" 15 "Vent temperature protect,Level 2 Fault" 16 "Vent temperature sensor abnormal,Level 2 Fault" 17 "Environment temperature sensor abnormal,Level 2 Fault"</t>
    <phoneticPr fontId="33" type="noConversion"/>
  </si>
  <si>
    <t>AL_TMS_TroubleLevel</t>
    <phoneticPr fontId="5" type="noConversion"/>
  </si>
  <si>
    <t>1 "Level 1 Fault" 2 "Level 2 Fault"</t>
    <phoneticPr fontId="5" type="noConversion"/>
  </si>
  <si>
    <t>ST_B2TM_ReqSetMode</t>
    <phoneticPr fontId="33" type="noConversion"/>
  </si>
  <si>
    <t>U2P_SUMDATA17</t>
  </si>
  <si>
    <t>BAT_I_Branch1</t>
    <phoneticPr fontId="33" type="noConversion"/>
  </si>
  <si>
    <t>支路1电流</t>
    <phoneticPr fontId="33" type="noConversion"/>
  </si>
  <si>
    <t>BAT_I_Branch2</t>
  </si>
  <si>
    <t>支路2电流</t>
  </si>
  <si>
    <t>BAT_I_Branch3</t>
  </si>
  <si>
    <t>PC,RDB</t>
    <phoneticPr fontId="33" type="noConversion"/>
  </si>
  <si>
    <t>支路3电流</t>
  </si>
  <si>
    <t>65535 "Null"</t>
    <phoneticPr fontId="33" type="noConversion"/>
  </si>
  <si>
    <t>BAT_I_Branch4</t>
  </si>
  <si>
    <t>支路4电流</t>
  </si>
  <si>
    <t>U2P_SUMDATA18</t>
  </si>
  <si>
    <t>ST_RemoteClient</t>
    <phoneticPr fontId="33" type="noConversion"/>
  </si>
  <si>
    <t xml:space="preserve">1 "Power On" 2 "Initialization" 3 "Not connect to network" 4 "Connected to network" 5 "Fault" </t>
    <phoneticPr fontId="33" type="noConversion"/>
  </si>
  <si>
    <t>ST_RemoteClientFault</t>
    <phoneticPr fontId="33" type="noConversion"/>
  </si>
  <si>
    <t>0 "Normal" 1 "Power supply abnormal" 2 "Single chip inner fault" 3 "Flash fault" 4 "GPS fault" 5 "GSM fault"</t>
    <phoneticPr fontId="33" type="noConversion"/>
  </si>
  <si>
    <t>ST_DCDCWork</t>
    <phoneticPr fontId="33" type="noConversion"/>
  </si>
  <si>
    <t>ST_SBOX_HVIL</t>
    <phoneticPr fontId="33" type="noConversion"/>
  </si>
  <si>
    <t>0 "Normal" 1 "Open" 2 "Short to Powersupply" 3 "Short to GND"</t>
    <phoneticPr fontId="33" type="noConversion"/>
  </si>
  <si>
    <t>U2P_SUMDATA18</t>
    <phoneticPr fontId="33" type="noConversion"/>
  </si>
  <si>
    <t>ST_DCChgRelayPos1</t>
    <phoneticPr fontId="33" type="noConversion"/>
  </si>
  <si>
    <t>ST_DCChgRelayPos2</t>
    <phoneticPr fontId="33" type="noConversion"/>
  </si>
  <si>
    <t>ST_DCChgRelayNeg1</t>
    <phoneticPr fontId="33" type="noConversion"/>
  </si>
  <si>
    <t>PC,RDB</t>
    <phoneticPr fontId="33" type="noConversion"/>
  </si>
  <si>
    <t>0 "Off" 1 "On"</t>
    <phoneticPr fontId="33" type="noConversion"/>
  </si>
  <si>
    <t>ST_DCChgRelayNeg2</t>
    <phoneticPr fontId="33" type="noConversion"/>
  </si>
  <si>
    <t>ST_Aux3Relay</t>
    <phoneticPr fontId="33" type="noConversion"/>
  </si>
  <si>
    <t>附件3继电器状态</t>
    <phoneticPr fontId="33" type="noConversion"/>
  </si>
  <si>
    <t>ST_AUx2_SW_HVS</t>
    <phoneticPr fontId="5" type="noConversion"/>
  </si>
  <si>
    <t>附件2继电器状态</t>
    <phoneticPr fontId="33" type="noConversion"/>
  </si>
  <si>
    <t>ST_ACChgRelayPos</t>
    <phoneticPr fontId="5" type="noConversion"/>
  </si>
  <si>
    <t>ST_ACChgRelayNeg</t>
    <phoneticPr fontId="5" type="noConversion"/>
  </si>
  <si>
    <t>ST_PantoRelayPos</t>
    <phoneticPr fontId="5" type="noConversion"/>
  </si>
  <si>
    <t>ST_PantoRelayNeg</t>
    <phoneticPr fontId="5" type="noConversion"/>
  </si>
  <si>
    <t>ScCHCS_BranchOverCurr</t>
    <phoneticPr fontId="5" type="noConversion"/>
  </si>
  <si>
    <t>过流值(test)</t>
    <phoneticPr fontId="33" type="noConversion"/>
  </si>
  <si>
    <t>BAT_Chg_AmperReq_eBus60</t>
    <phoneticPr fontId="33" type="noConversion"/>
  </si>
  <si>
    <t>充电需求电流(eBus6.0)</t>
    <phoneticPr fontId="33" type="noConversion"/>
  </si>
  <si>
    <t>U2P_SUMDATA19</t>
  </si>
  <si>
    <t>BAT_SysChgEnergy_Accu</t>
    <phoneticPr fontId="33" type="noConversion"/>
  </si>
  <si>
    <t>kwh</t>
    <phoneticPr fontId="33" type="noConversion"/>
  </si>
  <si>
    <t>BAT_SysDischgEnergy_Accu</t>
    <phoneticPr fontId="33" type="noConversion"/>
  </si>
  <si>
    <t>kwh</t>
    <phoneticPr fontId="33" type="noConversion"/>
  </si>
  <si>
    <t>U2P_SUMDATA20</t>
  </si>
  <si>
    <t>DCChg1_Pos_HV</t>
    <phoneticPr fontId="33" type="noConversion"/>
  </si>
  <si>
    <t>V</t>
    <phoneticPr fontId="33" type="noConversion"/>
  </si>
  <si>
    <t>PC,RDB</t>
    <phoneticPr fontId="33" type="noConversion"/>
  </si>
  <si>
    <t>DCChg2_Pos_HV</t>
    <phoneticPr fontId="33" type="noConversion"/>
  </si>
  <si>
    <t>PC,RDB</t>
    <phoneticPr fontId="33" type="noConversion"/>
  </si>
  <si>
    <t>DCChg1_Neg_HV</t>
    <phoneticPr fontId="33" type="noConversion"/>
  </si>
  <si>
    <t>DCChg2_Neg_HV</t>
    <phoneticPr fontId="33" type="noConversion"/>
  </si>
  <si>
    <t>PC,RDB</t>
    <phoneticPr fontId="33" type="noConversion"/>
  </si>
  <si>
    <t>U2P_SUMDATA21</t>
  </si>
  <si>
    <t>TMS_HV</t>
    <phoneticPr fontId="33" type="noConversion"/>
  </si>
  <si>
    <t>热管理系统高压(非单枪充电系统)</t>
    <phoneticPr fontId="33" type="noConversion"/>
  </si>
  <si>
    <t>MainNeg_HV</t>
    <phoneticPr fontId="33" type="noConversion"/>
  </si>
  <si>
    <t>HeatPos_HV</t>
    <phoneticPr fontId="33" type="noConversion"/>
  </si>
  <si>
    <t>加热正高压(单枪充电系统)</t>
    <phoneticPr fontId="33" type="noConversion"/>
  </si>
  <si>
    <t>HeatNeg_HV</t>
    <phoneticPr fontId="33" type="noConversion"/>
  </si>
  <si>
    <t>加热负高压(单枪充电系统)</t>
    <phoneticPr fontId="33" type="noConversion"/>
  </si>
  <si>
    <t>U2P_SUMDATA22</t>
  </si>
  <si>
    <t>Pantographic_Pos_HV</t>
    <phoneticPr fontId="33" type="noConversion"/>
  </si>
  <si>
    <t>集电弓正高压(四支路快充系统)</t>
    <phoneticPr fontId="33" type="noConversion"/>
  </si>
  <si>
    <t>Pantographic_Neg_HV</t>
    <phoneticPr fontId="33" type="noConversion"/>
  </si>
  <si>
    <t>集电弓负高压(四支路快充系统)</t>
    <phoneticPr fontId="33" type="noConversion"/>
  </si>
  <si>
    <t>AttachmentUnit_HV</t>
    <phoneticPr fontId="33" type="noConversion"/>
  </si>
  <si>
    <t>辅件高压(单枪充电系统)</t>
    <phoneticPr fontId="33" type="noConversion"/>
  </si>
  <si>
    <t>BAT_ChgEnergy_SingleTime</t>
    <phoneticPr fontId="33" type="noConversion"/>
  </si>
  <si>
    <t>U2P_SUMDATA23</t>
  </si>
  <si>
    <t>U2P_SD23_MLOWLTimes</t>
    <phoneticPr fontId="33" type="noConversion"/>
  </si>
  <si>
    <t>主回路接触器带载切断次数</t>
    <phoneticPr fontId="33" type="noConversion"/>
  </si>
  <si>
    <t>U2P_SD23_MLLastOWLCurr</t>
    <phoneticPr fontId="33" type="noConversion"/>
  </si>
  <si>
    <t>主回路接触器最后一次带载切断电流</t>
    <phoneticPr fontId="33" type="noConversion"/>
  </si>
  <si>
    <t>65535 "Invalid"</t>
    <phoneticPr fontId="33" type="noConversion"/>
  </si>
  <si>
    <t>U2P_SD23_DCLOWLTimes</t>
    <phoneticPr fontId="33" type="noConversion"/>
  </si>
  <si>
    <t>直流充电回路接触器带载切断次数</t>
    <phoneticPr fontId="33" type="noConversion"/>
  </si>
  <si>
    <t>BAT_SD23_DCLastOWLCurr</t>
    <phoneticPr fontId="33" type="noConversion"/>
  </si>
  <si>
    <t>直流充电回路接触器最后一次带载切断电流</t>
    <phoneticPr fontId="33" type="noConversion"/>
  </si>
  <si>
    <t>U2P_SUMDATA24</t>
  </si>
  <si>
    <t>U2P_SD24_PTLOWLTimes</t>
    <phoneticPr fontId="33" type="noConversion"/>
  </si>
  <si>
    <t>集电弓回路接触器带载切断次数</t>
    <phoneticPr fontId="33" type="noConversion"/>
  </si>
  <si>
    <t>U2P_SD24_PTLastOWLCurr</t>
    <phoneticPr fontId="33" type="noConversion"/>
  </si>
  <si>
    <t>集电弓回路接触器最后一次带载切断电流</t>
    <phoneticPr fontId="33" type="noConversion"/>
  </si>
  <si>
    <t>U2P_SUMDATA25</t>
  </si>
  <si>
    <t>U2P_SD25_Tank1_CSCNo</t>
  </si>
  <si>
    <t>1号电箱对应的CSC编号</t>
    <phoneticPr fontId="33" type="noConversion"/>
  </si>
  <si>
    <t>1 "1" 2 "2" 3 "3" 4 "4" 5 "5" 6 "6"</t>
    <phoneticPr fontId="33" type="noConversion"/>
  </si>
  <si>
    <t>U2P_SD25_Tank2_CSCNo</t>
  </si>
  <si>
    <t>2号电箱对应的CSC编号</t>
  </si>
  <si>
    <t>U2P_SD25_Tank3_CSCNo</t>
  </si>
  <si>
    <t>3号电箱对应的CSC编号</t>
  </si>
  <si>
    <t>U2P_SD25_Tank4_CSCNo</t>
  </si>
  <si>
    <t>4号电箱对应的CSC编号</t>
  </si>
  <si>
    <t>U2P_SD25_Tank5_CSCNo</t>
  </si>
  <si>
    <t>5号电箱对应的CSC编号</t>
  </si>
  <si>
    <t>U2P_SD25_Tank6_CSCNo</t>
  </si>
  <si>
    <t>6号电箱对应的CSC编号</t>
  </si>
  <si>
    <t>U2P_SD25_Tank7_CSCNo</t>
  </si>
  <si>
    <t>7号电箱对应的CSC编号</t>
  </si>
  <si>
    <t>U2P_SD25_Tank8_CSCNo</t>
  </si>
  <si>
    <t>8号电箱对应的CSC编号</t>
  </si>
  <si>
    <t>U2P_SD25_Tank9_CSCNo</t>
  </si>
  <si>
    <t>9号电箱对应的CSC编号</t>
  </si>
  <si>
    <t>U2P_SD25_Tank10_CSCNo</t>
  </si>
  <si>
    <t>10号电箱对应的CSC编号</t>
  </si>
  <si>
    <t>U2P_SUMDATA26</t>
  </si>
  <si>
    <t>U2P_SD26_Tank11_CSCNo</t>
  </si>
  <si>
    <t>11号电箱对应的CSC编号</t>
  </si>
  <si>
    <t>U2P_SD26_Tank12_CSCNo</t>
  </si>
  <si>
    <t>12号电箱对应的CSC编号</t>
  </si>
  <si>
    <t>U2P_SD26_Tank13_CSCNo</t>
  </si>
  <si>
    <t>13号电箱对应的CSC编号</t>
  </si>
  <si>
    <t>U2P_SD26_Tank14_CSCNo</t>
  </si>
  <si>
    <t>14号电箱对应的CSC编号</t>
  </si>
  <si>
    <t>U2P_SD26_Tank15_CSCNo</t>
  </si>
  <si>
    <t>15号电箱对应的CSC编号</t>
  </si>
  <si>
    <t>U2P_SD26_Tank16_CSCNo</t>
  </si>
  <si>
    <t>16号电箱对应的CSC编号</t>
  </si>
  <si>
    <t>U2P_SD26_Tank17_CSCNo</t>
  </si>
  <si>
    <t>17号电箱对应的CSC编号</t>
  </si>
  <si>
    <t>U2P_SD26_Tank18_CSCNo</t>
  </si>
  <si>
    <t>18号电箱对应的CSC编号</t>
  </si>
  <si>
    <t>U2P_SD26_Tank19_CSCNo</t>
  </si>
  <si>
    <t>19号电箱对应的CSC编号</t>
  </si>
  <si>
    <t>U2P_SD26_Tank20_CSCNo</t>
  </si>
  <si>
    <t>20号电箱对应的CSC编号</t>
  </si>
  <si>
    <t>U2P_SUMDATA27</t>
  </si>
  <si>
    <t>U2P_SD27_Tank21_CSCNo</t>
  </si>
  <si>
    <t>21号电箱对应的CSC编号</t>
  </si>
  <si>
    <t>U2P_SD27_Tank22_CSCNo</t>
  </si>
  <si>
    <t>22号电箱对应的CSC编号</t>
  </si>
  <si>
    <t>U2P_SD27_Tank23_CSCNo</t>
  </si>
  <si>
    <t>23号电箱对应的CSC编号</t>
  </si>
  <si>
    <t>U2P_SD27_Tank24_CSCNo</t>
  </si>
  <si>
    <t>24号电箱对应的CSC编号</t>
  </si>
  <si>
    <t>U2P_SD27_Tank25_CSCNo</t>
  </si>
  <si>
    <t>25号电箱对应的CSC编号</t>
  </si>
  <si>
    <t>U2P_SD27_Tank26_CSCNo</t>
  </si>
  <si>
    <t>26号电箱对应的CSC编号</t>
  </si>
  <si>
    <t>U2P_SD27_Tank27_CSCNo</t>
  </si>
  <si>
    <t>27号电箱对应的CSC编号</t>
  </si>
  <si>
    <t>U2P_SD27_Tank28_CSCNo</t>
  </si>
  <si>
    <t>28号电箱对应的CSC编号</t>
  </si>
  <si>
    <t>U2P_SD27_Tank29_CSCNo</t>
  </si>
  <si>
    <t>29号电箱对应的CSC编号</t>
  </si>
  <si>
    <t>U2P_SD27_Tank30_CSCNo</t>
  </si>
  <si>
    <t>30号电箱对应的CSC编号</t>
  </si>
  <si>
    <t>U2P_SUMDATA28</t>
  </si>
  <si>
    <t>U2P_SD28_Tank31_CSCNo</t>
  </si>
  <si>
    <t>31号电箱对应的CSC编号</t>
  </si>
  <si>
    <t>U2P_SD28_Tank32_CSCNo</t>
  </si>
  <si>
    <t>32号电箱对应的CSC编号</t>
  </si>
  <si>
    <t>U2P_SD28_Tank33_CSCNo</t>
  </si>
  <si>
    <t>33号电箱对应的CSC编号</t>
  </si>
  <si>
    <t>U2P_SD28_Tank34_CSCNo</t>
  </si>
  <si>
    <t>34号电箱对应的CSC编号</t>
  </si>
  <si>
    <t>U2P_SD28_Tank35_CSCNo</t>
  </si>
  <si>
    <t>35号电箱对应的CSC编号</t>
  </si>
  <si>
    <t>U2P_SD28_Tank36_CSCNo</t>
  </si>
  <si>
    <t>36号电箱对应的CSC编号</t>
  </si>
  <si>
    <t>U2P_SD28_Tank37_CSCNo</t>
  </si>
  <si>
    <t>37号电箱对应的CSC编号</t>
  </si>
  <si>
    <t>U2P_SD28_Tank38_CSCNo</t>
  </si>
  <si>
    <t>38号电箱对应的CSC编号</t>
  </si>
  <si>
    <t>U2P_SD28_Tank39_CSCNo</t>
  </si>
  <si>
    <t>39号电箱对应的CSC编号</t>
  </si>
  <si>
    <t>U2P_SD28_Tank40_CSCNo</t>
  </si>
  <si>
    <t>40号电箱对应的CSC编号</t>
  </si>
  <si>
    <t>Reserved</t>
    <phoneticPr fontId="5" type="noConversion"/>
  </si>
  <si>
    <t>预留</t>
    <phoneticPr fontId="33" type="noConversion"/>
  </si>
  <si>
    <t>U2P_SUMDATA29</t>
  </si>
  <si>
    <t>U2P_SD29_FrameIndex</t>
    <phoneticPr fontId="33" type="noConversion"/>
  </si>
  <si>
    <t>BMU软件版本号报文的帧序号</t>
    <phoneticPr fontId="33" type="noConversion"/>
  </si>
  <si>
    <t>1 "1" 2 "2" 3 "3" 4 "4" 5 "5" 6 "6"</t>
    <phoneticPr fontId="33" type="noConversion"/>
  </si>
  <si>
    <t>U2P_SD29_BMUSWVByteN</t>
    <phoneticPr fontId="33" type="noConversion"/>
  </si>
  <si>
    <t>255 "invalid"</t>
    <phoneticPr fontId="33" type="noConversion"/>
  </si>
  <si>
    <t>U2P_SD29_BMUSWVByteN1</t>
    <phoneticPr fontId="33" type="noConversion"/>
  </si>
  <si>
    <t>U2P_SD29_BMUSWVByteN2</t>
  </si>
  <si>
    <t>BMU软件版本号(共16字节)报文字节N2(ASCII)</t>
  </si>
  <si>
    <t>U2P_SD29_BMUSWVByteN3</t>
  </si>
  <si>
    <t>BMU软件版本号(共16字节)报文字节N3(ASCII)</t>
  </si>
  <si>
    <t>U2P_SD29_BMUSWVByteN4</t>
  </si>
  <si>
    <t>BMU软件版本号(共16字节)报文字节N4(ASCII)</t>
  </si>
  <si>
    <t>U2P_SD29_BMUSWVByteN5</t>
  </si>
  <si>
    <t>BMU软件版本号(共16字节)报文字节N5(ASCII)</t>
  </si>
  <si>
    <t>U2P_SD29_BMUSWVByteN6</t>
  </si>
  <si>
    <t>BMU软件版本号(共16字节)报文字节N6(ASCII)</t>
  </si>
  <si>
    <t>故障码</t>
    <phoneticPr fontId="5" type="noConversion"/>
  </si>
  <si>
    <t>故障描述</t>
    <phoneticPr fontId="5" type="noConversion"/>
  </si>
  <si>
    <t>类别</t>
    <phoneticPr fontId="5" type="noConversion"/>
  </si>
  <si>
    <t>处理级别</t>
    <phoneticPr fontId="5" type="noConversion"/>
  </si>
  <si>
    <t>安全类</t>
  </si>
  <si>
    <t>功能类</t>
  </si>
  <si>
    <t>Pack过压报警  2-二级报警</t>
    <phoneticPr fontId="5" type="noConversion"/>
  </si>
  <si>
    <t>Pack过压报警  3-三级报警</t>
    <phoneticPr fontId="5" type="noConversion"/>
  </si>
  <si>
    <t>Pack欠压报警 1-一级报警</t>
    <phoneticPr fontId="5" type="noConversion"/>
  </si>
  <si>
    <t>Pack欠压报警 2-二级报警</t>
    <phoneticPr fontId="5" type="noConversion"/>
  </si>
  <si>
    <t>Pack欠压报警  3-三级报警</t>
    <phoneticPr fontId="5" type="noConversion"/>
  </si>
  <si>
    <t>单体温度过高报警; 1-一级报警</t>
    <phoneticPr fontId="5" type="noConversion"/>
  </si>
  <si>
    <t>单体温度过高报警; 2-二级报警;</t>
    <phoneticPr fontId="5" type="noConversion"/>
  </si>
  <si>
    <t>单体温度过低报警; 1-一级报警;</t>
    <phoneticPr fontId="5" type="noConversion"/>
  </si>
  <si>
    <t>单体温度过低报警; 2-二级报警</t>
    <phoneticPr fontId="5" type="noConversion"/>
  </si>
  <si>
    <t xml:space="preserve">单体温差过大报警; 1-一级报警; </t>
    <phoneticPr fontId="5" type="noConversion"/>
  </si>
  <si>
    <t>回充过流报警; 1:一级报警</t>
    <phoneticPr fontId="5" type="noConversion"/>
  </si>
  <si>
    <t>回充过流报警; 2:二级报警</t>
    <phoneticPr fontId="5" type="noConversion"/>
  </si>
  <si>
    <t>放电过流报警; 1:一级报警</t>
    <phoneticPr fontId="5" type="noConversion"/>
  </si>
  <si>
    <t>放电过流报警; 2:二级报警</t>
    <phoneticPr fontId="5" type="noConversion"/>
  </si>
  <si>
    <t>Pack SOC过高报警:1:存在SOC过高报警;</t>
    <phoneticPr fontId="5" type="noConversion"/>
  </si>
  <si>
    <t>Pack SOC过低报警: 1:一级报警</t>
    <phoneticPr fontId="5" type="noConversion"/>
  </si>
  <si>
    <t xml:space="preserve">Pack SOC过低报警:2:二级报警; </t>
    <phoneticPr fontId="5" type="noConversion"/>
  </si>
  <si>
    <t>Pack SOC过低报警:3:三级报警</t>
    <phoneticPr fontId="5" type="noConversion"/>
  </si>
  <si>
    <t>支路内SOC差值过大报警:1:一级报警</t>
    <phoneticPr fontId="5" type="noConversion"/>
  </si>
  <si>
    <t>支路内SOC差值过大报警:2:二级报警</t>
    <phoneticPr fontId="5" type="noConversion"/>
  </si>
  <si>
    <t>充电时采样线掉线故障（电压采样）：0 "No Alarm" 1 "Alarm"</t>
  </si>
  <si>
    <t>温度采样值无效（2点及以上）</t>
    <phoneticPr fontId="5" type="noConversion"/>
  </si>
  <si>
    <t>温度采样值无效(有替代值)</t>
  </si>
  <si>
    <t>DCDC电源误开启故障；0-无故障；1-有故障</t>
    <phoneticPr fontId="5" type="noConversion"/>
  </si>
  <si>
    <t>CSC供电电流故障</t>
  </si>
  <si>
    <t>MCU供电电源电压故障</t>
  </si>
  <si>
    <t>CC2信号检测上拉电源</t>
  </si>
  <si>
    <t>PDB驱动电源电压异常</t>
  </si>
  <si>
    <t>PDB接收报文超时（一帧及以上）</t>
  </si>
  <si>
    <t>PDB PCB板温过高报警</t>
  </si>
  <si>
    <t>HVB PCB temperature too high； 1 "Error"</t>
    <phoneticPr fontId="5" type="noConversion"/>
  </si>
  <si>
    <t xml:space="preserve">HVB PCB temperature too high； 2 "Signal not defined" </t>
    <phoneticPr fontId="5" type="noConversion"/>
  </si>
  <si>
    <t>HVB PCB temperature too high； 3 "Signal invalid"</t>
    <phoneticPr fontId="5" type="noConversion"/>
  </si>
  <si>
    <t>BMU CAN Message Timeout； 2 "Signal not defined"</t>
    <phoneticPr fontId="5" type="noConversion"/>
  </si>
  <si>
    <t>BMU CAN Message Timeout；  3 "Signal invalid"</t>
    <phoneticPr fontId="5" type="noConversion"/>
  </si>
  <si>
    <t>CSC板级温度过高故障</t>
  </si>
  <si>
    <t>PP连接丢失</t>
  </si>
  <si>
    <t>PCC连接丢失</t>
  </si>
  <si>
    <t xml:space="preserve">充电机故障代码：1 "Output_L_V_I" </t>
    <phoneticPr fontId="5" type="noConversion"/>
  </si>
  <si>
    <t xml:space="preserve">充电机故障代码：2 "Output_O_V_I" </t>
    <phoneticPr fontId="5" type="noConversion"/>
  </si>
  <si>
    <t>充电机故障代码： 3 "Output_O_T_Derating_I"</t>
    <phoneticPr fontId="5" type="noConversion"/>
  </si>
  <si>
    <t xml:space="preserve">充电机故障代码： 4 "Com_Fault_I" </t>
    <phoneticPr fontId="5" type="noConversion"/>
  </si>
  <si>
    <t xml:space="preserve">充电机故障代码：5 "Hardware_Fault_I" </t>
    <phoneticPr fontId="5" type="noConversion"/>
  </si>
  <si>
    <t>充电机故障代码：6 "Input_L_V_I"</t>
    <phoneticPr fontId="5" type="noConversion"/>
  </si>
  <si>
    <t>充电机故障代码： 7 "Input_O_V_I"</t>
    <phoneticPr fontId="5" type="noConversion"/>
  </si>
  <si>
    <t>接收BMS辨识报文超时故障（&lt;01&gt;超时）</t>
    <phoneticPr fontId="5" type="noConversion"/>
  </si>
  <si>
    <t>接收BMS辨识报文超时故障（&lt;10&gt;不可信）</t>
    <phoneticPr fontId="5" type="noConversion"/>
  </si>
  <si>
    <t>接收BCP报文超时故障（&lt;01&gt;超时）</t>
    <phoneticPr fontId="5" type="noConversion"/>
  </si>
  <si>
    <t>接收BCP报文超时故障（&lt;10&gt;不可信）</t>
    <phoneticPr fontId="5" type="noConversion"/>
  </si>
  <si>
    <t>接收BRO报文超时故障（&lt;01&gt;超时）</t>
    <phoneticPr fontId="5" type="noConversion"/>
  </si>
  <si>
    <t>接收BRO报文超时故障（&lt;10&gt;不可信）</t>
    <phoneticPr fontId="5" type="noConversion"/>
  </si>
  <si>
    <t>接收BCS报文超时故障（&lt;01&gt;超时）</t>
    <phoneticPr fontId="5" type="noConversion"/>
  </si>
  <si>
    <t>接收BCS报文超时故障（&lt;10&gt;不可信）</t>
    <phoneticPr fontId="5" type="noConversion"/>
  </si>
  <si>
    <t>接收BCL报文超时故障（&lt;01&gt;超时）</t>
    <phoneticPr fontId="5" type="noConversion"/>
  </si>
  <si>
    <t>接收BCL报文超时故障（&lt;10&gt;不可信）</t>
    <phoneticPr fontId="5" type="noConversion"/>
  </si>
  <si>
    <t>接收BST报文超时故障（&lt;01&gt;超时）</t>
    <phoneticPr fontId="5" type="noConversion"/>
  </si>
  <si>
    <t>接收BST报文超时故障（&lt;10&gt;不可信）</t>
    <phoneticPr fontId="5" type="noConversion"/>
  </si>
  <si>
    <t>接收BSD报文超时故障（&lt;01&gt;超时）</t>
    <phoneticPr fontId="5" type="noConversion"/>
  </si>
  <si>
    <t>接收BSD报文超时故障（&lt;10&gt;不可信）</t>
    <phoneticPr fontId="5" type="noConversion"/>
  </si>
  <si>
    <t>枪1电子锁故障（1-Lockfault;）</t>
    <phoneticPr fontId="5" type="noConversion"/>
  </si>
  <si>
    <t>枪1电子锁故障（2-Unlockfault）</t>
    <phoneticPr fontId="5" type="noConversion"/>
  </si>
  <si>
    <t>枪2电子锁故障（1-Lockfault;）</t>
    <phoneticPr fontId="5" type="noConversion"/>
  </si>
  <si>
    <t>枪2电子锁故障（;2-Unlockfault）</t>
    <phoneticPr fontId="5" type="noConversion"/>
  </si>
  <si>
    <t>编码线硬线异常：对电源短路</t>
  </si>
  <si>
    <t>CSC编码超次数，编码失败</t>
  </si>
  <si>
    <t>SOH过低限制</t>
  </si>
  <si>
    <t>CSC温度过高导致均衡关闭</t>
  </si>
  <si>
    <t>详细电压未收齐导致均衡关闭</t>
  </si>
  <si>
    <t>采样线掉线导致均衡关闭</t>
  </si>
  <si>
    <t>Pack SoC不满足导致均衡关闭</t>
  </si>
  <si>
    <t>非Runmode模式不满足均衡开启</t>
    <phoneticPr fontId="5" type="noConversion"/>
  </si>
  <si>
    <t>电芯电压范围不合适导致均衡不能开启</t>
  </si>
  <si>
    <t>BMU供电异常导致均衡关闭</t>
  </si>
  <si>
    <t>CSC供电短路导致均衡关闭</t>
  </si>
  <si>
    <t>绝缘异常导致均衡关闭</t>
  </si>
  <si>
    <t>快充导致均衡关闭</t>
  </si>
  <si>
    <t>电芯温度过高导致均衡关闭</t>
  </si>
  <si>
    <t>均衡开启故障导致均衡关闭</t>
  </si>
  <si>
    <t>均衡关闭故障导致均衡不请求</t>
  </si>
  <si>
    <t>BST other fault 解析(1-DCDC故障；)</t>
    <phoneticPr fontId="5" type="noConversion"/>
  </si>
  <si>
    <t>BST other fault 解析(2-高压互锁)</t>
    <phoneticPr fontId="5" type="noConversion"/>
  </si>
  <si>
    <t>BST other fault 解析(3-dc通讯丢失故障)</t>
    <phoneticPr fontId="5" type="noConversion"/>
  </si>
  <si>
    <t>BST other fault 解析(4-cell温度采样异常)</t>
    <phoneticPr fontId="5" type="noConversion"/>
  </si>
  <si>
    <t>BST other fault 解析(5-cell电压采样异常)</t>
    <phoneticPr fontId="5" type="noConversion"/>
  </si>
  <si>
    <t>BST other fault 解析(6-电流采样异常)</t>
    <phoneticPr fontId="5" type="noConversion"/>
  </si>
  <si>
    <t>BST other fault 解析(7-PDB通讯超时)</t>
    <phoneticPr fontId="5" type="noConversion"/>
  </si>
  <si>
    <t>BST other fault 解析(8-HVB通讯超时)</t>
    <phoneticPr fontId="5" type="noConversion"/>
  </si>
  <si>
    <t>BST other fault 解析(9-采样线掉线)</t>
    <phoneticPr fontId="5" type="noConversion"/>
  </si>
  <si>
    <t>BST other fault 解析(10-CSC/CAN丢失)</t>
    <phoneticPr fontId="5" type="noConversion"/>
  </si>
  <si>
    <t>BST other fault 解析(11-VCU停止充电)</t>
    <phoneticPr fontId="5" type="noConversion"/>
  </si>
  <si>
    <t>BST other fault 解析(12-状态机请求下高压;)</t>
    <phoneticPr fontId="5" type="noConversion"/>
  </si>
  <si>
    <t>BST other fault 解析(13-CSC电压极限告警)</t>
    <phoneticPr fontId="5" type="noConversion"/>
  </si>
  <si>
    <t>BST other fault 解析(预留)</t>
    <phoneticPr fontId="5" type="noConversion"/>
  </si>
  <si>
    <t>DC充电控制阶段 0-初始化阶段</t>
    <phoneticPr fontId="5" type="noConversion"/>
  </si>
  <si>
    <t>DC充电控制阶段 1-握手阶段</t>
    <phoneticPr fontId="5" type="noConversion"/>
  </si>
  <si>
    <t>DC充电控制阶段 2-辨识阶段</t>
    <phoneticPr fontId="5" type="noConversion"/>
  </si>
  <si>
    <t>DC充电控制阶段 3-配置阶段1</t>
    <phoneticPr fontId="5" type="noConversion"/>
  </si>
  <si>
    <t>DC充电控制阶段 4-配置阶段2</t>
    <phoneticPr fontId="5" type="noConversion"/>
  </si>
  <si>
    <t>DC充电控制阶段 5-CHARGING_STEP</t>
    <phoneticPr fontId="5" type="noConversion"/>
  </si>
  <si>
    <t>DC充电控制阶段 6-结束阶段1</t>
    <phoneticPr fontId="5" type="noConversion"/>
  </si>
  <si>
    <t>DC充电控制阶段 7-结束阶段2</t>
    <phoneticPr fontId="5" type="noConversion"/>
  </si>
  <si>
    <t>DC充电控制阶段 8-通讯超时阶段</t>
    <phoneticPr fontId="5" type="noConversion"/>
  </si>
  <si>
    <t>继电器控制模块行车所处的状态
 0-offline</t>
    <phoneticPr fontId="5" type="noConversion"/>
  </si>
  <si>
    <t>继电器控制模块行车所处的状态
 1-预上电</t>
    <phoneticPr fontId="5" type="noConversion"/>
  </si>
  <si>
    <t>继电器控制模块行车所处的状态
 2-online</t>
    <phoneticPr fontId="5" type="noConversion"/>
  </si>
  <si>
    <t>继电器控制模块行车所处的状态
5-预下电</t>
    <phoneticPr fontId="5" type="noConversion"/>
  </si>
  <si>
    <t>继电器控制模块行车所处的状态
6-下电阶段</t>
    <phoneticPr fontId="5" type="noConversion"/>
  </si>
  <si>
    <t>继电器控制模块充电所处的状态
 0-offline</t>
    <phoneticPr fontId="5" type="noConversion"/>
  </si>
  <si>
    <t>继电器控制模块充电所处的状态
 3-充电连接</t>
    <phoneticPr fontId="5" type="noConversion"/>
  </si>
  <si>
    <t>继电器控制模块充电所处的状态
 4-charging</t>
    <phoneticPr fontId="5" type="noConversion"/>
  </si>
  <si>
    <t>继电器控制模块充电所处的状态
6-下电阶段</t>
    <phoneticPr fontId="5" type="noConversion"/>
  </si>
  <si>
    <t>超时9S没有收到charge_enable信号(XDL 3方充电)</t>
    <phoneticPr fontId="5" type="noConversion"/>
  </si>
  <si>
    <t>超时3S没有收到ChgRelayActStatus信号(XDL 3方充电)</t>
    <phoneticPr fontId="5" type="noConversion"/>
  </si>
  <si>
    <t>超时3S没有收到NegRelayActStatus信号(XDL 3方充电)</t>
    <phoneticPr fontId="5" type="noConversion"/>
  </si>
  <si>
    <t>充电阶段,收到VCU发送的不允许充电指令(XDL 3方充电)</t>
    <phoneticPr fontId="5" type="noConversion"/>
  </si>
  <si>
    <t>Pack过压报警  1-一级报警</t>
    <phoneticPr fontId="5" type="noConversion"/>
  </si>
  <si>
    <t>电流传感器通信故障1</t>
    <phoneticPr fontId="5" type="noConversion"/>
  </si>
  <si>
    <t>电流传感器通信故障2</t>
    <phoneticPr fontId="5" type="noConversion"/>
  </si>
  <si>
    <t>电流传感器通信故障3</t>
    <phoneticPr fontId="5" type="noConversion"/>
  </si>
  <si>
    <t>电流传感器通信故障4</t>
    <phoneticPr fontId="5" type="noConversion"/>
  </si>
  <si>
    <t>第1支路断路故障</t>
    <phoneticPr fontId="5" type="noConversion"/>
  </si>
  <si>
    <t>第2支路断路故障</t>
    <phoneticPr fontId="5" type="noConversion"/>
  </si>
  <si>
    <t>第3支路断路故障</t>
    <phoneticPr fontId="5" type="noConversion"/>
  </si>
  <si>
    <t>第4支路断路故障</t>
    <phoneticPr fontId="5" type="noConversion"/>
  </si>
  <si>
    <t>电芯单体过压报警三级</t>
    <phoneticPr fontId="5" type="noConversion"/>
  </si>
  <si>
    <t>电芯单体欠压报警三级</t>
    <phoneticPr fontId="5" type="noConversion"/>
  </si>
  <si>
    <t>电芯过放报警一级</t>
    <phoneticPr fontId="5" type="noConversion"/>
  </si>
  <si>
    <t>电芯过放报警二级</t>
    <phoneticPr fontId="5" type="noConversion"/>
  </si>
  <si>
    <t>单体压差过大报警二级</t>
    <phoneticPr fontId="5" type="noConversion"/>
  </si>
  <si>
    <t>单体温度过高报警三级</t>
    <phoneticPr fontId="5" type="noConversion"/>
  </si>
  <si>
    <t>单体温度过低报警三级</t>
    <phoneticPr fontId="5" type="noConversion"/>
  </si>
  <si>
    <t>单体温差过大报警二级</t>
    <phoneticPr fontId="5" type="noConversion"/>
  </si>
  <si>
    <t>单体温差过大报警三级</t>
    <phoneticPr fontId="5" type="noConversion"/>
  </si>
  <si>
    <t>充电过流故障</t>
    <phoneticPr fontId="5" type="noConversion"/>
  </si>
  <si>
    <t>回充过流报警三级</t>
    <phoneticPr fontId="5" type="noConversion"/>
  </si>
  <si>
    <t>放电过流报警三级</t>
    <phoneticPr fontId="5" type="noConversion"/>
  </si>
  <si>
    <t>支路内SOC差值过大报警三级</t>
    <phoneticPr fontId="5" type="noConversion"/>
  </si>
  <si>
    <t>绝缘阻值过低告警三级</t>
    <phoneticPr fontId="5" type="noConversion"/>
  </si>
  <si>
    <t>采样线掉线故障</t>
    <phoneticPr fontId="5" type="noConversion"/>
  </si>
  <si>
    <t>温度采样值无效</t>
    <phoneticPr fontId="5" type="noConversion"/>
  </si>
  <si>
    <t>参数类</t>
  </si>
  <si>
    <t>暂不存储</t>
    <phoneticPr fontId="5" type="noConversion"/>
  </si>
  <si>
    <t>DCDC电源开启故障</t>
    <phoneticPr fontId="5" type="noConversion"/>
  </si>
  <si>
    <t>DCDC电源硬件故障</t>
    <phoneticPr fontId="5" type="noConversion"/>
  </si>
  <si>
    <t>箱体累加电压</t>
    <phoneticPr fontId="33" type="noConversion"/>
  </si>
  <si>
    <t>单体最大SOC</t>
    <phoneticPr fontId="33" type="noConversion"/>
  </si>
  <si>
    <t>单体最小SOC</t>
    <phoneticPr fontId="33" type="noConversion"/>
  </si>
  <si>
    <t>CC电压值</t>
    <phoneticPr fontId="33" type="noConversion"/>
  </si>
  <si>
    <t>集电弓连接确认信号电压</t>
    <phoneticPr fontId="33" type="noConversion"/>
  </si>
  <si>
    <t>存储报表类型</t>
    <phoneticPr fontId="5" type="noConversion"/>
  </si>
  <si>
    <t>报警类</t>
    <phoneticPr fontId="5" type="noConversion"/>
  </si>
  <si>
    <t>报警类</t>
    <phoneticPr fontId="5" type="noConversion"/>
  </si>
  <si>
    <t>报警类</t>
    <phoneticPr fontId="5" type="noConversion"/>
  </si>
  <si>
    <t>SOC过高报警</t>
    <phoneticPr fontId="33" type="noConversion"/>
  </si>
  <si>
    <t>SOC过低报警</t>
    <phoneticPr fontId="33" type="noConversion"/>
  </si>
  <si>
    <t>报警类</t>
    <phoneticPr fontId="5" type="noConversion"/>
  </si>
  <si>
    <t>附件1继电器故障</t>
    <phoneticPr fontId="33" type="noConversion"/>
  </si>
  <si>
    <t>附件2继电器故障</t>
    <phoneticPr fontId="33" type="noConversion"/>
  </si>
  <si>
    <t>附件3继电器故障</t>
    <phoneticPr fontId="33" type="noConversion"/>
  </si>
  <si>
    <t>主正继电器故障</t>
    <phoneticPr fontId="33" type="noConversion"/>
  </si>
  <si>
    <t>充正1继电器故障</t>
    <phoneticPr fontId="33" type="noConversion"/>
  </si>
  <si>
    <t>加热继电器故障(加热正)</t>
    <phoneticPr fontId="33" type="noConversion"/>
  </si>
  <si>
    <t>主负继电器故障</t>
    <phoneticPr fontId="33" type="noConversion"/>
  </si>
  <si>
    <t>充负1继电器故障</t>
    <phoneticPr fontId="33" type="noConversion"/>
  </si>
  <si>
    <t>充正2继电器故障</t>
    <phoneticPr fontId="33" type="noConversion"/>
  </si>
  <si>
    <t>充负2继电器故障</t>
    <phoneticPr fontId="33" type="noConversion"/>
  </si>
  <si>
    <t>集电弓正继电器故障</t>
    <phoneticPr fontId="33" type="noConversion"/>
  </si>
  <si>
    <t>集电弓负继电器故障</t>
    <phoneticPr fontId="33" type="noConversion"/>
  </si>
  <si>
    <t>交流充正继电器故障</t>
    <phoneticPr fontId="33" type="noConversion"/>
  </si>
  <si>
    <t>内部EEPROM故障</t>
    <phoneticPr fontId="33" type="noConversion"/>
  </si>
  <si>
    <t>均衡电路故障</t>
    <phoneticPr fontId="33" type="noConversion"/>
  </si>
  <si>
    <t>参数类</t>
    <phoneticPr fontId="5" type="noConversion"/>
  </si>
  <si>
    <t>铜巴温度测量故障</t>
    <phoneticPr fontId="33" type="noConversion"/>
  </si>
  <si>
    <t>电池漏液告警</t>
    <phoneticPr fontId="33" type="noConversion"/>
  </si>
  <si>
    <t>水冷告警</t>
    <phoneticPr fontId="33" type="noConversion"/>
  </si>
  <si>
    <t>单体电压采样异常</t>
    <phoneticPr fontId="33" type="noConversion"/>
  </si>
  <si>
    <t>电芯温度采样异常</t>
    <phoneticPr fontId="33" type="noConversion"/>
  </si>
  <si>
    <t>单体SOC差异过大</t>
    <phoneticPr fontId="33" type="noConversion"/>
  </si>
  <si>
    <t>回充电流超限</t>
    <phoneticPr fontId="33" type="noConversion"/>
  </si>
  <si>
    <t>各支路电流相差过大</t>
    <phoneticPr fontId="33" type="noConversion"/>
  </si>
  <si>
    <t>主回路预检继电器故障</t>
    <phoneticPr fontId="33" type="noConversion"/>
  </si>
  <si>
    <t>暂不存储</t>
    <phoneticPr fontId="5" type="noConversion"/>
  </si>
  <si>
    <t>主回路2预检继电器故障</t>
    <phoneticPr fontId="33" type="noConversion"/>
  </si>
  <si>
    <t>充电1回路预检继电器故障</t>
    <phoneticPr fontId="33" type="noConversion"/>
  </si>
  <si>
    <t>充电2回路预检继电器故障</t>
    <phoneticPr fontId="33" type="noConversion"/>
  </si>
  <si>
    <t>MC33771寄存器故障</t>
    <phoneticPr fontId="33" type="noConversion"/>
  </si>
  <si>
    <t>箱体测量高压(外侧)</t>
    <phoneticPr fontId="33" type="noConversion"/>
  </si>
  <si>
    <t>参数类</t>
    <phoneticPr fontId="5" type="noConversion"/>
  </si>
  <si>
    <t>箱体电流</t>
    <phoneticPr fontId="33" type="noConversion"/>
  </si>
  <si>
    <t>真实SOC</t>
    <phoneticPr fontId="33" type="noConversion"/>
  </si>
  <si>
    <t>真实SOH</t>
    <phoneticPr fontId="33" type="noConversion"/>
  </si>
  <si>
    <t>附件继电器状态1</t>
    <phoneticPr fontId="33" type="noConversion"/>
  </si>
  <si>
    <t>主正继电器状态</t>
    <phoneticPr fontId="33" type="noConversion"/>
  </si>
  <si>
    <t>主回路预检继电器状态</t>
    <phoneticPr fontId="33" type="noConversion"/>
  </si>
  <si>
    <t>主回路2预检继电器状态</t>
    <phoneticPr fontId="33" type="noConversion"/>
  </si>
  <si>
    <t>充电1回路预检继电器状态</t>
    <phoneticPr fontId="33" type="noConversion"/>
  </si>
  <si>
    <t>充电2回路预检继电器状态</t>
    <phoneticPr fontId="33" type="noConversion"/>
  </si>
  <si>
    <t>参数类</t>
    <phoneticPr fontId="5" type="noConversion"/>
  </si>
  <si>
    <t>加热继电器状态(正极)</t>
    <phoneticPr fontId="33" type="noConversion"/>
  </si>
  <si>
    <t>允许放电电流</t>
    <phoneticPr fontId="33" type="noConversion"/>
  </si>
  <si>
    <t>允许充电电流</t>
    <phoneticPr fontId="33" type="noConversion"/>
  </si>
  <si>
    <t>正极绝缘阻抗</t>
    <phoneticPr fontId="33" type="noConversion"/>
  </si>
  <si>
    <t>负极绝缘阻抗</t>
    <phoneticPr fontId="33" type="noConversion"/>
  </si>
  <si>
    <t>最高单体电压</t>
    <phoneticPr fontId="33" type="noConversion"/>
  </si>
  <si>
    <t>最低单体电压</t>
    <phoneticPr fontId="33" type="noConversion"/>
  </si>
  <si>
    <t>显示用SOC</t>
    <phoneticPr fontId="33" type="noConversion"/>
  </si>
  <si>
    <t>平均单体电压</t>
    <phoneticPr fontId="33" type="noConversion"/>
  </si>
  <si>
    <t>KeyOn信号电压</t>
    <phoneticPr fontId="33" type="noConversion"/>
  </si>
  <si>
    <t>BMU供电电压</t>
    <phoneticPr fontId="33" type="noConversion"/>
  </si>
  <si>
    <t>DCDC告警电压值</t>
    <phoneticPr fontId="33" type="noConversion"/>
  </si>
  <si>
    <t>直流充电供电电压</t>
    <phoneticPr fontId="33" type="noConversion"/>
  </si>
  <si>
    <t>CC2检测电压</t>
    <phoneticPr fontId="33" type="noConversion"/>
  </si>
  <si>
    <t>系统权重SOC</t>
    <phoneticPr fontId="33" type="noConversion"/>
  </si>
  <si>
    <t>直流充电A+的电压值</t>
    <phoneticPr fontId="33" type="noConversion"/>
  </si>
  <si>
    <t>加热2继电器状态(负极)</t>
    <phoneticPr fontId="33" type="noConversion"/>
  </si>
  <si>
    <t>CC2检测电压2</t>
    <phoneticPr fontId="33" type="noConversion"/>
  </si>
  <si>
    <t>CP电压值</t>
    <phoneticPr fontId="33" type="noConversion"/>
  </si>
  <si>
    <t>℃</t>
    <phoneticPr fontId="33" type="noConversion"/>
  </si>
  <si>
    <t>交流充电插座1温度</t>
    <phoneticPr fontId="33" type="noConversion"/>
  </si>
  <si>
    <t>℃</t>
    <phoneticPr fontId="33" type="noConversion"/>
  </si>
  <si>
    <t>交流充电插座2温度</t>
    <phoneticPr fontId="33" type="noConversion"/>
  </si>
  <si>
    <t>参数类</t>
    <phoneticPr fontId="5" type="noConversion"/>
  </si>
  <si>
    <t>PACK的序列号</t>
    <phoneticPr fontId="33" type="noConversion"/>
  </si>
  <si>
    <t>DC12/24V电压</t>
    <phoneticPr fontId="33" type="noConversion"/>
  </si>
  <si>
    <t>直流充电插座1温度</t>
    <phoneticPr fontId="33" type="noConversion"/>
  </si>
  <si>
    <t>℃</t>
    <phoneticPr fontId="33" type="noConversion"/>
  </si>
  <si>
    <t>水冷正继电器状态</t>
    <phoneticPr fontId="33" type="noConversion"/>
  </si>
  <si>
    <t>参数类</t>
    <phoneticPr fontId="5" type="noConversion"/>
  </si>
  <si>
    <t>水冷负继电器状态</t>
    <phoneticPr fontId="33" type="noConversion"/>
  </si>
  <si>
    <t>温度(热)管理系统故障代码</t>
    <phoneticPr fontId="33" type="noConversion"/>
  </si>
  <si>
    <t>直流充电正继电器状态1</t>
    <phoneticPr fontId="33" type="noConversion"/>
  </si>
  <si>
    <t>直流充电正继电器状态2</t>
    <phoneticPr fontId="33" type="noConversion"/>
  </si>
  <si>
    <t>直流充电负继电器状态1</t>
    <phoneticPr fontId="33" type="noConversion"/>
  </si>
  <si>
    <t>直流充电负继电器状态2</t>
    <phoneticPr fontId="33" type="noConversion"/>
  </si>
  <si>
    <t>交流正极继电器状态</t>
    <phoneticPr fontId="33" type="noConversion"/>
  </si>
  <si>
    <t>交流负极继电器状态</t>
    <phoneticPr fontId="33" type="noConversion"/>
  </si>
  <si>
    <t>集电弓主正继电器状态</t>
    <phoneticPr fontId="33" type="noConversion"/>
  </si>
  <si>
    <t>集电弓主负继电器状态</t>
    <phoneticPr fontId="33" type="noConversion"/>
  </si>
  <si>
    <t>BMU软件版本号(共16字节)报文字节N(ASCII)</t>
    <phoneticPr fontId="33" type="noConversion"/>
  </si>
  <si>
    <t>BMU软件版本号(共16字节)报文字节N1(ASCII)</t>
    <phoneticPr fontId="33" type="noConversion"/>
  </si>
  <si>
    <t>电流采样故障</t>
    <phoneticPr fontId="5" type="noConversion"/>
  </si>
  <si>
    <t>水冷机组通讯故障</t>
    <phoneticPr fontId="5" type="noConversion"/>
  </si>
  <si>
    <t>ccan丢失</t>
    <phoneticPr fontId="5" type="noConversion"/>
  </si>
  <si>
    <t>CSC火灾报警故障</t>
    <phoneticPr fontId="5" type="noConversion"/>
  </si>
  <si>
    <t>CSC NTC开路故障</t>
    <phoneticPr fontId="5" type="noConversion"/>
  </si>
  <si>
    <t>CSC菊花链通讯丢失故障</t>
    <phoneticPr fontId="5" type="noConversion"/>
  </si>
  <si>
    <t>风冷继电器线圈故障状态</t>
    <phoneticPr fontId="5" type="noConversion"/>
  </si>
  <si>
    <t>主正继电器触点故障-粘连</t>
    <phoneticPr fontId="5" type="noConversion"/>
  </si>
  <si>
    <t>主正继电器触点故障-开路</t>
    <phoneticPr fontId="5" type="noConversion"/>
  </si>
  <si>
    <t>主负继电器触点故障-粘连</t>
    <phoneticPr fontId="5" type="noConversion"/>
  </si>
  <si>
    <t>主负继电器触点故障-开路</t>
    <phoneticPr fontId="5" type="noConversion"/>
  </si>
  <si>
    <t>加热正继电器触点故障-粘连</t>
    <phoneticPr fontId="5" type="noConversion"/>
  </si>
  <si>
    <t>加热正继电器触点故障-开路</t>
    <phoneticPr fontId="5" type="noConversion"/>
  </si>
  <si>
    <t>加热负继电器触点故障-粘连</t>
    <phoneticPr fontId="5" type="noConversion"/>
  </si>
  <si>
    <t>加热负继电器触点故障-开路</t>
    <phoneticPr fontId="5" type="noConversion"/>
  </si>
  <si>
    <t>TMS正继电器触点故障-粘连</t>
    <phoneticPr fontId="5" type="noConversion"/>
  </si>
  <si>
    <t>TMS正继电器触点故障-开路</t>
    <phoneticPr fontId="5" type="noConversion"/>
  </si>
  <si>
    <t>TMS负继电器触点故障-粘连</t>
    <phoneticPr fontId="5" type="noConversion"/>
  </si>
  <si>
    <t>TMS负继电器触点故障-开路</t>
    <phoneticPr fontId="5" type="noConversion"/>
  </si>
  <si>
    <t>单支路间累加和压差过大</t>
    <phoneticPr fontId="33" type="noConversion"/>
  </si>
  <si>
    <t>SOC差异过大(并联支路之间)</t>
    <phoneticPr fontId="33" type="noConversion"/>
  </si>
  <si>
    <t>CSC供电电源高边驱动状态</t>
    <phoneticPr fontId="33" type="noConversion"/>
  </si>
  <si>
    <t>继电器内侧高压_(正值为正向电压，负值为反向电压)</t>
    <phoneticPr fontId="33" type="noConversion"/>
  </si>
  <si>
    <t>本次充电容量(系统)</t>
    <phoneticPr fontId="33" type="noConversion"/>
  </si>
  <si>
    <t xml:space="preserve">BMU采的CSC功耗电流 </t>
    <phoneticPr fontId="33" type="noConversion"/>
  </si>
  <si>
    <t>℃</t>
    <phoneticPr fontId="33" type="noConversion"/>
  </si>
  <si>
    <t>显示用SOH</t>
    <phoneticPr fontId="33" type="noConversion"/>
  </si>
  <si>
    <t>第二路低边驱动状态</t>
    <phoneticPr fontId="33" type="noConversion"/>
  </si>
  <si>
    <t>第一路低边驱动状态</t>
    <phoneticPr fontId="33" type="noConversion"/>
  </si>
  <si>
    <t>预留</t>
    <phoneticPr fontId="33" type="noConversion"/>
  </si>
  <si>
    <t>无线或欧标或AC充电唤醒电压值</t>
    <phoneticPr fontId="33" type="noConversion"/>
  </si>
  <si>
    <t>交流充电的PWM的占空比</t>
    <phoneticPr fontId="33" type="noConversion"/>
  </si>
  <si>
    <t>PP电压</t>
    <phoneticPr fontId="33" type="noConversion"/>
  </si>
  <si>
    <t>均衡放电回路失效的CSC编号(按bit)</t>
    <phoneticPr fontId="33" type="noConversion"/>
  </si>
  <si>
    <t>均衡充电回路失效的CSC编号(按bit)</t>
    <phoneticPr fontId="33" type="noConversion"/>
  </si>
  <si>
    <t>均衡未启动，电压采样线掉线的CSC编号(按bit)</t>
    <phoneticPr fontId="33" type="noConversion"/>
  </si>
  <si>
    <t>CSC均衡类型</t>
    <phoneticPr fontId="33" type="noConversion"/>
  </si>
  <si>
    <t>0 "旧驱动板(990252-00038: 24V,A4940)" 1 "新驱动板(800126-00037:12V,A3941)"</t>
    <phoneticPr fontId="33" type="noConversion"/>
  </si>
  <si>
    <t>SOC计算方式</t>
    <phoneticPr fontId="33" type="noConversion"/>
  </si>
  <si>
    <t>0 "安时积分" 1 "闭环算法+安时积分"</t>
    <phoneticPr fontId="33" type="noConversion"/>
  </si>
  <si>
    <t>充电状态</t>
    <phoneticPr fontId="33" type="noConversion"/>
  </si>
  <si>
    <t>0 "未充电" 1 "充电中"</t>
    <phoneticPr fontId="33" type="noConversion"/>
  </si>
  <si>
    <t>快充状态(集电弓)</t>
    <phoneticPr fontId="33" type="noConversion"/>
  </si>
  <si>
    <t>程序内部ACAN通讯超时标识</t>
    <phoneticPr fontId="33" type="noConversion"/>
  </si>
  <si>
    <t>BMS当前充电类型</t>
    <phoneticPr fontId="33" type="noConversion"/>
  </si>
  <si>
    <t>0 "未知" 1 "直流充电" 2 "交流充电" 3 "交直流混合充电" 4 "无线充电" 5 "集电弓充电"</t>
    <phoneticPr fontId="33" type="noConversion"/>
  </si>
  <si>
    <t xml:space="preserve">0 "未知" 1 "直流充电握手阶段：等待CRM" 2 "直流充电握手阶段：发送BRM接收CRM成功反馈" 3 "直流充电参数配置阶段：发送BCP接收CTS/CML" 4 "直流充电参数配置阶段： 发送BRO接收CRO,闭合继电器" 5 "直流充电阶段：发送BCS/BCL/BSM，接收CCS" 6 "直流充电阶段：充电末端均衡" 7 "直流充电阶段：进入长期均衡维护模式" 8 "直流充电结束阶段：发送BST接收CST" 9 "直流充电切断继电器" 10 "直流充电结束阶段：发送BSD接收CSD" 11 "直流充电终止，需重启才能允许再次充电" 12 "交流充电" 13 "交直流混合充电" 14 "无限充电" 15 "未知" 16 "交流充电准备" 17 "交流充电准备：闭合充电继电器" 18 "交流充电中" 19 "交流充电结束，静置10S" 20 "交流充电结束，切断继电器" 21 "交流充电终止"   </t>
    <phoneticPr fontId="33" type="noConversion"/>
  </si>
  <si>
    <t>BMS请求充电模式，恒流/恒压
0未知，1恒压，2恒流</t>
    <phoneticPr fontId="33" type="noConversion"/>
  </si>
  <si>
    <t xml:space="preserve">0 "未知" 1 "恒压" 2 "恒流"   </t>
    <phoneticPr fontId="33" type="noConversion"/>
  </si>
  <si>
    <t>充电机输出的电流（充电机测量值）(eBus6.0非负)</t>
    <phoneticPr fontId="33" type="noConversion"/>
  </si>
  <si>
    <t>开启水泵请求位</t>
    <phoneticPr fontId="33" type="noConversion"/>
  </si>
  <si>
    <t>开启加热器请求位</t>
    <phoneticPr fontId="33" type="noConversion"/>
  </si>
  <si>
    <t>开启压缩机请求位</t>
    <phoneticPr fontId="33" type="noConversion"/>
  </si>
  <si>
    <t>水冷机组出水口温度</t>
    <phoneticPr fontId="33" type="noConversion"/>
  </si>
  <si>
    <t>水冷机组入水口温度</t>
    <phoneticPr fontId="33" type="noConversion"/>
  </si>
  <si>
    <t>温度(热)管理系统工作状态</t>
    <phoneticPr fontId="33" type="noConversion"/>
  </si>
  <si>
    <t>TMS故障码等级</t>
    <phoneticPr fontId="5" type="noConversion"/>
  </si>
  <si>
    <t>BMU请求设定模式</t>
    <phoneticPr fontId="33" type="noConversion"/>
  </si>
  <si>
    <t>0 "关机模式" 1 "制冷模式" 2 "制热模式" 3 "自循环模式"</t>
    <phoneticPr fontId="33" type="noConversion"/>
  </si>
  <si>
    <t>远程终端状态</t>
    <phoneticPr fontId="33" type="noConversion"/>
  </si>
  <si>
    <t>远程终端故障状态</t>
    <phoneticPr fontId="33" type="noConversion"/>
  </si>
  <si>
    <t>DCDC工作状态(供应商待定，状态待定)</t>
    <phoneticPr fontId="33" type="noConversion"/>
  </si>
  <si>
    <t>S-BOX的高压互锁状态</t>
    <phoneticPr fontId="33" type="noConversion"/>
  </si>
  <si>
    <t>系统总充电电量(累计)</t>
    <phoneticPr fontId="33" type="noConversion"/>
  </si>
  <si>
    <t>系统总放电电量(累计)</t>
    <phoneticPr fontId="33" type="noConversion"/>
  </si>
  <si>
    <t>直流充电1正高压</t>
    <phoneticPr fontId="33" type="noConversion"/>
  </si>
  <si>
    <t>直流充电2正高压(非单枪充电系统)</t>
    <phoneticPr fontId="33" type="noConversion"/>
  </si>
  <si>
    <t>直流充电1负高压</t>
    <phoneticPr fontId="33" type="noConversion"/>
  </si>
  <si>
    <t>直流充电2负高压(非单枪充电系统)</t>
    <phoneticPr fontId="33" type="noConversion"/>
  </si>
  <si>
    <t>主负高压</t>
    <phoneticPr fontId="33" type="noConversion"/>
  </si>
  <si>
    <t>单次充电电量</t>
    <phoneticPr fontId="33" type="noConversion"/>
  </si>
  <si>
    <t>派单规则</t>
    <phoneticPr fontId="5" type="noConversion"/>
  </si>
  <si>
    <t>&gt;5</t>
    <phoneticPr fontId="5" type="noConversion"/>
  </si>
  <si>
    <t>&gt;10</t>
    <phoneticPr fontId="5" type="noConversion"/>
  </si>
  <si>
    <t>等于：基准码+Value</t>
    <phoneticPr fontId="5" type="noConversion"/>
  </si>
  <si>
    <t>基准码</t>
    <phoneticPr fontId="5" type="noConversion"/>
  </si>
  <si>
    <t>等于：Value</t>
    <phoneticPr fontId="5" type="noConversion"/>
  </si>
  <si>
    <t>Value</t>
    <phoneticPr fontId="33" type="noConversion"/>
  </si>
  <si>
    <t>报警类</t>
    <phoneticPr fontId="5" type="noConversion"/>
  </si>
  <si>
    <t>单体过压报警一级</t>
    <phoneticPr fontId="5" type="noConversion"/>
  </si>
  <si>
    <t>单体过压报警二级</t>
    <phoneticPr fontId="5" type="noConversion"/>
  </si>
  <si>
    <t>单体过压报警三级</t>
    <phoneticPr fontId="5" type="noConversion"/>
  </si>
  <si>
    <t>安全类</t>
    <phoneticPr fontId="5" type="noConversion"/>
  </si>
  <si>
    <t>&gt;5</t>
    <phoneticPr fontId="5" type="noConversion"/>
  </si>
  <si>
    <t>单体欠压报警一级</t>
    <phoneticPr fontId="5" type="noConversion"/>
  </si>
  <si>
    <t>单体欠压报警二级</t>
    <phoneticPr fontId="5" type="noConversion"/>
  </si>
  <si>
    <t>单体欠压报警三级</t>
    <phoneticPr fontId="5" type="noConversion"/>
  </si>
  <si>
    <t>功能类</t>
    <phoneticPr fontId="5" type="noConversion"/>
  </si>
  <si>
    <t>&gt;5</t>
    <phoneticPr fontId="5" type="noConversion"/>
  </si>
  <si>
    <t>单体过温报警一级</t>
    <phoneticPr fontId="5" type="noConversion"/>
  </si>
  <si>
    <t>单体过温报警二级</t>
    <phoneticPr fontId="5" type="noConversion"/>
  </si>
  <si>
    <t>单体过温报警三级</t>
    <phoneticPr fontId="5" type="noConversion"/>
  </si>
  <si>
    <t>安全类</t>
    <phoneticPr fontId="5" type="noConversion"/>
  </si>
  <si>
    <t>单体低温报警一级</t>
    <phoneticPr fontId="5" type="noConversion"/>
  </si>
  <si>
    <t>单体低温报警二级</t>
    <phoneticPr fontId="5" type="noConversion"/>
  </si>
  <si>
    <t>单体低温报警三级</t>
    <phoneticPr fontId="5" type="noConversion"/>
  </si>
  <si>
    <t>功能类</t>
    <phoneticPr fontId="5" type="noConversion"/>
  </si>
  <si>
    <t>箱体过压报警一级</t>
    <phoneticPr fontId="5" type="noConversion"/>
  </si>
  <si>
    <t>箱体过压报警二级</t>
    <phoneticPr fontId="5" type="noConversion"/>
  </si>
  <si>
    <t>箱体过压报警三级</t>
    <phoneticPr fontId="5" type="noConversion"/>
  </si>
  <si>
    <t>箱体欠压报警一级</t>
    <phoneticPr fontId="5" type="noConversion"/>
  </si>
  <si>
    <t>箱体欠压报警二级</t>
    <phoneticPr fontId="5" type="noConversion"/>
  </si>
  <si>
    <t>箱体欠压报警三级</t>
    <phoneticPr fontId="5" type="noConversion"/>
  </si>
  <si>
    <t>充电过流报警一级</t>
    <phoneticPr fontId="5" type="noConversion"/>
  </si>
  <si>
    <t>充电过流报警二级</t>
    <phoneticPr fontId="5" type="noConversion"/>
  </si>
  <si>
    <t>充电过流报警三级</t>
    <phoneticPr fontId="5" type="noConversion"/>
  </si>
  <si>
    <t>&gt;10</t>
  </si>
  <si>
    <t>放电过流报警一级</t>
    <phoneticPr fontId="5" type="noConversion"/>
  </si>
  <si>
    <t>放电过流报警二级</t>
    <phoneticPr fontId="5" type="noConversion"/>
  </si>
  <si>
    <t>放电过流报警三级</t>
    <phoneticPr fontId="5" type="noConversion"/>
  </si>
  <si>
    <t>功能类</t>
    <phoneticPr fontId="5" type="noConversion"/>
  </si>
  <si>
    <t>无</t>
    <phoneticPr fontId="5" type="noConversion"/>
  </si>
  <si>
    <t>单支路间累加和压差过大一级</t>
    <phoneticPr fontId="33" type="noConversion"/>
  </si>
  <si>
    <t>单支路间累加和压差过大二级</t>
    <phoneticPr fontId="33" type="noConversion"/>
  </si>
  <si>
    <t>单支路间累加和压差过大三级</t>
    <phoneticPr fontId="33" type="noConversion"/>
  </si>
  <si>
    <t>功能类</t>
    <phoneticPr fontId="5" type="noConversion"/>
  </si>
  <si>
    <t>&gt;5</t>
    <phoneticPr fontId="5" type="noConversion"/>
  </si>
  <si>
    <t>绝缘阻抗报警一级</t>
    <phoneticPr fontId="5" type="noConversion"/>
  </si>
  <si>
    <t>绝缘阻抗报警二级</t>
    <phoneticPr fontId="5" type="noConversion"/>
  </si>
  <si>
    <t>绝缘阻抗报警三级</t>
    <phoneticPr fontId="5" type="noConversion"/>
  </si>
  <si>
    <t>安全类</t>
    <phoneticPr fontId="5" type="noConversion"/>
  </si>
  <si>
    <t>单体压差过大一级</t>
    <phoneticPr fontId="5" type="noConversion"/>
  </si>
  <si>
    <t>单体压差过大二级</t>
    <phoneticPr fontId="5" type="noConversion"/>
  </si>
  <si>
    <t>单体压差过大三级</t>
    <phoneticPr fontId="5" type="noConversion"/>
  </si>
  <si>
    <t>SOC差异过大一级</t>
    <phoneticPr fontId="5" type="noConversion"/>
  </si>
  <si>
    <t>SOC差异过大二级</t>
    <phoneticPr fontId="5" type="noConversion"/>
  </si>
  <si>
    <t>SOC差异过大三级</t>
    <phoneticPr fontId="5" type="noConversion"/>
  </si>
  <si>
    <t>单体温差过大一级</t>
    <phoneticPr fontId="5" type="noConversion"/>
  </si>
  <si>
    <t>单体温差过大二级</t>
    <phoneticPr fontId="5" type="noConversion"/>
  </si>
  <si>
    <t>单体温差过大三级</t>
    <phoneticPr fontId="5" type="noConversion"/>
  </si>
  <si>
    <t>铜巴温度测量故障一级</t>
    <phoneticPr fontId="5" type="noConversion"/>
  </si>
  <si>
    <t>铜巴温度测量故障二级</t>
    <phoneticPr fontId="5" type="noConversion"/>
  </si>
  <si>
    <t>铜巴温度测量故障三级</t>
    <phoneticPr fontId="5" type="noConversion"/>
  </si>
  <si>
    <t>单体SOC差异过大一级</t>
    <phoneticPr fontId="33" type="noConversion"/>
  </si>
  <si>
    <t>单体SOC差异过大二级</t>
    <phoneticPr fontId="33" type="noConversion"/>
  </si>
  <si>
    <t>单体SOC差异过大三级</t>
    <phoneticPr fontId="33" type="noConversion"/>
  </si>
  <si>
    <t>安全类</t>
    <phoneticPr fontId="33" type="noConversion"/>
  </si>
  <si>
    <t>高压采样故障"Error"</t>
    <phoneticPr fontId="5" type="noConversion"/>
  </si>
  <si>
    <t>高压采样故障"Signal not defined"</t>
    <phoneticPr fontId="5" type="noConversion"/>
  </si>
  <si>
    <t>高压采样故障 "Signal invalid"</t>
    <phoneticPr fontId="5" type="noConversion"/>
  </si>
  <si>
    <t>BMU CAN Message Timeout； 1 "Error"</t>
    <phoneticPr fontId="5" type="noConversion"/>
  </si>
  <si>
    <t>BMU PCB板温过高报警</t>
    <phoneticPr fontId="5" type="noConversion"/>
  </si>
  <si>
    <t>LEM供电电源电压故障</t>
    <phoneticPr fontId="5" type="noConversion"/>
  </si>
  <si>
    <t>HVB供电使能是否成功标志位</t>
    <phoneticPr fontId="5" type="noConversion"/>
  </si>
  <si>
    <t>PDB唤醒使能是否成功标志位</t>
    <phoneticPr fontId="5" type="noConversion"/>
  </si>
  <si>
    <t>DCDC锁定使能是否成功标志位</t>
    <phoneticPr fontId="5" type="noConversion"/>
  </si>
  <si>
    <t>ACAN通讯丢失</t>
    <phoneticPr fontId="5" type="noConversion"/>
  </si>
  <si>
    <t>SCAN通讯丢失标志</t>
    <phoneticPr fontId="5" type="noConversion"/>
  </si>
  <si>
    <t>ACAN busoff标志</t>
    <phoneticPr fontId="5" type="noConversion"/>
  </si>
  <si>
    <t>SCAN busoff标志</t>
    <phoneticPr fontId="5" type="noConversion"/>
  </si>
  <si>
    <t>交流充电插座温度过高报警一级</t>
    <phoneticPr fontId="5" type="noConversion"/>
  </si>
  <si>
    <t>交流充电插座温度过高报警二级</t>
    <phoneticPr fontId="5" type="noConversion"/>
  </si>
  <si>
    <t>直流充电插座温度过高报警一级</t>
    <phoneticPr fontId="5" type="noConversion"/>
  </si>
  <si>
    <t>直流充电插座温度过高报警二级</t>
    <phoneticPr fontId="5" type="noConversion"/>
  </si>
  <si>
    <t>满充支路对应维度满充时置1</t>
    <phoneticPr fontId="5" type="noConversion"/>
  </si>
  <si>
    <t xml:space="preserve">BMU终止充电原因：
1：SOC达到目标值 </t>
    <phoneticPr fontId="5" type="noConversion"/>
  </si>
  <si>
    <t>BMU终止充电原因：
2：单体电压达到设定值</t>
    <phoneticPr fontId="5" type="noConversion"/>
  </si>
  <si>
    <t>BMU终止充电原因：
3：pack电压达到目标值</t>
    <phoneticPr fontId="5" type="noConversion"/>
  </si>
  <si>
    <t>BMU终止充电原因：
4：其他故障停止充电</t>
    <phoneticPr fontId="5" type="noConversion"/>
  </si>
  <si>
    <t>CSC MCU ADC故障</t>
    <phoneticPr fontId="5" type="noConversion"/>
  </si>
  <si>
    <t>集电弓正继电器线圈故障状态</t>
    <phoneticPr fontId="5" type="noConversion"/>
  </si>
  <si>
    <t>集电弓负继电器线圈故障状态</t>
    <phoneticPr fontId="5" type="noConversion"/>
  </si>
  <si>
    <t>交流负继电器线圈故障状态</t>
  </si>
  <si>
    <t>TMS负继电器线圈故障状态</t>
  </si>
  <si>
    <t>附件1继电器线圈故障状态</t>
  </si>
  <si>
    <t>附件2继电器线圈故障状态</t>
  </si>
  <si>
    <t>附件3继电器线圈故障状态</t>
  </si>
  <si>
    <t>交流正继电器线圈故障状态</t>
  </si>
  <si>
    <t>主正继电器线圈故障状态</t>
    <phoneticPr fontId="5" type="noConversion"/>
  </si>
  <si>
    <t>主负继电器线圈故障状态</t>
    <phoneticPr fontId="5" type="noConversion"/>
  </si>
  <si>
    <t>预充继电器线圈故障状态</t>
    <phoneticPr fontId="5" type="noConversion"/>
  </si>
  <si>
    <t>充正1继电器线圈故障状态</t>
    <phoneticPr fontId="5" type="noConversion"/>
  </si>
  <si>
    <t>充正2继电器线圈故障状态</t>
    <phoneticPr fontId="5" type="noConversion"/>
  </si>
  <si>
    <t>充负1继电器线圈故障状态</t>
    <phoneticPr fontId="5" type="noConversion"/>
  </si>
  <si>
    <t>充负2继电器线圈故障状态</t>
    <phoneticPr fontId="5" type="noConversion"/>
  </si>
  <si>
    <t>水机组继电器线圈故障状态</t>
    <phoneticPr fontId="5" type="noConversion"/>
  </si>
  <si>
    <t>加热正极继电器线圈故障状态</t>
    <phoneticPr fontId="5" type="noConversion"/>
  </si>
  <si>
    <t>加热负极继电器线圈故障状态</t>
    <phoneticPr fontId="5" type="noConversion"/>
  </si>
  <si>
    <t>附件1继电器触点故障-粘连</t>
    <phoneticPr fontId="5" type="noConversion"/>
  </si>
  <si>
    <t>附件1继电器触点故障-开路</t>
    <phoneticPr fontId="5" type="noConversion"/>
  </si>
  <si>
    <t>Online阶段电子锁异常解锁</t>
    <phoneticPr fontId="5" type="noConversion"/>
  </si>
  <si>
    <t>AC充电充电故障阶段（BMU内部故障/ACAN停止充电）</t>
    <phoneticPr fontId="5" type="noConversion"/>
  </si>
  <si>
    <t>故障码(自定义)</t>
    <phoneticPr fontId="5" type="noConversion"/>
  </si>
  <si>
    <t>报警类</t>
    <phoneticPr fontId="5" type="noConversion"/>
  </si>
  <si>
    <r>
      <t>BMU供电电源状态；0-正常状态；1-故障状态；</t>
    </r>
    <r>
      <rPr>
        <sz val="11"/>
        <color theme="1"/>
        <rFont val="Arial"/>
        <family val="2"/>
      </rPr>
      <t/>
    </r>
    <phoneticPr fontId="5" type="noConversion"/>
  </si>
  <si>
    <r>
      <t>BST other fault 解析(预留)</t>
    </r>
    <r>
      <rPr>
        <sz val="11"/>
        <color theme="1"/>
        <rFont val="宋体"/>
        <family val="2"/>
        <charset val="134"/>
        <scheme val="minor"/>
      </rPr>
      <t/>
    </r>
    <phoneticPr fontId="5" type="noConversion"/>
  </si>
  <si>
    <r>
      <t>BST other fault 解析(预留)</t>
    </r>
    <r>
      <rPr>
        <sz val="11"/>
        <color theme="1"/>
        <rFont val="宋体"/>
        <family val="2"/>
        <charset val="134"/>
        <scheme val="minor"/>
      </rPr>
      <t/>
    </r>
    <phoneticPr fontId="5" type="noConversion"/>
  </si>
  <si>
    <r>
      <t>内部通信故障</t>
    </r>
    <r>
      <rPr>
        <sz val="9"/>
        <rFont val="Arial"/>
        <family val="2"/>
      </rPr>
      <t/>
    </r>
    <phoneticPr fontId="33" type="noConversion"/>
  </si>
  <si>
    <t>回充电流超限一级</t>
    <phoneticPr fontId="33" type="noConversion"/>
  </si>
  <si>
    <t>回充电流超限二级</t>
    <phoneticPr fontId="33" type="noConversion"/>
  </si>
  <si>
    <t>回充电流超限三级</t>
    <phoneticPr fontId="33" type="noConversion"/>
  </si>
  <si>
    <t>各支路电流相差过大一级</t>
    <phoneticPr fontId="33" type="noConversion"/>
  </si>
  <si>
    <t>各支路电流相差过大二级</t>
    <phoneticPr fontId="33" type="noConversion"/>
  </si>
  <si>
    <t>各支路电流相差过大三级</t>
    <phoneticPr fontId="33" type="noConversion"/>
  </si>
  <si>
    <r>
      <t>充电过流报警</t>
    </r>
    <r>
      <rPr>
        <sz val="9"/>
        <rFont val="Arial"/>
        <family val="2"/>
      </rPr>
      <t/>
    </r>
    <phoneticPr fontId="33" type="noConversion"/>
  </si>
  <si>
    <r>
      <t>内部通信故障</t>
    </r>
    <r>
      <rPr>
        <sz val="9"/>
        <rFont val="Arial"/>
        <family val="2"/>
      </rPr>
      <t/>
    </r>
    <phoneticPr fontId="33" type="noConversion"/>
  </si>
  <si>
    <r>
      <t>故障代码</t>
    </r>
    <r>
      <rPr>
        <sz val="9"/>
        <rFont val="Arial"/>
        <family val="2"/>
      </rPr>
      <t/>
    </r>
    <phoneticPr fontId="33" type="noConversion"/>
  </si>
  <si>
    <r>
      <t>生命信号</t>
    </r>
    <r>
      <rPr>
        <sz val="9"/>
        <rFont val="Arial"/>
        <family val="2"/>
      </rPr>
      <t/>
    </r>
    <phoneticPr fontId="33" type="noConversion"/>
  </si>
  <si>
    <r>
      <t>主负继电器状态</t>
    </r>
    <r>
      <rPr>
        <sz val="9"/>
        <rFont val="Arial"/>
        <family val="2"/>
      </rPr>
      <t/>
    </r>
    <phoneticPr fontId="33" type="noConversion"/>
  </si>
  <si>
    <t>交流充负继电器故障</t>
    <phoneticPr fontId="33" type="noConversion"/>
  </si>
  <si>
    <t>AL_HeatNegRelay</t>
    <phoneticPr fontId="33" type="noConversion"/>
  </si>
  <si>
    <t>加热负继电器故障</t>
    <phoneticPr fontId="33" type="noConversion"/>
  </si>
  <si>
    <t>AL_TMSPosRelay</t>
    <phoneticPr fontId="33" type="noConversion"/>
  </si>
  <si>
    <t>AL_TMSNegRelay</t>
    <phoneticPr fontId="33" type="noConversion"/>
  </si>
  <si>
    <t>TMS正继电器故障</t>
    <phoneticPr fontId="33" type="noConversion"/>
  </si>
  <si>
    <t>TMS负继电器故障</t>
    <phoneticPr fontId="33" type="noConversion"/>
  </si>
  <si>
    <t>附件3继电器故障</t>
    <phoneticPr fontId="33" type="noConversion"/>
  </si>
  <si>
    <t>AL_MainNegRelay</t>
    <phoneticPr fontId="33" type="noConversion"/>
  </si>
  <si>
    <t>主负继电器故障</t>
    <phoneticPr fontId="33" type="noConversion"/>
  </si>
  <si>
    <t>AL_ChgNeg1Relay</t>
    <phoneticPr fontId="33" type="noConversion"/>
  </si>
  <si>
    <t>充负1继电器故障</t>
    <phoneticPr fontId="33" type="noConversion"/>
  </si>
  <si>
    <t>AL_ChgPos2Relay</t>
    <phoneticPr fontId="33" type="noConversion"/>
  </si>
  <si>
    <t>AL_ChgNeg2Relay</t>
    <phoneticPr fontId="33" type="noConversion"/>
  </si>
  <si>
    <t>AL_PantoPosRelay</t>
    <phoneticPr fontId="33" type="noConversion"/>
  </si>
  <si>
    <t>充正2继电器故障</t>
    <phoneticPr fontId="33" type="noConversion"/>
  </si>
  <si>
    <t>充负2继电器故障</t>
    <phoneticPr fontId="33" type="noConversion"/>
  </si>
  <si>
    <t>集电弓正继电器故障</t>
    <phoneticPr fontId="33" type="noConversion"/>
  </si>
  <si>
    <t>0 "No Alarm" 1 "Alarm"</t>
    <phoneticPr fontId="33" type="noConversion"/>
  </si>
  <si>
    <t>AL_PantoNegRelay</t>
    <phoneticPr fontId="33" type="noConversion"/>
  </si>
  <si>
    <t>集电弓负继电器故障</t>
    <phoneticPr fontId="33" type="noConversion"/>
  </si>
  <si>
    <t>AL_ACChgPosRelay</t>
    <phoneticPr fontId="33" type="noConversion"/>
  </si>
  <si>
    <t>交流充正继电器故障</t>
    <phoneticPr fontId="33" type="noConversion"/>
  </si>
  <si>
    <t>AL_MC33771RegisterFault</t>
    <phoneticPr fontId="33" type="noConversion"/>
  </si>
  <si>
    <t>MC33771寄存器故障</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</si>
</sst>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 #,##0.00_ ;_ * \-#,##0.00_ ;_ * &quot;-&quot;??_ ;_ @_ "/>
    <numFmt numFmtId="176" formatCode="_ [$€-2]* #,##0.00_ ;_ [$€-2]* \-#,##0.00_ ;_ [$€-2]* &quot;-&quot;??_ "/>
  </numFmts>
  <fonts count="42">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0"/>
      <name val="Arial"/>
      <family val="2"/>
    </font>
    <font>
      <sz val="12"/>
      <name val="宋体"/>
      <family val="3"/>
      <charset val="134"/>
    </font>
    <font>
      <sz val="11"/>
      <color rgb="FF9C0006"/>
      <name val="宋体"/>
      <family val="3"/>
      <charset val="134"/>
      <scheme val="minor"/>
    </font>
    <font>
      <sz val="11"/>
      <color theme="1"/>
      <name val="宋体"/>
      <family val="3"/>
      <charset val="134"/>
      <scheme val="minor"/>
    </font>
    <font>
      <sz val="11"/>
      <color theme="1"/>
      <name val="宋体"/>
      <family val="2"/>
      <scheme val="minor"/>
    </font>
    <font>
      <sz val="11"/>
      <color indexed="8"/>
      <name val="Calibri"/>
      <family val="2"/>
    </font>
    <font>
      <sz val="10"/>
      <color indexed="12"/>
      <name val="Arial"/>
      <family val="2"/>
    </font>
    <font>
      <sz val="12"/>
      <name val="Times New Roman"/>
      <family val="1"/>
    </font>
    <font>
      <sz val="11"/>
      <color rgb="FFFF0000"/>
      <name val="宋体"/>
      <family val="3"/>
      <charset val="134"/>
      <scheme val="minor"/>
    </font>
    <font>
      <b/>
      <sz val="11"/>
      <color theme="1"/>
      <name val="宋体"/>
      <family val="3"/>
      <charset val="134"/>
      <scheme val="minor"/>
    </font>
    <font>
      <sz val="11"/>
      <color theme="0"/>
      <name val="宋体"/>
      <family val="3"/>
      <charset val="134"/>
      <scheme val="minor"/>
    </font>
    <font>
      <b/>
      <sz val="18"/>
      <color theme="3"/>
      <name val="宋体"/>
      <family val="3"/>
      <charset val="134"/>
      <scheme val="major"/>
    </font>
    <font>
      <b/>
      <sz val="15"/>
      <color theme="3"/>
      <name val="宋体"/>
      <family val="3"/>
      <charset val="134"/>
      <scheme val="minor"/>
    </font>
    <font>
      <b/>
      <sz val="13"/>
      <color theme="3"/>
      <name val="宋体"/>
      <family val="3"/>
      <charset val="134"/>
      <scheme val="minor"/>
    </font>
    <font>
      <b/>
      <sz val="11"/>
      <color theme="3"/>
      <name val="宋体"/>
      <family val="3"/>
      <charset val="134"/>
      <scheme val="minor"/>
    </font>
    <font>
      <u/>
      <sz val="9"/>
      <color theme="10"/>
      <name val="Arial"/>
      <family val="2"/>
    </font>
    <font>
      <sz val="11"/>
      <color rgb="FF006100"/>
      <name val="宋体"/>
      <family val="3"/>
      <charset val="134"/>
      <scheme val="minor"/>
    </font>
    <font>
      <b/>
      <sz val="11"/>
      <color rgb="FFFA7D00"/>
      <name val="宋体"/>
      <family val="3"/>
      <charset val="134"/>
      <scheme val="minor"/>
    </font>
    <font>
      <b/>
      <sz val="11"/>
      <color theme="0"/>
      <name val="宋体"/>
      <family val="3"/>
      <charset val="134"/>
      <scheme val="minor"/>
    </font>
    <font>
      <i/>
      <sz val="11"/>
      <color rgb="FF7F7F7F"/>
      <name val="宋体"/>
      <family val="3"/>
      <charset val="134"/>
      <scheme val="minor"/>
    </font>
    <font>
      <sz val="11"/>
      <color rgb="FFFA7D00"/>
      <name val="宋体"/>
      <family val="3"/>
      <charset val="134"/>
      <scheme val="minor"/>
    </font>
    <font>
      <sz val="11"/>
      <color rgb="FF9C6500"/>
      <name val="宋体"/>
      <family val="3"/>
      <charset val="134"/>
      <scheme val="minor"/>
    </font>
    <font>
      <b/>
      <sz val="11"/>
      <color rgb="FF3F3F3F"/>
      <name val="宋体"/>
      <family val="3"/>
      <charset val="134"/>
      <scheme val="minor"/>
    </font>
    <font>
      <sz val="11"/>
      <color rgb="FF3F3F76"/>
      <name val="宋体"/>
      <family val="3"/>
      <charset val="134"/>
      <scheme val="minor"/>
    </font>
    <font>
      <sz val="11"/>
      <name val="宋体"/>
      <family val="3"/>
      <charset val="134"/>
      <scheme val="minor"/>
    </font>
    <font>
      <sz val="11"/>
      <color theme="1"/>
      <name val="Arial"/>
      <family val="2"/>
    </font>
    <font>
      <sz val="9"/>
      <name val="Arial"/>
      <family val="2"/>
    </font>
    <font>
      <sz val="9"/>
      <name val="宋体"/>
      <family val="3"/>
      <charset val="134"/>
    </font>
    <font>
      <sz val="9"/>
      <color theme="1"/>
      <name val="宋体"/>
      <family val="3"/>
      <charset val="134"/>
      <scheme val="minor"/>
    </font>
    <font>
      <sz val="9"/>
      <color theme="1"/>
      <name val="Arial"/>
      <family val="2"/>
    </font>
    <font>
      <b/>
      <sz val="9"/>
      <color indexed="81"/>
      <name val="宋体"/>
      <family val="3"/>
      <charset val="134"/>
    </font>
    <font>
      <sz val="9"/>
      <color indexed="81"/>
      <name val="宋体"/>
      <family val="3"/>
      <charset val="134"/>
    </font>
    <font>
      <sz val="10"/>
      <color theme="1"/>
      <name val="Arial Unicode MS"/>
      <family val="2"/>
      <charset val="134"/>
    </font>
    <font>
      <sz val="10"/>
      <name val="Arial Unicode MS"/>
      <family val="2"/>
      <charset val="134"/>
    </font>
    <font>
      <b/>
      <sz val="10"/>
      <color theme="1"/>
      <name val="Arial Unicode MS"/>
      <family val="2"/>
      <charset val="134"/>
    </font>
    <font>
      <sz val="10"/>
      <color rgb="FFFF0000"/>
      <name val="Arial Unicode MS"/>
      <family val="2"/>
      <charset val="134"/>
    </font>
  </fonts>
  <fills count="36">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3" tint="0.59999389629810485"/>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top style="thin">
        <color indexed="64"/>
      </top>
      <bottom/>
      <diagonal/>
    </border>
  </borders>
  <cellStyleXfs count="37730">
    <xf numFmtId="176" fontId="0" fillId="0" borderId="0"/>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6" fillId="0" borderId="0"/>
    <xf numFmtId="176" fontId="4" fillId="0" borderId="0">
      <alignment vertical="center"/>
    </xf>
    <xf numFmtId="176" fontId="4" fillId="0" borderId="0">
      <alignment vertical="center"/>
    </xf>
    <xf numFmtId="176" fontId="4" fillId="0" borderId="0">
      <alignment vertical="center"/>
    </xf>
    <xf numFmtId="176" fontId="8" fillId="2" borderId="0" applyNumberFormat="0" applyBorder="0" applyAlignment="0" applyProtection="0"/>
    <xf numFmtId="176" fontId="9" fillId="0" borderId="0">
      <alignment vertical="center"/>
    </xf>
    <xf numFmtId="176" fontId="4" fillId="0" borderId="0">
      <alignment vertical="center"/>
    </xf>
    <xf numFmtId="176" fontId="7" fillId="0" borderId="0"/>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4" fillId="0" borderId="0">
      <alignment vertical="center"/>
    </xf>
    <xf numFmtId="176" fontId="3" fillId="0" borderId="0">
      <alignment vertical="center"/>
    </xf>
    <xf numFmtId="176" fontId="11" fillId="0" borderId="0"/>
    <xf numFmtId="176" fontId="10" fillId="0" borderId="0"/>
    <xf numFmtId="176" fontId="12" fillId="0" borderId="1">
      <alignment horizontal="left" vertical="center" wrapText="1"/>
    </xf>
    <xf numFmtId="176" fontId="6" fillId="0" borderId="0"/>
    <xf numFmtId="176" fontId="10" fillId="0" borderId="0"/>
    <xf numFmtId="176" fontId="11" fillId="0" borderId="0"/>
    <xf numFmtId="176" fontId="6" fillId="0" borderId="0"/>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6" fillId="0" borderId="0"/>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176" fontId="3"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9" fontId="10" fillId="0" borderId="0" applyFont="0" applyFill="0" applyBorder="0" applyAlignment="0" applyProtection="0">
      <alignment vertical="center"/>
    </xf>
    <xf numFmtId="176" fontId="9" fillId="0" borderId="0">
      <alignment vertical="center"/>
    </xf>
    <xf numFmtId="176" fontId="13" fillId="0" borderId="0">
      <alignment vertical="center"/>
    </xf>
    <xf numFmtId="176" fontId="7" fillId="0" borderId="0"/>
    <xf numFmtId="176" fontId="7" fillId="0" borderId="0"/>
    <xf numFmtId="176" fontId="7" fillId="0" borderId="0">
      <alignment vertical="center"/>
    </xf>
    <xf numFmtId="176" fontId="7" fillId="0" borderId="0"/>
    <xf numFmtId="176" fontId="7" fillId="0" borderId="0"/>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7"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11" fillId="0" borderId="0"/>
    <xf numFmtId="176" fontId="10" fillId="0" borderId="0"/>
    <xf numFmtId="176" fontId="12" fillId="0" borderId="1">
      <alignment horizontal="left" vertical="center" wrapText="1"/>
    </xf>
    <xf numFmtId="176" fontId="6" fillId="0" borderId="0"/>
    <xf numFmtId="176" fontId="10" fillId="0" borderId="0"/>
    <xf numFmtId="176" fontId="11" fillId="0" borderId="0"/>
    <xf numFmtId="176" fontId="6" fillId="0" borderId="0"/>
    <xf numFmtId="176" fontId="2" fillId="0" borderId="0">
      <alignment vertical="center"/>
    </xf>
    <xf numFmtId="176" fontId="2" fillId="0" borderId="0">
      <alignment vertical="center"/>
    </xf>
    <xf numFmtId="176" fontId="2" fillId="0" borderId="0">
      <alignment vertical="center"/>
    </xf>
    <xf numFmtId="176" fontId="9"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6" fillId="0" borderId="0"/>
    <xf numFmtId="176" fontId="2" fillId="0" borderId="0">
      <alignment vertical="center"/>
    </xf>
    <xf numFmtId="176" fontId="2" fillId="0" borderId="0">
      <alignment vertical="center"/>
    </xf>
    <xf numFmtId="176" fontId="2" fillId="0" borderId="0">
      <alignment vertical="center"/>
    </xf>
    <xf numFmtId="176" fontId="8" fillId="2" borderId="0" applyNumberFormat="0" applyBorder="0" applyAlignment="0" applyProtection="0"/>
    <xf numFmtId="176" fontId="9" fillId="0" borderId="0">
      <alignment vertical="center"/>
    </xf>
    <xf numFmtId="176" fontId="2" fillId="0" borderId="0">
      <alignment vertical="center"/>
    </xf>
    <xf numFmtId="176" fontId="7" fillId="0" borderId="0"/>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2" fillId="0" borderId="0">
      <alignment vertical="center"/>
    </xf>
    <xf numFmtId="176" fontId="9" fillId="0" borderId="0">
      <alignment vertical="center"/>
    </xf>
    <xf numFmtId="176" fontId="7" fillId="0" borderId="0"/>
    <xf numFmtId="176" fontId="7" fillId="0" borderId="0"/>
    <xf numFmtId="176" fontId="7" fillId="0" borderId="0">
      <alignment vertical="center"/>
    </xf>
    <xf numFmtId="176" fontId="7" fillId="0" borderId="0"/>
    <xf numFmtId="176" fontId="7" fillId="0" borderId="0"/>
    <xf numFmtId="176" fontId="9" fillId="0" borderId="0">
      <alignment vertical="center"/>
    </xf>
    <xf numFmtId="176" fontId="9" fillId="11" borderId="0" applyNumberFormat="0" applyBorder="0" applyAlignment="0" applyProtection="0">
      <alignment vertical="center"/>
    </xf>
    <xf numFmtId="176" fontId="9" fillId="15" borderId="0" applyNumberFormat="0" applyBorder="0" applyAlignment="0" applyProtection="0">
      <alignment vertical="center"/>
    </xf>
    <xf numFmtId="176" fontId="9" fillId="19" borderId="0" applyNumberFormat="0" applyBorder="0" applyAlignment="0" applyProtection="0">
      <alignment vertical="center"/>
    </xf>
    <xf numFmtId="176" fontId="9" fillId="23" borderId="0" applyNumberFormat="0" applyBorder="0" applyAlignment="0" applyProtection="0">
      <alignment vertical="center"/>
    </xf>
    <xf numFmtId="176" fontId="9" fillId="27" borderId="0" applyNumberFormat="0" applyBorder="0" applyAlignment="0" applyProtection="0">
      <alignment vertical="center"/>
    </xf>
    <xf numFmtId="176" fontId="9" fillId="31" borderId="0" applyNumberFormat="0" applyBorder="0" applyAlignment="0" applyProtection="0">
      <alignment vertical="center"/>
    </xf>
    <xf numFmtId="176" fontId="9" fillId="12" borderId="0" applyNumberFormat="0" applyBorder="0" applyAlignment="0" applyProtection="0">
      <alignment vertical="center"/>
    </xf>
    <xf numFmtId="176" fontId="9" fillId="16" borderId="0" applyNumberFormat="0" applyBorder="0" applyAlignment="0" applyProtection="0">
      <alignment vertical="center"/>
    </xf>
    <xf numFmtId="176" fontId="9" fillId="20" borderId="0" applyNumberFormat="0" applyBorder="0" applyAlignment="0" applyProtection="0">
      <alignment vertical="center"/>
    </xf>
    <xf numFmtId="176" fontId="9" fillId="24" borderId="0" applyNumberFormat="0" applyBorder="0" applyAlignment="0" applyProtection="0">
      <alignment vertical="center"/>
    </xf>
    <xf numFmtId="176" fontId="9" fillId="28" borderId="0" applyNumberFormat="0" applyBorder="0" applyAlignment="0" applyProtection="0">
      <alignment vertical="center"/>
    </xf>
    <xf numFmtId="176" fontId="9" fillId="32" borderId="0" applyNumberFormat="0" applyBorder="0" applyAlignment="0" applyProtection="0">
      <alignment vertical="center"/>
    </xf>
    <xf numFmtId="176" fontId="16" fillId="13" borderId="0" applyNumberFormat="0" applyBorder="0" applyAlignment="0" applyProtection="0">
      <alignment vertical="center"/>
    </xf>
    <xf numFmtId="176" fontId="16" fillId="17" borderId="0" applyNumberFormat="0" applyBorder="0" applyAlignment="0" applyProtection="0">
      <alignment vertical="center"/>
    </xf>
    <xf numFmtId="176" fontId="16" fillId="21" borderId="0" applyNumberFormat="0" applyBorder="0" applyAlignment="0" applyProtection="0">
      <alignment vertical="center"/>
    </xf>
    <xf numFmtId="176" fontId="16" fillId="25" borderId="0" applyNumberFormat="0" applyBorder="0" applyAlignment="0" applyProtection="0">
      <alignment vertical="center"/>
    </xf>
    <xf numFmtId="176" fontId="16" fillId="29" borderId="0" applyNumberFormat="0" applyBorder="0" applyAlignment="0" applyProtection="0">
      <alignment vertical="center"/>
    </xf>
    <xf numFmtId="176" fontId="16" fillId="33" borderId="0" applyNumberFormat="0" applyBorder="0" applyAlignment="0" applyProtection="0">
      <alignment vertical="center"/>
    </xf>
    <xf numFmtId="176" fontId="17" fillId="0" borderId="0" applyNumberFormat="0" applyFill="0" applyBorder="0" applyAlignment="0" applyProtection="0">
      <alignment vertical="center"/>
    </xf>
    <xf numFmtId="176" fontId="18" fillId="0" borderId="2" applyNumberFormat="0" applyFill="0" applyAlignment="0" applyProtection="0">
      <alignment vertical="center"/>
    </xf>
    <xf numFmtId="176" fontId="19" fillId="0" borderId="3" applyNumberFormat="0" applyFill="0" applyAlignment="0" applyProtection="0">
      <alignment vertical="center"/>
    </xf>
    <xf numFmtId="176" fontId="20" fillId="0" borderId="4" applyNumberFormat="0" applyFill="0" applyAlignment="0" applyProtection="0">
      <alignment vertical="center"/>
    </xf>
    <xf numFmtId="176" fontId="20" fillId="0" borderId="0" applyNumberFormat="0" applyFill="0" applyBorder="0" applyAlignment="0" applyProtection="0">
      <alignment vertical="center"/>
    </xf>
    <xf numFmtId="176" fontId="8" fillId="2" borderId="0" applyNumberFormat="0" applyBorder="0" applyAlignment="0" applyProtection="0">
      <alignment vertical="center"/>
    </xf>
    <xf numFmtId="176" fontId="21" fillId="0" borderId="0" applyNumberFormat="0" applyFill="0" applyBorder="0" applyAlignment="0" applyProtection="0">
      <alignment vertical="center"/>
    </xf>
    <xf numFmtId="176" fontId="22" fillId="4" borderId="0" applyNumberFormat="0" applyBorder="0" applyAlignment="0" applyProtection="0">
      <alignment vertical="center"/>
    </xf>
    <xf numFmtId="176" fontId="15" fillId="0" borderId="10" applyNumberFormat="0" applyFill="0" applyAlignment="0" applyProtection="0">
      <alignment vertical="center"/>
    </xf>
    <xf numFmtId="176" fontId="23" fillId="7" borderId="5" applyNumberFormat="0" applyAlignment="0" applyProtection="0">
      <alignment vertical="center"/>
    </xf>
    <xf numFmtId="176" fontId="24" fillId="8" borderId="8" applyNumberFormat="0" applyAlignment="0" applyProtection="0">
      <alignment vertical="center"/>
    </xf>
    <xf numFmtId="176" fontId="25" fillId="0" borderId="0" applyNumberFormat="0" applyFill="0" applyBorder="0" applyAlignment="0" applyProtection="0">
      <alignment vertical="center"/>
    </xf>
    <xf numFmtId="176" fontId="14" fillId="0" borderId="0" applyNumberFormat="0" applyFill="0" applyBorder="0" applyAlignment="0" applyProtection="0">
      <alignment vertical="center"/>
    </xf>
    <xf numFmtId="176" fontId="26" fillId="0" borderId="7" applyNumberFormat="0" applyFill="0" applyAlignment="0" applyProtection="0">
      <alignment vertical="center"/>
    </xf>
    <xf numFmtId="176" fontId="16" fillId="10" borderId="0" applyNumberFormat="0" applyBorder="0" applyAlignment="0" applyProtection="0">
      <alignment vertical="center"/>
    </xf>
    <xf numFmtId="176" fontId="16" fillId="14" borderId="0" applyNumberFormat="0" applyBorder="0" applyAlignment="0" applyProtection="0">
      <alignment vertical="center"/>
    </xf>
    <xf numFmtId="176" fontId="16" fillId="18" borderId="0" applyNumberFormat="0" applyBorder="0" applyAlignment="0" applyProtection="0">
      <alignment vertical="center"/>
    </xf>
    <xf numFmtId="176" fontId="16" fillId="22" borderId="0" applyNumberFormat="0" applyBorder="0" applyAlignment="0" applyProtection="0">
      <alignment vertical="center"/>
    </xf>
    <xf numFmtId="176" fontId="16" fillId="26" borderId="0" applyNumberFormat="0" applyBorder="0" applyAlignment="0" applyProtection="0">
      <alignment vertical="center"/>
    </xf>
    <xf numFmtId="176" fontId="16" fillId="30" borderId="0" applyNumberFormat="0" applyBorder="0" applyAlignment="0" applyProtection="0">
      <alignment vertical="center"/>
    </xf>
    <xf numFmtId="176" fontId="27" fillId="5" borderId="0" applyNumberFormat="0" applyBorder="0" applyAlignment="0" applyProtection="0">
      <alignment vertical="center"/>
    </xf>
    <xf numFmtId="176" fontId="28" fillId="7" borderId="6" applyNumberFormat="0" applyAlignment="0" applyProtection="0">
      <alignment vertical="center"/>
    </xf>
    <xf numFmtId="176" fontId="29" fillId="6" borderId="5" applyNumberFormat="0" applyAlignment="0" applyProtection="0">
      <alignment vertical="center"/>
    </xf>
    <xf numFmtId="176" fontId="9" fillId="9" borderId="9" applyNumberFormat="0" applyFont="0" applyAlignment="0" applyProtection="0">
      <alignment vertical="center"/>
    </xf>
  </cellStyleXfs>
  <cellXfs count="40">
    <xf numFmtId="176" fontId="0" fillId="0" borderId="0" xfId="0"/>
    <xf numFmtId="0" fontId="38" fillId="35" borderId="1" xfId="398" applyNumberFormat="1" applyFont="1" applyFill="1" applyBorder="1" applyAlignment="1">
      <alignment horizontal="center" vertical="center"/>
    </xf>
    <xf numFmtId="0" fontId="38" fillId="35" borderId="1" xfId="393" applyNumberFormat="1" applyFont="1" applyFill="1" applyBorder="1" applyAlignment="1">
      <alignment horizontal="center" vertical="center"/>
    </xf>
    <xf numFmtId="0" fontId="38" fillId="0" borderId="1" xfId="398" applyNumberFormat="1" applyFont="1" applyBorder="1" applyAlignment="1">
      <alignment horizontal="center" vertical="center"/>
    </xf>
    <xf numFmtId="0" fontId="38" fillId="0" borderId="1" xfId="398" applyNumberFormat="1" applyFont="1" applyBorder="1" applyAlignment="1">
      <alignment vertical="center"/>
    </xf>
    <xf numFmtId="0" fontId="38" fillId="0" borderId="1" xfId="393" applyNumberFormat="1" applyFont="1" applyBorder="1" applyAlignment="1">
      <alignment horizontal="center" vertical="center"/>
    </xf>
    <xf numFmtId="0" fontId="38" fillId="0" borderId="0" xfId="398" applyNumberFormat="1" applyFont="1" applyAlignment="1">
      <alignment vertical="center"/>
    </xf>
    <xf numFmtId="0" fontId="38" fillId="0" borderId="1" xfId="398" applyNumberFormat="1" applyFont="1" applyFill="1" applyBorder="1" applyAlignment="1">
      <alignment vertical="center"/>
    </xf>
    <xf numFmtId="0" fontId="38" fillId="3" borderId="1" xfId="398" applyNumberFormat="1" applyFont="1" applyFill="1" applyBorder="1" applyAlignment="1">
      <alignment vertical="center"/>
    </xf>
    <xf numFmtId="0" fontId="40" fillId="34" borderId="1" xfId="0" applyNumberFormat="1" applyFont="1" applyFill="1" applyBorder="1" applyAlignment="1">
      <alignment horizontal="center" vertical="center"/>
    </xf>
    <xf numFmtId="0" fontId="40" fillId="34" borderId="11" xfId="0" applyNumberFormat="1" applyFont="1" applyFill="1" applyBorder="1" applyAlignment="1">
      <alignment horizontal="center" vertical="center" wrapText="1"/>
    </xf>
    <xf numFmtId="0" fontId="40" fillId="34" borderId="1" xfId="0" applyNumberFormat="1" applyFont="1" applyFill="1" applyBorder="1" applyAlignment="1">
      <alignment horizontal="center" vertical="center" wrapText="1"/>
    </xf>
    <xf numFmtId="0" fontId="0" fillId="0" borderId="0" xfId="0" applyNumberFormat="1"/>
    <xf numFmtId="0" fontId="38" fillId="0" borderId="1" xfId="0" applyNumberFormat="1" applyFont="1" applyFill="1" applyBorder="1" applyAlignment="1">
      <alignment horizontal="center" vertical="center"/>
    </xf>
    <xf numFmtId="0" fontId="38" fillId="0" borderId="11" xfId="0" applyNumberFormat="1" applyFont="1" applyFill="1" applyBorder="1" applyAlignment="1">
      <alignment horizontal="left" vertical="center" wrapText="1"/>
    </xf>
    <xf numFmtId="0" fontId="38" fillId="0" borderId="1" xfId="0" applyNumberFormat="1" applyFont="1" applyBorder="1" applyAlignment="1">
      <alignment horizontal="center" vertical="center"/>
    </xf>
    <xf numFmtId="0" fontId="38" fillId="0" borderId="1" xfId="0" applyNumberFormat="1" applyFont="1" applyBorder="1" applyAlignment="1">
      <alignment vertical="center"/>
    </xf>
    <xf numFmtId="0" fontId="38" fillId="0" borderId="1" xfId="0" applyNumberFormat="1" applyFont="1" applyFill="1" applyBorder="1" applyAlignment="1">
      <alignment vertical="center"/>
    </xf>
    <xf numFmtId="0" fontId="0" fillId="0" borderId="0" xfId="0" applyNumberFormat="1" applyFill="1"/>
    <xf numFmtId="0" fontId="38" fillId="0" borderId="11" xfId="0" applyNumberFormat="1" applyFont="1" applyFill="1" applyBorder="1" applyAlignment="1">
      <alignment horizontal="left" vertical="center"/>
    </xf>
    <xf numFmtId="0" fontId="38" fillId="0" borderId="12" xfId="0" applyNumberFormat="1" applyFont="1" applyFill="1" applyBorder="1" applyAlignment="1">
      <alignment horizontal="left" vertical="center"/>
    </xf>
    <xf numFmtId="0" fontId="38" fillId="0" borderId="1" xfId="393" applyNumberFormat="1" applyFont="1" applyFill="1" applyBorder="1" applyAlignment="1">
      <alignment horizontal="left" vertical="center"/>
    </xf>
    <xf numFmtId="0" fontId="38" fillId="0" borderId="1" xfId="393" applyNumberFormat="1" applyFont="1" applyFill="1" applyBorder="1" applyAlignment="1">
      <alignment horizontal="center" vertical="center"/>
    </xf>
    <xf numFmtId="0" fontId="39" fillId="0" borderId="1" xfId="398" applyNumberFormat="1" applyFont="1" applyBorder="1" applyAlignment="1">
      <alignment horizontal="left" vertical="center"/>
    </xf>
    <xf numFmtId="0" fontId="39" fillId="0" borderId="1" xfId="398" applyNumberFormat="1" applyFont="1" applyBorder="1" applyAlignment="1">
      <alignment vertical="center"/>
    </xf>
    <xf numFmtId="0" fontId="39" fillId="0" borderId="1" xfId="398" applyNumberFormat="1" applyFont="1" applyBorder="1" applyAlignment="1">
      <alignment horizontal="center" vertical="center"/>
    </xf>
    <xf numFmtId="0" fontId="41" fillId="0" borderId="1" xfId="398" applyNumberFormat="1" applyFont="1" applyBorder="1" applyAlignment="1">
      <alignment vertical="center"/>
    </xf>
    <xf numFmtId="0" fontId="38" fillId="0" borderId="1" xfId="398" applyNumberFormat="1" applyFont="1" applyBorder="1" applyAlignment="1">
      <alignment horizontal="left" vertical="center"/>
    </xf>
    <xf numFmtId="0" fontId="0" fillId="0" borderId="0" xfId="0" applyNumberFormat="1" applyAlignment="1">
      <alignment horizontal="center"/>
    </xf>
    <xf numFmtId="0" fontId="0" fillId="0" borderId="0" xfId="0" applyNumberFormat="1" applyFont="1" applyAlignment="1">
      <alignment horizontal="left"/>
    </xf>
    <xf numFmtId="0" fontId="9" fillId="0" borderId="0" xfId="398" applyNumberFormat="1" applyFont="1">
      <alignment vertical="center"/>
    </xf>
    <xf numFmtId="0" fontId="14" fillId="0" borderId="0" xfId="398" applyNumberFormat="1" applyFont="1">
      <alignment vertical="center"/>
    </xf>
    <xf numFmtId="0" fontId="30" fillId="0" borderId="0" xfId="398" applyNumberFormat="1" applyFont="1">
      <alignment vertical="center"/>
    </xf>
    <xf numFmtId="0" fontId="34" fillId="0" borderId="0" xfId="398" applyNumberFormat="1" applyFont="1" applyAlignment="1">
      <alignment horizontal="center" vertical="center"/>
    </xf>
    <xf numFmtId="0" fontId="34" fillId="0" borderId="0" xfId="398" applyNumberFormat="1" applyFont="1">
      <alignment vertical="center"/>
    </xf>
    <xf numFmtId="0" fontId="35" fillId="0" borderId="0" xfId="398" applyNumberFormat="1" applyFont="1" applyAlignment="1">
      <alignment vertical="center" wrapText="1"/>
    </xf>
    <xf numFmtId="0" fontId="34" fillId="0" borderId="0" xfId="398" applyNumberFormat="1" applyFont="1" applyAlignment="1">
      <alignment vertical="center" wrapText="1"/>
    </xf>
    <xf numFmtId="0" fontId="38" fillId="0" borderId="0" xfId="398" applyNumberFormat="1" applyFont="1" applyAlignment="1">
      <alignment horizontal="center" vertical="center"/>
    </xf>
    <xf numFmtId="0" fontId="41" fillId="0" borderId="1" xfId="393" applyNumberFormat="1" applyFont="1" applyBorder="1" applyAlignment="1">
      <alignment horizontal="center" vertical="center"/>
    </xf>
    <xf numFmtId="0" fontId="41" fillId="0" borderId="1" xfId="398" applyNumberFormat="1" applyFont="1" applyBorder="1" applyAlignment="1">
      <alignment horizontal="center" vertical="center"/>
    </xf>
  </cellXfs>
  <cellStyles count="37730">
    <cellStyle name="20% - 强调文字颜色 1 2" xfId="37688"/>
    <cellStyle name="20% - 强调文字颜色 2 2" xfId="37689"/>
    <cellStyle name="20% - 强调文字颜色 3 2" xfId="37690"/>
    <cellStyle name="20% - 强调文字颜色 4 2" xfId="37691"/>
    <cellStyle name="20% - 强调文字颜色 5 2" xfId="37692"/>
    <cellStyle name="20% - 强调文字颜色 6 2" xfId="37693"/>
    <cellStyle name="40% - 强调文字颜色 1 2" xfId="37694"/>
    <cellStyle name="40% - 强调文字颜色 2 2" xfId="37695"/>
    <cellStyle name="40% - 强调文字颜色 3 2" xfId="37696"/>
    <cellStyle name="40% - 强调文字颜色 4 2" xfId="37697"/>
    <cellStyle name="40% - 强调文字颜色 5 2" xfId="37698"/>
    <cellStyle name="40% - 强调文字颜色 6 2" xfId="37699"/>
    <cellStyle name="60% - 强调文字颜色 1 2" xfId="37700"/>
    <cellStyle name="60% - 强调文字颜色 2 2" xfId="37701"/>
    <cellStyle name="60% - 强调文字颜色 3 2" xfId="37702"/>
    <cellStyle name="60% - 强调文字颜色 4 2" xfId="37703"/>
    <cellStyle name="60% - 强调文字颜色 5 2" xfId="37704"/>
    <cellStyle name="60% - 强调文字颜色 6 2" xfId="37705"/>
    <cellStyle name="name" xfId="9416"/>
    <cellStyle name="name 2" xfId="28260"/>
    <cellStyle name="Normal" xfId="18836"/>
    <cellStyle name="Normal 2" xfId="37681"/>
    <cellStyle name="Normal_Worksheet in MY2011 Geely Customer issue list_20110309" xfId="19242"/>
    <cellStyle name="Standard 4 2" xfId="9417"/>
    <cellStyle name="Standard 4 2 2" xfId="28261"/>
    <cellStyle name="百分比 2" xfId="18833"/>
    <cellStyle name="百分比 3" xfId="18835"/>
    <cellStyle name="标题 1 2" xfId="37707"/>
    <cellStyle name="标题 2 2" xfId="37708"/>
    <cellStyle name="标题 3 2" xfId="37709"/>
    <cellStyle name="标题 4 2" xfId="37710"/>
    <cellStyle name="标题 5" xfId="37706"/>
    <cellStyle name="差 2" xfId="397"/>
    <cellStyle name="差 2 2" xfId="28665"/>
    <cellStyle name="差 2 3" xfId="37711"/>
    <cellStyle name="常规" xfId="0" builtinId="0"/>
    <cellStyle name="常规 10" xfId="18843"/>
    <cellStyle name="常规 10 2" xfId="28257"/>
    <cellStyle name="常规 2" xfId="4"/>
    <cellStyle name="常规 2 10" xfId="792"/>
    <cellStyle name="常规 2 10 2" xfId="3928"/>
    <cellStyle name="常规 2 10 2 2" xfId="13348"/>
    <cellStyle name="常规 2 10 2 2 2" xfId="32196"/>
    <cellStyle name="常规 2 10 2 3" xfId="22772"/>
    <cellStyle name="常规 2 10 3" xfId="7064"/>
    <cellStyle name="常规 2 10 3 2" xfId="16484"/>
    <cellStyle name="常规 2 10 3 2 2" xfId="35332"/>
    <cellStyle name="常规 2 10 3 3" xfId="25908"/>
    <cellStyle name="常规 2 10 4" xfId="10212"/>
    <cellStyle name="常规 2 10 4 2" xfId="29060"/>
    <cellStyle name="常规 2 10 5" xfId="19636"/>
    <cellStyle name="常规 2 11" xfId="1576"/>
    <cellStyle name="常规 2 11 2" xfId="4712"/>
    <cellStyle name="常规 2 11 2 2" xfId="14132"/>
    <cellStyle name="常规 2 11 2 2 2" xfId="32980"/>
    <cellStyle name="常规 2 11 2 3" xfId="23556"/>
    <cellStyle name="常规 2 11 3" xfId="7848"/>
    <cellStyle name="常规 2 11 3 2" xfId="17268"/>
    <cellStyle name="常规 2 11 3 2 2" xfId="36116"/>
    <cellStyle name="常规 2 11 3 3" xfId="26692"/>
    <cellStyle name="常规 2 11 4" xfId="10996"/>
    <cellStyle name="常规 2 11 4 2" xfId="29844"/>
    <cellStyle name="常规 2 11 5" xfId="20420"/>
    <cellStyle name="常规 2 12" xfId="2360"/>
    <cellStyle name="常规 2 12 2" xfId="5496"/>
    <cellStyle name="常规 2 12 2 2" xfId="14916"/>
    <cellStyle name="常规 2 12 2 2 2" xfId="33764"/>
    <cellStyle name="常规 2 12 2 3" xfId="24340"/>
    <cellStyle name="常规 2 12 3" xfId="8632"/>
    <cellStyle name="常规 2 12 3 2" xfId="18052"/>
    <cellStyle name="常规 2 12 3 2 2" xfId="36900"/>
    <cellStyle name="常规 2 12 3 3" xfId="27476"/>
    <cellStyle name="常规 2 12 4" xfId="11780"/>
    <cellStyle name="常规 2 12 4 2" xfId="30628"/>
    <cellStyle name="常规 2 12 5" xfId="21204"/>
    <cellStyle name="常规 2 13" xfId="3142"/>
    <cellStyle name="常规 2 13 2" xfId="12562"/>
    <cellStyle name="常规 2 13 2 2" xfId="31410"/>
    <cellStyle name="常规 2 13 3" xfId="21986"/>
    <cellStyle name="常规 2 14" xfId="6280"/>
    <cellStyle name="常规 2 14 2" xfId="15700"/>
    <cellStyle name="常规 2 14 2 2" xfId="34548"/>
    <cellStyle name="常规 2 14 3" xfId="25124"/>
    <cellStyle name="常规 2 15" xfId="9427"/>
    <cellStyle name="常规 2 15 2" xfId="18850"/>
    <cellStyle name="常规 2 15 2 2" xfId="28272"/>
    <cellStyle name="常规 2 16" xfId="18837"/>
    <cellStyle name="常规 2 17" xfId="9418"/>
    <cellStyle name="常规 2 17 2" xfId="28262"/>
    <cellStyle name="常规 2 2" xfId="5"/>
    <cellStyle name="常规 2 2 10" xfId="793"/>
    <cellStyle name="常规 2 2 10 2" xfId="3929"/>
    <cellStyle name="常规 2 2 10 2 2" xfId="13349"/>
    <cellStyle name="常规 2 2 10 2 2 2" xfId="32197"/>
    <cellStyle name="常规 2 2 10 2 3" xfId="22773"/>
    <cellStyle name="常规 2 2 10 3" xfId="7065"/>
    <cellStyle name="常规 2 2 10 3 2" xfId="16485"/>
    <cellStyle name="常规 2 2 10 3 2 2" xfId="35333"/>
    <cellStyle name="常规 2 2 10 3 3" xfId="25909"/>
    <cellStyle name="常规 2 2 10 4" xfId="10213"/>
    <cellStyle name="常规 2 2 10 4 2" xfId="29061"/>
    <cellStyle name="常规 2 2 10 5" xfId="19637"/>
    <cellStyle name="常规 2 2 11" xfId="1577"/>
    <cellStyle name="常规 2 2 11 2" xfId="4713"/>
    <cellStyle name="常规 2 2 11 2 2" xfId="14133"/>
    <cellStyle name="常规 2 2 11 2 2 2" xfId="32981"/>
    <cellStyle name="常规 2 2 11 2 3" xfId="23557"/>
    <cellStyle name="常规 2 2 11 3" xfId="7849"/>
    <cellStyle name="常规 2 2 11 3 2" xfId="17269"/>
    <cellStyle name="常规 2 2 11 3 2 2" xfId="36117"/>
    <cellStyle name="常规 2 2 11 3 3" xfId="26693"/>
    <cellStyle name="常规 2 2 11 4" xfId="10997"/>
    <cellStyle name="常规 2 2 11 4 2" xfId="29845"/>
    <cellStyle name="常规 2 2 11 5" xfId="20421"/>
    <cellStyle name="常规 2 2 12" xfId="2361"/>
    <cellStyle name="常规 2 2 12 2" xfId="5497"/>
    <cellStyle name="常规 2 2 12 2 2" xfId="14917"/>
    <cellStyle name="常规 2 2 12 2 2 2" xfId="33765"/>
    <cellStyle name="常规 2 2 12 2 3" xfId="24341"/>
    <cellStyle name="常规 2 2 12 3" xfId="8633"/>
    <cellStyle name="常规 2 2 12 3 2" xfId="18053"/>
    <cellStyle name="常规 2 2 12 3 2 2" xfId="36901"/>
    <cellStyle name="常规 2 2 12 3 3" xfId="27477"/>
    <cellStyle name="常规 2 2 12 4" xfId="11781"/>
    <cellStyle name="常规 2 2 12 4 2" xfId="30629"/>
    <cellStyle name="常规 2 2 12 5" xfId="21205"/>
    <cellStyle name="常规 2 2 13" xfId="3145"/>
    <cellStyle name="常规 2 2 13 2" xfId="12565"/>
    <cellStyle name="常规 2 2 13 2 2" xfId="31413"/>
    <cellStyle name="常规 2 2 13 3" xfId="21989"/>
    <cellStyle name="常规 2 2 14" xfId="6281"/>
    <cellStyle name="常规 2 2 14 2" xfId="15701"/>
    <cellStyle name="常规 2 2 14 2 2" xfId="34549"/>
    <cellStyle name="常规 2 2 14 3" xfId="25125"/>
    <cellStyle name="常规 2 2 15" xfId="9428"/>
    <cellStyle name="常规 2 2 15 2" xfId="18851"/>
    <cellStyle name="常规 2 2 15 2 2" xfId="28273"/>
    <cellStyle name="常规 2 2 16" xfId="18838"/>
    <cellStyle name="常规 2 2 16 2" xfId="37682"/>
    <cellStyle name="常规 2 2 17" xfId="28268"/>
    <cellStyle name="常规 2 2 2" xfId="6"/>
    <cellStyle name="常规 2 2 2 10" xfId="2362"/>
    <cellStyle name="常规 2 2 2 10 2" xfId="5498"/>
    <cellStyle name="常规 2 2 2 10 2 2" xfId="14918"/>
    <cellStyle name="常规 2 2 2 10 2 2 2" xfId="33766"/>
    <cellStyle name="常规 2 2 2 10 2 3" xfId="24342"/>
    <cellStyle name="常规 2 2 2 10 3" xfId="8634"/>
    <cellStyle name="常规 2 2 2 10 3 2" xfId="18054"/>
    <cellStyle name="常规 2 2 2 10 3 2 2" xfId="36902"/>
    <cellStyle name="常规 2 2 2 10 3 3" xfId="27478"/>
    <cellStyle name="常规 2 2 2 10 4" xfId="11782"/>
    <cellStyle name="常规 2 2 2 10 4 2" xfId="30630"/>
    <cellStyle name="常规 2 2 2 10 5" xfId="21206"/>
    <cellStyle name="常规 2 2 2 11" xfId="3148"/>
    <cellStyle name="常规 2 2 2 11 2" xfId="12568"/>
    <cellStyle name="常规 2 2 2 11 2 2" xfId="31416"/>
    <cellStyle name="常规 2 2 2 11 3" xfId="21992"/>
    <cellStyle name="常规 2 2 2 12" xfId="6282"/>
    <cellStyle name="常规 2 2 2 12 2" xfId="15702"/>
    <cellStyle name="常规 2 2 2 12 2 2" xfId="34550"/>
    <cellStyle name="常规 2 2 2 12 3" xfId="25126"/>
    <cellStyle name="常规 2 2 2 13" xfId="9429"/>
    <cellStyle name="常规 2 2 2 13 2" xfId="28274"/>
    <cellStyle name="常规 2 2 2 14" xfId="18852"/>
    <cellStyle name="常规 2 2 2 2" xfId="7"/>
    <cellStyle name="常规 2 2 2 2 10" xfId="3149"/>
    <cellStyle name="常规 2 2 2 2 10 2" xfId="12569"/>
    <cellStyle name="常规 2 2 2 2 10 2 2" xfId="31417"/>
    <cellStyle name="常规 2 2 2 2 10 3" xfId="21993"/>
    <cellStyle name="常规 2 2 2 2 11" xfId="6283"/>
    <cellStyle name="常规 2 2 2 2 11 2" xfId="15703"/>
    <cellStyle name="常规 2 2 2 2 11 2 2" xfId="34551"/>
    <cellStyle name="常规 2 2 2 2 11 3" xfId="25127"/>
    <cellStyle name="常规 2 2 2 2 12" xfId="9430"/>
    <cellStyle name="常规 2 2 2 2 12 2" xfId="28275"/>
    <cellStyle name="常规 2 2 2 2 13" xfId="18853"/>
    <cellStyle name="常规 2 2 2 2 2" xfId="8"/>
    <cellStyle name="常规 2 2 2 2 2 10" xfId="6284"/>
    <cellStyle name="常规 2 2 2 2 2 10 2" xfId="15704"/>
    <cellStyle name="常规 2 2 2 2 2 10 2 2" xfId="34552"/>
    <cellStyle name="常规 2 2 2 2 2 10 3" xfId="25128"/>
    <cellStyle name="常规 2 2 2 2 2 11" xfId="9431"/>
    <cellStyle name="常规 2 2 2 2 2 11 2" xfId="28276"/>
    <cellStyle name="常规 2 2 2 2 2 12" xfId="18854"/>
    <cellStyle name="常规 2 2 2 2 2 2" xfId="9"/>
    <cellStyle name="常规 2 2 2 2 2 2 10" xfId="9432"/>
    <cellStyle name="常规 2 2 2 2 2 2 10 2" xfId="28277"/>
    <cellStyle name="常规 2 2 2 2 2 2 11" xfId="18855"/>
    <cellStyle name="常规 2 2 2 2 2 2 2" xfId="10"/>
    <cellStyle name="常规 2 2 2 2 2 2 2 10" xfId="18856"/>
    <cellStyle name="常规 2 2 2 2 2 2 2 2" xfId="11"/>
    <cellStyle name="常规 2 2 2 2 2 2 2 2 2" xfId="410"/>
    <cellStyle name="常规 2 2 2 2 2 2 2 2 2 2" xfId="1194"/>
    <cellStyle name="常规 2 2 2 2 2 2 2 2 2 2 2" xfId="4330"/>
    <cellStyle name="常规 2 2 2 2 2 2 2 2 2 2 2 2" xfId="13750"/>
    <cellStyle name="常规 2 2 2 2 2 2 2 2 2 2 2 2 2" xfId="32598"/>
    <cellStyle name="常规 2 2 2 2 2 2 2 2 2 2 2 3" xfId="23174"/>
    <cellStyle name="常规 2 2 2 2 2 2 2 2 2 2 3" xfId="7466"/>
    <cellStyle name="常规 2 2 2 2 2 2 2 2 2 2 3 2" xfId="16886"/>
    <cellStyle name="常规 2 2 2 2 2 2 2 2 2 2 3 2 2" xfId="35734"/>
    <cellStyle name="常规 2 2 2 2 2 2 2 2 2 2 3 3" xfId="26310"/>
    <cellStyle name="常规 2 2 2 2 2 2 2 2 2 2 4" xfId="10614"/>
    <cellStyle name="常规 2 2 2 2 2 2 2 2 2 2 4 2" xfId="29462"/>
    <cellStyle name="常规 2 2 2 2 2 2 2 2 2 2 5" xfId="20038"/>
    <cellStyle name="常规 2 2 2 2 2 2 2 2 2 3" xfId="1978"/>
    <cellStyle name="常规 2 2 2 2 2 2 2 2 2 3 2" xfId="5114"/>
    <cellStyle name="常规 2 2 2 2 2 2 2 2 2 3 2 2" xfId="14534"/>
    <cellStyle name="常规 2 2 2 2 2 2 2 2 2 3 2 2 2" xfId="33382"/>
    <cellStyle name="常规 2 2 2 2 2 2 2 2 2 3 2 3" xfId="23958"/>
    <cellStyle name="常规 2 2 2 2 2 2 2 2 2 3 3" xfId="8250"/>
    <cellStyle name="常规 2 2 2 2 2 2 2 2 2 3 3 2" xfId="17670"/>
    <cellStyle name="常规 2 2 2 2 2 2 2 2 2 3 3 2 2" xfId="36518"/>
    <cellStyle name="常规 2 2 2 2 2 2 2 2 2 3 3 3" xfId="27094"/>
    <cellStyle name="常规 2 2 2 2 2 2 2 2 2 3 4" xfId="11398"/>
    <cellStyle name="常规 2 2 2 2 2 2 2 2 2 3 4 2" xfId="30246"/>
    <cellStyle name="常规 2 2 2 2 2 2 2 2 2 3 5" xfId="20822"/>
    <cellStyle name="常规 2 2 2 2 2 2 2 2 2 4" xfId="2762"/>
    <cellStyle name="常规 2 2 2 2 2 2 2 2 2 4 2" xfId="5898"/>
    <cellStyle name="常规 2 2 2 2 2 2 2 2 2 4 2 2" xfId="15318"/>
    <cellStyle name="常规 2 2 2 2 2 2 2 2 2 4 2 2 2" xfId="34166"/>
    <cellStyle name="常规 2 2 2 2 2 2 2 2 2 4 2 3" xfId="24742"/>
    <cellStyle name="常规 2 2 2 2 2 2 2 2 2 4 3" xfId="9034"/>
    <cellStyle name="常规 2 2 2 2 2 2 2 2 2 4 3 2" xfId="18454"/>
    <cellStyle name="常规 2 2 2 2 2 2 2 2 2 4 3 2 2" xfId="37302"/>
    <cellStyle name="常规 2 2 2 2 2 2 2 2 2 4 3 3" xfId="27878"/>
    <cellStyle name="常规 2 2 2 2 2 2 2 2 2 4 4" xfId="12182"/>
    <cellStyle name="常规 2 2 2 2 2 2 2 2 2 4 4 2" xfId="31030"/>
    <cellStyle name="常规 2 2 2 2 2 2 2 2 2 4 5" xfId="21606"/>
    <cellStyle name="常规 2 2 2 2 2 2 2 2 2 5" xfId="3546"/>
    <cellStyle name="常规 2 2 2 2 2 2 2 2 2 5 2" xfId="12966"/>
    <cellStyle name="常规 2 2 2 2 2 2 2 2 2 5 2 2" xfId="31814"/>
    <cellStyle name="常规 2 2 2 2 2 2 2 2 2 5 3" xfId="22390"/>
    <cellStyle name="常规 2 2 2 2 2 2 2 2 2 6" xfId="6682"/>
    <cellStyle name="常规 2 2 2 2 2 2 2 2 2 6 2" xfId="16102"/>
    <cellStyle name="常规 2 2 2 2 2 2 2 2 2 6 2 2" xfId="34950"/>
    <cellStyle name="常规 2 2 2 2 2 2 2 2 2 6 3" xfId="25526"/>
    <cellStyle name="常规 2 2 2 2 2 2 2 2 2 7" xfId="9830"/>
    <cellStyle name="常规 2 2 2 2 2 2 2 2 2 7 2" xfId="28678"/>
    <cellStyle name="常规 2 2 2 2 2 2 2 2 2 8" xfId="19254"/>
    <cellStyle name="常规 2 2 2 2 2 2 2 2 3" xfId="799"/>
    <cellStyle name="常规 2 2 2 2 2 2 2 2 3 2" xfId="3935"/>
    <cellStyle name="常规 2 2 2 2 2 2 2 2 3 2 2" xfId="13355"/>
    <cellStyle name="常规 2 2 2 2 2 2 2 2 3 2 2 2" xfId="32203"/>
    <cellStyle name="常规 2 2 2 2 2 2 2 2 3 2 3" xfId="22779"/>
    <cellStyle name="常规 2 2 2 2 2 2 2 2 3 3" xfId="7071"/>
    <cellStyle name="常规 2 2 2 2 2 2 2 2 3 3 2" xfId="16491"/>
    <cellStyle name="常规 2 2 2 2 2 2 2 2 3 3 2 2" xfId="35339"/>
    <cellStyle name="常规 2 2 2 2 2 2 2 2 3 3 3" xfId="25915"/>
    <cellStyle name="常规 2 2 2 2 2 2 2 2 3 4" xfId="10219"/>
    <cellStyle name="常规 2 2 2 2 2 2 2 2 3 4 2" xfId="29067"/>
    <cellStyle name="常规 2 2 2 2 2 2 2 2 3 5" xfId="19643"/>
    <cellStyle name="常规 2 2 2 2 2 2 2 2 4" xfId="1583"/>
    <cellStyle name="常规 2 2 2 2 2 2 2 2 4 2" xfId="4719"/>
    <cellStyle name="常规 2 2 2 2 2 2 2 2 4 2 2" xfId="14139"/>
    <cellStyle name="常规 2 2 2 2 2 2 2 2 4 2 2 2" xfId="32987"/>
    <cellStyle name="常规 2 2 2 2 2 2 2 2 4 2 3" xfId="23563"/>
    <cellStyle name="常规 2 2 2 2 2 2 2 2 4 3" xfId="7855"/>
    <cellStyle name="常规 2 2 2 2 2 2 2 2 4 3 2" xfId="17275"/>
    <cellStyle name="常规 2 2 2 2 2 2 2 2 4 3 2 2" xfId="36123"/>
    <cellStyle name="常规 2 2 2 2 2 2 2 2 4 3 3" xfId="26699"/>
    <cellStyle name="常规 2 2 2 2 2 2 2 2 4 4" xfId="11003"/>
    <cellStyle name="常规 2 2 2 2 2 2 2 2 4 4 2" xfId="29851"/>
    <cellStyle name="常规 2 2 2 2 2 2 2 2 4 5" xfId="20427"/>
    <cellStyle name="常规 2 2 2 2 2 2 2 2 5" xfId="2367"/>
    <cellStyle name="常规 2 2 2 2 2 2 2 2 5 2" xfId="5503"/>
    <cellStyle name="常规 2 2 2 2 2 2 2 2 5 2 2" xfId="14923"/>
    <cellStyle name="常规 2 2 2 2 2 2 2 2 5 2 2 2" xfId="33771"/>
    <cellStyle name="常规 2 2 2 2 2 2 2 2 5 2 3" xfId="24347"/>
    <cellStyle name="常规 2 2 2 2 2 2 2 2 5 3" xfId="8639"/>
    <cellStyle name="常规 2 2 2 2 2 2 2 2 5 3 2" xfId="18059"/>
    <cellStyle name="常规 2 2 2 2 2 2 2 2 5 3 2 2" xfId="36907"/>
    <cellStyle name="常规 2 2 2 2 2 2 2 2 5 3 3" xfId="27483"/>
    <cellStyle name="常规 2 2 2 2 2 2 2 2 5 4" xfId="11787"/>
    <cellStyle name="常规 2 2 2 2 2 2 2 2 5 4 2" xfId="30635"/>
    <cellStyle name="常规 2 2 2 2 2 2 2 2 5 5" xfId="21211"/>
    <cellStyle name="常规 2 2 2 2 2 2 2 2 6" xfId="3282"/>
    <cellStyle name="常规 2 2 2 2 2 2 2 2 6 2" xfId="12702"/>
    <cellStyle name="常规 2 2 2 2 2 2 2 2 6 2 2" xfId="31550"/>
    <cellStyle name="常规 2 2 2 2 2 2 2 2 6 3" xfId="22126"/>
    <cellStyle name="常规 2 2 2 2 2 2 2 2 7" xfId="6287"/>
    <cellStyle name="常规 2 2 2 2 2 2 2 2 7 2" xfId="15707"/>
    <cellStyle name="常规 2 2 2 2 2 2 2 2 7 2 2" xfId="34555"/>
    <cellStyle name="常规 2 2 2 2 2 2 2 2 7 3" xfId="25131"/>
    <cellStyle name="常规 2 2 2 2 2 2 2 2 8" xfId="9434"/>
    <cellStyle name="常规 2 2 2 2 2 2 2 2 8 2" xfId="28279"/>
    <cellStyle name="常规 2 2 2 2 2 2 2 2 9" xfId="18857"/>
    <cellStyle name="常规 2 2 2 2 2 2 2 3" xfId="409"/>
    <cellStyle name="常规 2 2 2 2 2 2 2 3 2" xfId="1193"/>
    <cellStyle name="常规 2 2 2 2 2 2 2 3 2 2" xfId="4329"/>
    <cellStyle name="常规 2 2 2 2 2 2 2 3 2 2 2" xfId="13749"/>
    <cellStyle name="常规 2 2 2 2 2 2 2 3 2 2 2 2" xfId="32597"/>
    <cellStyle name="常规 2 2 2 2 2 2 2 3 2 2 3" xfId="23173"/>
    <cellStyle name="常规 2 2 2 2 2 2 2 3 2 3" xfId="7465"/>
    <cellStyle name="常规 2 2 2 2 2 2 2 3 2 3 2" xfId="16885"/>
    <cellStyle name="常规 2 2 2 2 2 2 2 3 2 3 2 2" xfId="35733"/>
    <cellStyle name="常规 2 2 2 2 2 2 2 3 2 3 3" xfId="26309"/>
    <cellStyle name="常规 2 2 2 2 2 2 2 3 2 4" xfId="10613"/>
    <cellStyle name="常规 2 2 2 2 2 2 2 3 2 4 2" xfId="29461"/>
    <cellStyle name="常规 2 2 2 2 2 2 2 3 2 5" xfId="20037"/>
    <cellStyle name="常规 2 2 2 2 2 2 2 3 3" xfId="1977"/>
    <cellStyle name="常规 2 2 2 2 2 2 2 3 3 2" xfId="5113"/>
    <cellStyle name="常规 2 2 2 2 2 2 2 3 3 2 2" xfId="14533"/>
    <cellStyle name="常规 2 2 2 2 2 2 2 3 3 2 2 2" xfId="33381"/>
    <cellStyle name="常规 2 2 2 2 2 2 2 3 3 2 3" xfId="23957"/>
    <cellStyle name="常规 2 2 2 2 2 2 2 3 3 3" xfId="8249"/>
    <cellStyle name="常规 2 2 2 2 2 2 2 3 3 3 2" xfId="17669"/>
    <cellStyle name="常规 2 2 2 2 2 2 2 3 3 3 2 2" xfId="36517"/>
    <cellStyle name="常规 2 2 2 2 2 2 2 3 3 3 3" xfId="27093"/>
    <cellStyle name="常规 2 2 2 2 2 2 2 3 3 4" xfId="11397"/>
    <cellStyle name="常规 2 2 2 2 2 2 2 3 3 4 2" xfId="30245"/>
    <cellStyle name="常规 2 2 2 2 2 2 2 3 3 5" xfId="20821"/>
    <cellStyle name="常规 2 2 2 2 2 2 2 3 4" xfId="2761"/>
    <cellStyle name="常规 2 2 2 2 2 2 2 3 4 2" xfId="5897"/>
    <cellStyle name="常规 2 2 2 2 2 2 2 3 4 2 2" xfId="15317"/>
    <cellStyle name="常规 2 2 2 2 2 2 2 3 4 2 2 2" xfId="34165"/>
    <cellStyle name="常规 2 2 2 2 2 2 2 3 4 2 3" xfId="24741"/>
    <cellStyle name="常规 2 2 2 2 2 2 2 3 4 3" xfId="9033"/>
    <cellStyle name="常规 2 2 2 2 2 2 2 3 4 3 2" xfId="18453"/>
    <cellStyle name="常规 2 2 2 2 2 2 2 3 4 3 2 2" xfId="37301"/>
    <cellStyle name="常规 2 2 2 2 2 2 2 3 4 3 3" xfId="27877"/>
    <cellStyle name="常规 2 2 2 2 2 2 2 3 4 4" xfId="12181"/>
    <cellStyle name="常规 2 2 2 2 2 2 2 3 4 4 2" xfId="31029"/>
    <cellStyle name="常规 2 2 2 2 2 2 2 3 4 5" xfId="21605"/>
    <cellStyle name="常规 2 2 2 2 2 2 2 3 5" xfId="3545"/>
    <cellStyle name="常规 2 2 2 2 2 2 2 3 5 2" xfId="12965"/>
    <cellStyle name="常规 2 2 2 2 2 2 2 3 5 2 2" xfId="31813"/>
    <cellStyle name="常规 2 2 2 2 2 2 2 3 5 3" xfId="22389"/>
    <cellStyle name="常规 2 2 2 2 2 2 2 3 6" xfId="6681"/>
    <cellStyle name="常规 2 2 2 2 2 2 2 3 6 2" xfId="16101"/>
    <cellStyle name="常规 2 2 2 2 2 2 2 3 6 2 2" xfId="34949"/>
    <cellStyle name="常规 2 2 2 2 2 2 2 3 6 3" xfId="25525"/>
    <cellStyle name="常规 2 2 2 2 2 2 2 3 7" xfId="9829"/>
    <cellStyle name="常规 2 2 2 2 2 2 2 3 7 2" xfId="28677"/>
    <cellStyle name="常规 2 2 2 2 2 2 2 3 8" xfId="19253"/>
    <cellStyle name="常规 2 2 2 2 2 2 2 4" xfId="798"/>
    <cellStyle name="常规 2 2 2 2 2 2 2 4 2" xfId="3934"/>
    <cellStyle name="常规 2 2 2 2 2 2 2 4 2 2" xfId="13354"/>
    <cellStyle name="常规 2 2 2 2 2 2 2 4 2 2 2" xfId="32202"/>
    <cellStyle name="常规 2 2 2 2 2 2 2 4 2 3" xfId="22778"/>
    <cellStyle name="常规 2 2 2 2 2 2 2 4 3" xfId="7070"/>
    <cellStyle name="常规 2 2 2 2 2 2 2 4 3 2" xfId="16490"/>
    <cellStyle name="常规 2 2 2 2 2 2 2 4 3 2 2" xfId="35338"/>
    <cellStyle name="常规 2 2 2 2 2 2 2 4 3 3" xfId="25914"/>
    <cellStyle name="常规 2 2 2 2 2 2 2 4 4" xfId="10218"/>
    <cellStyle name="常规 2 2 2 2 2 2 2 4 4 2" xfId="29066"/>
    <cellStyle name="常规 2 2 2 2 2 2 2 4 5" xfId="19642"/>
    <cellStyle name="常规 2 2 2 2 2 2 2 5" xfId="1582"/>
    <cellStyle name="常规 2 2 2 2 2 2 2 5 2" xfId="4718"/>
    <cellStyle name="常规 2 2 2 2 2 2 2 5 2 2" xfId="14138"/>
    <cellStyle name="常规 2 2 2 2 2 2 2 5 2 2 2" xfId="32986"/>
    <cellStyle name="常规 2 2 2 2 2 2 2 5 2 3" xfId="23562"/>
    <cellStyle name="常规 2 2 2 2 2 2 2 5 3" xfId="7854"/>
    <cellStyle name="常规 2 2 2 2 2 2 2 5 3 2" xfId="17274"/>
    <cellStyle name="常规 2 2 2 2 2 2 2 5 3 2 2" xfId="36122"/>
    <cellStyle name="常规 2 2 2 2 2 2 2 5 3 3" xfId="26698"/>
    <cellStyle name="常规 2 2 2 2 2 2 2 5 4" xfId="11002"/>
    <cellStyle name="常规 2 2 2 2 2 2 2 5 4 2" xfId="29850"/>
    <cellStyle name="常规 2 2 2 2 2 2 2 5 5" xfId="20426"/>
    <cellStyle name="常规 2 2 2 2 2 2 2 6" xfId="2366"/>
    <cellStyle name="常规 2 2 2 2 2 2 2 6 2" xfId="5502"/>
    <cellStyle name="常规 2 2 2 2 2 2 2 6 2 2" xfId="14922"/>
    <cellStyle name="常规 2 2 2 2 2 2 2 6 2 2 2" xfId="33770"/>
    <cellStyle name="常规 2 2 2 2 2 2 2 6 2 3" xfId="24346"/>
    <cellStyle name="常规 2 2 2 2 2 2 2 6 3" xfId="8638"/>
    <cellStyle name="常规 2 2 2 2 2 2 2 6 3 2" xfId="18058"/>
    <cellStyle name="常规 2 2 2 2 2 2 2 6 3 2 2" xfId="36906"/>
    <cellStyle name="常规 2 2 2 2 2 2 2 6 3 3" xfId="27482"/>
    <cellStyle name="常规 2 2 2 2 2 2 2 6 4" xfId="11786"/>
    <cellStyle name="常规 2 2 2 2 2 2 2 6 4 2" xfId="30634"/>
    <cellStyle name="常规 2 2 2 2 2 2 2 6 5" xfId="21210"/>
    <cellStyle name="常规 2 2 2 2 2 2 2 7" xfId="3242"/>
    <cellStyle name="常规 2 2 2 2 2 2 2 7 2" xfId="12662"/>
    <cellStyle name="常规 2 2 2 2 2 2 2 7 2 2" xfId="31510"/>
    <cellStyle name="常规 2 2 2 2 2 2 2 7 3" xfId="22086"/>
    <cellStyle name="常规 2 2 2 2 2 2 2 8" xfId="6286"/>
    <cellStyle name="常规 2 2 2 2 2 2 2 8 2" xfId="15706"/>
    <cellStyle name="常规 2 2 2 2 2 2 2 8 2 2" xfId="34554"/>
    <cellStyle name="常规 2 2 2 2 2 2 2 8 3" xfId="25130"/>
    <cellStyle name="常规 2 2 2 2 2 2 2 9" xfId="9433"/>
    <cellStyle name="常规 2 2 2 2 2 2 2 9 2" xfId="28278"/>
    <cellStyle name="常规 2 2 2 2 2 2 3" xfId="12"/>
    <cellStyle name="常规 2 2 2 2 2 2 3 2" xfId="411"/>
    <cellStyle name="常规 2 2 2 2 2 2 3 2 2" xfId="1195"/>
    <cellStyle name="常规 2 2 2 2 2 2 3 2 2 2" xfId="4331"/>
    <cellStyle name="常规 2 2 2 2 2 2 3 2 2 2 2" xfId="13751"/>
    <cellStyle name="常规 2 2 2 2 2 2 3 2 2 2 2 2" xfId="32599"/>
    <cellStyle name="常规 2 2 2 2 2 2 3 2 2 2 3" xfId="23175"/>
    <cellStyle name="常规 2 2 2 2 2 2 3 2 2 3" xfId="7467"/>
    <cellStyle name="常规 2 2 2 2 2 2 3 2 2 3 2" xfId="16887"/>
    <cellStyle name="常规 2 2 2 2 2 2 3 2 2 3 2 2" xfId="35735"/>
    <cellStyle name="常规 2 2 2 2 2 2 3 2 2 3 3" xfId="26311"/>
    <cellStyle name="常规 2 2 2 2 2 2 3 2 2 4" xfId="10615"/>
    <cellStyle name="常规 2 2 2 2 2 2 3 2 2 4 2" xfId="29463"/>
    <cellStyle name="常规 2 2 2 2 2 2 3 2 2 5" xfId="20039"/>
    <cellStyle name="常规 2 2 2 2 2 2 3 2 3" xfId="1979"/>
    <cellStyle name="常规 2 2 2 2 2 2 3 2 3 2" xfId="5115"/>
    <cellStyle name="常规 2 2 2 2 2 2 3 2 3 2 2" xfId="14535"/>
    <cellStyle name="常规 2 2 2 2 2 2 3 2 3 2 2 2" xfId="33383"/>
    <cellStyle name="常规 2 2 2 2 2 2 3 2 3 2 3" xfId="23959"/>
    <cellStyle name="常规 2 2 2 2 2 2 3 2 3 3" xfId="8251"/>
    <cellStyle name="常规 2 2 2 2 2 2 3 2 3 3 2" xfId="17671"/>
    <cellStyle name="常规 2 2 2 2 2 2 3 2 3 3 2 2" xfId="36519"/>
    <cellStyle name="常规 2 2 2 2 2 2 3 2 3 3 3" xfId="27095"/>
    <cellStyle name="常规 2 2 2 2 2 2 3 2 3 4" xfId="11399"/>
    <cellStyle name="常规 2 2 2 2 2 2 3 2 3 4 2" xfId="30247"/>
    <cellStyle name="常规 2 2 2 2 2 2 3 2 3 5" xfId="20823"/>
    <cellStyle name="常规 2 2 2 2 2 2 3 2 4" xfId="2763"/>
    <cellStyle name="常规 2 2 2 2 2 2 3 2 4 2" xfId="5899"/>
    <cellStyle name="常规 2 2 2 2 2 2 3 2 4 2 2" xfId="15319"/>
    <cellStyle name="常规 2 2 2 2 2 2 3 2 4 2 2 2" xfId="34167"/>
    <cellStyle name="常规 2 2 2 2 2 2 3 2 4 2 3" xfId="24743"/>
    <cellStyle name="常规 2 2 2 2 2 2 3 2 4 3" xfId="9035"/>
    <cellStyle name="常规 2 2 2 2 2 2 3 2 4 3 2" xfId="18455"/>
    <cellStyle name="常规 2 2 2 2 2 2 3 2 4 3 2 2" xfId="37303"/>
    <cellStyle name="常规 2 2 2 2 2 2 3 2 4 3 3" xfId="27879"/>
    <cellStyle name="常规 2 2 2 2 2 2 3 2 4 4" xfId="12183"/>
    <cellStyle name="常规 2 2 2 2 2 2 3 2 4 4 2" xfId="31031"/>
    <cellStyle name="常规 2 2 2 2 2 2 3 2 4 5" xfId="21607"/>
    <cellStyle name="常规 2 2 2 2 2 2 3 2 5" xfId="3547"/>
    <cellStyle name="常规 2 2 2 2 2 2 3 2 5 2" xfId="12967"/>
    <cellStyle name="常规 2 2 2 2 2 2 3 2 5 2 2" xfId="31815"/>
    <cellStyle name="常规 2 2 2 2 2 2 3 2 5 3" xfId="22391"/>
    <cellStyle name="常规 2 2 2 2 2 2 3 2 6" xfId="6683"/>
    <cellStyle name="常规 2 2 2 2 2 2 3 2 6 2" xfId="16103"/>
    <cellStyle name="常规 2 2 2 2 2 2 3 2 6 2 2" xfId="34951"/>
    <cellStyle name="常规 2 2 2 2 2 2 3 2 6 3" xfId="25527"/>
    <cellStyle name="常规 2 2 2 2 2 2 3 2 7" xfId="9831"/>
    <cellStyle name="常规 2 2 2 2 2 2 3 2 7 2" xfId="28679"/>
    <cellStyle name="常规 2 2 2 2 2 2 3 2 8" xfId="19255"/>
    <cellStyle name="常规 2 2 2 2 2 2 3 3" xfId="800"/>
    <cellStyle name="常规 2 2 2 2 2 2 3 3 2" xfId="3936"/>
    <cellStyle name="常规 2 2 2 2 2 2 3 3 2 2" xfId="13356"/>
    <cellStyle name="常规 2 2 2 2 2 2 3 3 2 2 2" xfId="32204"/>
    <cellStyle name="常规 2 2 2 2 2 2 3 3 2 3" xfId="22780"/>
    <cellStyle name="常规 2 2 2 2 2 2 3 3 3" xfId="7072"/>
    <cellStyle name="常规 2 2 2 2 2 2 3 3 3 2" xfId="16492"/>
    <cellStyle name="常规 2 2 2 2 2 2 3 3 3 2 2" xfId="35340"/>
    <cellStyle name="常规 2 2 2 2 2 2 3 3 3 3" xfId="25916"/>
    <cellStyle name="常规 2 2 2 2 2 2 3 3 4" xfId="10220"/>
    <cellStyle name="常规 2 2 2 2 2 2 3 3 4 2" xfId="29068"/>
    <cellStyle name="常规 2 2 2 2 2 2 3 3 5" xfId="19644"/>
    <cellStyle name="常规 2 2 2 2 2 2 3 4" xfId="1584"/>
    <cellStyle name="常规 2 2 2 2 2 2 3 4 2" xfId="4720"/>
    <cellStyle name="常规 2 2 2 2 2 2 3 4 2 2" xfId="14140"/>
    <cellStyle name="常规 2 2 2 2 2 2 3 4 2 2 2" xfId="32988"/>
    <cellStyle name="常规 2 2 2 2 2 2 3 4 2 3" xfId="23564"/>
    <cellStyle name="常规 2 2 2 2 2 2 3 4 3" xfId="7856"/>
    <cellStyle name="常规 2 2 2 2 2 2 3 4 3 2" xfId="17276"/>
    <cellStyle name="常规 2 2 2 2 2 2 3 4 3 2 2" xfId="36124"/>
    <cellStyle name="常规 2 2 2 2 2 2 3 4 3 3" xfId="26700"/>
    <cellStyle name="常规 2 2 2 2 2 2 3 4 4" xfId="11004"/>
    <cellStyle name="常规 2 2 2 2 2 2 3 4 4 2" xfId="29852"/>
    <cellStyle name="常规 2 2 2 2 2 2 3 4 5" xfId="20428"/>
    <cellStyle name="常规 2 2 2 2 2 2 3 5" xfId="2368"/>
    <cellStyle name="常规 2 2 2 2 2 2 3 5 2" xfId="5504"/>
    <cellStyle name="常规 2 2 2 2 2 2 3 5 2 2" xfId="14924"/>
    <cellStyle name="常规 2 2 2 2 2 2 3 5 2 2 2" xfId="33772"/>
    <cellStyle name="常规 2 2 2 2 2 2 3 5 2 3" xfId="24348"/>
    <cellStyle name="常规 2 2 2 2 2 2 3 5 3" xfId="8640"/>
    <cellStyle name="常规 2 2 2 2 2 2 3 5 3 2" xfId="18060"/>
    <cellStyle name="常规 2 2 2 2 2 2 3 5 3 2 2" xfId="36908"/>
    <cellStyle name="常规 2 2 2 2 2 2 3 5 3 3" xfId="27484"/>
    <cellStyle name="常规 2 2 2 2 2 2 3 5 4" xfId="11788"/>
    <cellStyle name="常规 2 2 2 2 2 2 3 5 4 2" xfId="30636"/>
    <cellStyle name="常规 2 2 2 2 2 2 3 5 5" xfId="21212"/>
    <cellStyle name="常规 2 2 2 2 2 2 3 6" xfId="3267"/>
    <cellStyle name="常规 2 2 2 2 2 2 3 6 2" xfId="12687"/>
    <cellStyle name="常规 2 2 2 2 2 2 3 6 2 2" xfId="31535"/>
    <cellStyle name="常规 2 2 2 2 2 2 3 6 3" xfId="22111"/>
    <cellStyle name="常规 2 2 2 2 2 2 3 7" xfId="6288"/>
    <cellStyle name="常规 2 2 2 2 2 2 3 7 2" xfId="15708"/>
    <cellStyle name="常规 2 2 2 2 2 2 3 7 2 2" xfId="34556"/>
    <cellStyle name="常规 2 2 2 2 2 2 3 7 3" xfId="25132"/>
    <cellStyle name="常规 2 2 2 2 2 2 3 8" xfId="9435"/>
    <cellStyle name="常规 2 2 2 2 2 2 3 8 2" xfId="28280"/>
    <cellStyle name="常规 2 2 2 2 2 2 3 9" xfId="18858"/>
    <cellStyle name="常规 2 2 2 2 2 2 4" xfId="408"/>
    <cellStyle name="常规 2 2 2 2 2 2 4 2" xfId="1192"/>
    <cellStyle name="常规 2 2 2 2 2 2 4 2 2" xfId="4328"/>
    <cellStyle name="常规 2 2 2 2 2 2 4 2 2 2" xfId="13748"/>
    <cellStyle name="常规 2 2 2 2 2 2 4 2 2 2 2" xfId="32596"/>
    <cellStyle name="常规 2 2 2 2 2 2 4 2 2 3" xfId="23172"/>
    <cellStyle name="常规 2 2 2 2 2 2 4 2 3" xfId="7464"/>
    <cellStyle name="常规 2 2 2 2 2 2 4 2 3 2" xfId="16884"/>
    <cellStyle name="常规 2 2 2 2 2 2 4 2 3 2 2" xfId="35732"/>
    <cellStyle name="常规 2 2 2 2 2 2 4 2 3 3" xfId="26308"/>
    <cellStyle name="常规 2 2 2 2 2 2 4 2 4" xfId="10612"/>
    <cellStyle name="常规 2 2 2 2 2 2 4 2 4 2" xfId="29460"/>
    <cellStyle name="常规 2 2 2 2 2 2 4 2 5" xfId="20036"/>
    <cellStyle name="常规 2 2 2 2 2 2 4 3" xfId="1976"/>
    <cellStyle name="常规 2 2 2 2 2 2 4 3 2" xfId="5112"/>
    <cellStyle name="常规 2 2 2 2 2 2 4 3 2 2" xfId="14532"/>
    <cellStyle name="常规 2 2 2 2 2 2 4 3 2 2 2" xfId="33380"/>
    <cellStyle name="常规 2 2 2 2 2 2 4 3 2 3" xfId="23956"/>
    <cellStyle name="常规 2 2 2 2 2 2 4 3 3" xfId="8248"/>
    <cellStyle name="常规 2 2 2 2 2 2 4 3 3 2" xfId="17668"/>
    <cellStyle name="常规 2 2 2 2 2 2 4 3 3 2 2" xfId="36516"/>
    <cellStyle name="常规 2 2 2 2 2 2 4 3 3 3" xfId="27092"/>
    <cellStyle name="常规 2 2 2 2 2 2 4 3 4" xfId="11396"/>
    <cellStyle name="常规 2 2 2 2 2 2 4 3 4 2" xfId="30244"/>
    <cellStyle name="常规 2 2 2 2 2 2 4 3 5" xfId="20820"/>
    <cellStyle name="常规 2 2 2 2 2 2 4 4" xfId="2760"/>
    <cellStyle name="常规 2 2 2 2 2 2 4 4 2" xfId="5896"/>
    <cellStyle name="常规 2 2 2 2 2 2 4 4 2 2" xfId="15316"/>
    <cellStyle name="常规 2 2 2 2 2 2 4 4 2 2 2" xfId="34164"/>
    <cellStyle name="常规 2 2 2 2 2 2 4 4 2 3" xfId="24740"/>
    <cellStyle name="常规 2 2 2 2 2 2 4 4 3" xfId="9032"/>
    <cellStyle name="常规 2 2 2 2 2 2 4 4 3 2" xfId="18452"/>
    <cellStyle name="常规 2 2 2 2 2 2 4 4 3 2 2" xfId="37300"/>
    <cellStyle name="常规 2 2 2 2 2 2 4 4 3 3" xfId="27876"/>
    <cellStyle name="常规 2 2 2 2 2 2 4 4 4" xfId="12180"/>
    <cellStyle name="常规 2 2 2 2 2 2 4 4 4 2" xfId="31028"/>
    <cellStyle name="常规 2 2 2 2 2 2 4 4 5" xfId="21604"/>
    <cellStyle name="常规 2 2 2 2 2 2 4 5" xfId="3544"/>
    <cellStyle name="常规 2 2 2 2 2 2 4 5 2" xfId="12964"/>
    <cellStyle name="常规 2 2 2 2 2 2 4 5 2 2" xfId="31812"/>
    <cellStyle name="常规 2 2 2 2 2 2 4 5 3" xfId="22388"/>
    <cellStyle name="常规 2 2 2 2 2 2 4 6" xfId="6680"/>
    <cellStyle name="常规 2 2 2 2 2 2 4 6 2" xfId="16100"/>
    <cellStyle name="常规 2 2 2 2 2 2 4 6 2 2" xfId="34948"/>
    <cellStyle name="常规 2 2 2 2 2 2 4 6 3" xfId="25524"/>
    <cellStyle name="常规 2 2 2 2 2 2 4 7" xfId="9828"/>
    <cellStyle name="常规 2 2 2 2 2 2 4 7 2" xfId="28676"/>
    <cellStyle name="常规 2 2 2 2 2 2 4 8" xfId="19252"/>
    <cellStyle name="常规 2 2 2 2 2 2 5" xfId="797"/>
    <cellStyle name="常规 2 2 2 2 2 2 5 2" xfId="3933"/>
    <cellStyle name="常规 2 2 2 2 2 2 5 2 2" xfId="13353"/>
    <cellStyle name="常规 2 2 2 2 2 2 5 2 2 2" xfId="32201"/>
    <cellStyle name="常规 2 2 2 2 2 2 5 2 3" xfId="22777"/>
    <cellStyle name="常规 2 2 2 2 2 2 5 3" xfId="7069"/>
    <cellStyle name="常规 2 2 2 2 2 2 5 3 2" xfId="16489"/>
    <cellStyle name="常规 2 2 2 2 2 2 5 3 2 2" xfId="35337"/>
    <cellStyle name="常规 2 2 2 2 2 2 5 3 3" xfId="25913"/>
    <cellStyle name="常规 2 2 2 2 2 2 5 4" xfId="10217"/>
    <cellStyle name="常规 2 2 2 2 2 2 5 4 2" xfId="29065"/>
    <cellStyle name="常规 2 2 2 2 2 2 5 5" xfId="19641"/>
    <cellStyle name="常规 2 2 2 2 2 2 6" xfId="1581"/>
    <cellStyle name="常规 2 2 2 2 2 2 6 2" xfId="4717"/>
    <cellStyle name="常规 2 2 2 2 2 2 6 2 2" xfId="14137"/>
    <cellStyle name="常规 2 2 2 2 2 2 6 2 2 2" xfId="32985"/>
    <cellStyle name="常规 2 2 2 2 2 2 6 2 3" xfId="23561"/>
    <cellStyle name="常规 2 2 2 2 2 2 6 3" xfId="7853"/>
    <cellStyle name="常规 2 2 2 2 2 2 6 3 2" xfId="17273"/>
    <cellStyle name="常规 2 2 2 2 2 2 6 3 2 2" xfId="36121"/>
    <cellStyle name="常规 2 2 2 2 2 2 6 3 3" xfId="26697"/>
    <cellStyle name="常规 2 2 2 2 2 2 6 4" xfId="11001"/>
    <cellStyle name="常规 2 2 2 2 2 2 6 4 2" xfId="29849"/>
    <cellStyle name="常规 2 2 2 2 2 2 6 5" xfId="20425"/>
    <cellStyle name="常规 2 2 2 2 2 2 7" xfId="2365"/>
    <cellStyle name="常规 2 2 2 2 2 2 7 2" xfId="5501"/>
    <cellStyle name="常规 2 2 2 2 2 2 7 2 2" xfId="14921"/>
    <cellStyle name="常规 2 2 2 2 2 2 7 2 2 2" xfId="33769"/>
    <cellStyle name="常规 2 2 2 2 2 2 7 2 3" xfId="24345"/>
    <cellStyle name="常规 2 2 2 2 2 2 7 3" xfId="8637"/>
    <cellStyle name="常规 2 2 2 2 2 2 7 3 2" xfId="18057"/>
    <cellStyle name="常规 2 2 2 2 2 2 7 3 2 2" xfId="36905"/>
    <cellStyle name="常规 2 2 2 2 2 2 7 3 3" xfId="27481"/>
    <cellStyle name="常规 2 2 2 2 2 2 7 4" xfId="11785"/>
    <cellStyle name="常规 2 2 2 2 2 2 7 4 2" xfId="30633"/>
    <cellStyle name="常规 2 2 2 2 2 2 7 5" xfId="21209"/>
    <cellStyle name="常规 2 2 2 2 2 2 8" xfId="3196"/>
    <cellStyle name="常规 2 2 2 2 2 2 8 2" xfId="12616"/>
    <cellStyle name="常规 2 2 2 2 2 2 8 2 2" xfId="31464"/>
    <cellStyle name="常规 2 2 2 2 2 2 8 3" xfId="22040"/>
    <cellStyle name="常规 2 2 2 2 2 2 9" xfId="6285"/>
    <cellStyle name="常规 2 2 2 2 2 2 9 2" xfId="15705"/>
    <cellStyle name="常规 2 2 2 2 2 2 9 2 2" xfId="34553"/>
    <cellStyle name="常规 2 2 2 2 2 2 9 3" xfId="25129"/>
    <cellStyle name="常规 2 2 2 2 2 3" xfId="13"/>
    <cellStyle name="常规 2 2 2 2 2 3 10" xfId="18859"/>
    <cellStyle name="常规 2 2 2 2 2 3 2" xfId="14"/>
    <cellStyle name="常规 2 2 2 2 2 3 2 2" xfId="413"/>
    <cellStyle name="常规 2 2 2 2 2 3 2 2 2" xfId="1197"/>
    <cellStyle name="常规 2 2 2 2 2 3 2 2 2 2" xfId="4333"/>
    <cellStyle name="常规 2 2 2 2 2 3 2 2 2 2 2" xfId="13753"/>
    <cellStyle name="常规 2 2 2 2 2 3 2 2 2 2 2 2" xfId="32601"/>
    <cellStyle name="常规 2 2 2 2 2 3 2 2 2 2 3" xfId="23177"/>
    <cellStyle name="常规 2 2 2 2 2 3 2 2 2 3" xfId="7469"/>
    <cellStyle name="常规 2 2 2 2 2 3 2 2 2 3 2" xfId="16889"/>
    <cellStyle name="常规 2 2 2 2 2 3 2 2 2 3 2 2" xfId="35737"/>
    <cellStyle name="常规 2 2 2 2 2 3 2 2 2 3 3" xfId="26313"/>
    <cellStyle name="常规 2 2 2 2 2 3 2 2 2 4" xfId="10617"/>
    <cellStyle name="常规 2 2 2 2 2 3 2 2 2 4 2" xfId="29465"/>
    <cellStyle name="常规 2 2 2 2 2 3 2 2 2 5" xfId="20041"/>
    <cellStyle name="常规 2 2 2 2 2 3 2 2 3" xfId="1981"/>
    <cellStyle name="常规 2 2 2 2 2 3 2 2 3 2" xfId="5117"/>
    <cellStyle name="常规 2 2 2 2 2 3 2 2 3 2 2" xfId="14537"/>
    <cellStyle name="常规 2 2 2 2 2 3 2 2 3 2 2 2" xfId="33385"/>
    <cellStyle name="常规 2 2 2 2 2 3 2 2 3 2 3" xfId="23961"/>
    <cellStyle name="常规 2 2 2 2 2 3 2 2 3 3" xfId="8253"/>
    <cellStyle name="常规 2 2 2 2 2 3 2 2 3 3 2" xfId="17673"/>
    <cellStyle name="常规 2 2 2 2 2 3 2 2 3 3 2 2" xfId="36521"/>
    <cellStyle name="常规 2 2 2 2 2 3 2 2 3 3 3" xfId="27097"/>
    <cellStyle name="常规 2 2 2 2 2 3 2 2 3 4" xfId="11401"/>
    <cellStyle name="常规 2 2 2 2 2 3 2 2 3 4 2" xfId="30249"/>
    <cellStyle name="常规 2 2 2 2 2 3 2 2 3 5" xfId="20825"/>
    <cellStyle name="常规 2 2 2 2 2 3 2 2 4" xfId="2765"/>
    <cellStyle name="常规 2 2 2 2 2 3 2 2 4 2" xfId="5901"/>
    <cellStyle name="常规 2 2 2 2 2 3 2 2 4 2 2" xfId="15321"/>
    <cellStyle name="常规 2 2 2 2 2 3 2 2 4 2 2 2" xfId="34169"/>
    <cellStyle name="常规 2 2 2 2 2 3 2 2 4 2 3" xfId="24745"/>
    <cellStyle name="常规 2 2 2 2 2 3 2 2 4 3" xfId="9037"/>
    <cellStyle name="常规 2 2 2 2 2 3 2 2 4 3 2" xfId="18457"/>
    <cellStyle name="常规 2 2 2 2 2 3 2 2 4 3 2 2" xfId="37305"/>
    <cellStyle name="常规 2 2 2 2 2 3 2 2 4 3 3" xfId="27881"/>
    <cellStyle name="常规 2 2 2 2 2 3 2 2 4 4" xfId="12185"/>
    <cellStyle name="常规 2 2 2 2 2 3 2 2 4 4 2" xfId="31033"/>
    <cellStyle name="常规 2 2 2 2 2 3 2 2 4 5" xfId="21609"/>
    <cellStyle name="常规 2 2 2 2 2 3 2 2 5" xfId="3549"/>
    <cellStyle name="常规 2 2 2 2 2 3 2 2 5 2" xfId="12969"/>
    <cellStyle name="常规 2 2 2 2 2 3 2 2 5 2 2" xfId="31817"/>
    <cellStyle name="常规 2 2 2 2 2 3 2 2 5 3" xfId="22393"/>
    <cellStyle name="常规 2 2 2 2 2 3 2 2 6" xfId="6685"/>
    <cellStyle name="常规 2 2 2 2 2 3 2 2 6 2" xfId="16105"/>
    <cellStyle name="常规 2 2 2 2 2 3 2 2 6 2 2" xfId="34953"/>
    <cellStyle name="常规 2 2 2 2 2 3 2 2 6 3" xfId="25529"/>
    <cellStyle name="常规 2 2 2 2 2 3 2 2 7" xfId="9833"/>
    <cellStyle name="常规 2 2 2 2 2 3 2 2 7 2" xfId="28681"/>
    <cellStyle name="常规 2 2 2 2 2 3 2 2 8" xfId="19257"/>
    <cellStyle name="常规 2 2 2 2 2 3 2 3" xfId="802"/>
    <cellStyle name="常规 2 2 2 2 2 3 2 3 2" xfId="3938"/>
    <cellStyle name="常规 2 2 2 2 2 3 2 3 2 2" xfId="13358"/>
    <cellStyle name="常规 2 2 2 2 2 3 2 3 2 2 2" xfId="32206"/>
    <cellStyle name="常规 2 2 2 2 2 3 2 3 2 3" xfId="22782"/>
    <cellStyle name="常规 2 2 2 2 2 3 2 3 3" xfId="7074"/>
    <cellStyle name="常规 2 2 2 2 2 3 2 3 3 2" xfId="16494"/>
    <cellStyle name="常规 2 2 2 2 2 3 2 3 3 2 2" xfId="35342"/>
    <cellStyle name="常规 2 2 2 2 2 3 2 3 3 3" xfId="25918"/>
    <cellStyle name="常规 2 2 2 2 2 3 2 3 4" xfId="10222"/>
    <cellStyle name="常规 2 2 2 2 2 3 2 3 4 2" xfId="29070"/>
    <cellStyle name="常规 2 2 2 2 2 3 2 3 5" xfId="19646"/>
    <cellStyle name="常规 2 2 2 2 2 3 2 4" xfId="1586"/>
    <cellStyle name="常规 2 2 2 2 2 3 2 4 2" xfId="4722"/>
    <cellStyle name="常规 2 2 2 2 2 3 2 4 2 2" xfId="14142"/>
    <cellStyle name="常规 2 2 2 2 2 3 2 4 2 2 2" xfId="32990"/>
    <cellStyle name="常规 2 2 2 2 2 3 2 4 2 3" xfId="23566"/>
    <cellStyle name="常规 2 2 2 2 2 3 2 4 3" xfId="7858"/>
    <cellStyle name="常规 2 2 2 2 2 3 2 4 3 2" xfId="17278"/>
    <cellStyle name="常规 2 2 2 2 2 3 2 4 3 2 2" xfId="36126"/>
    <cellStyle name="常规 2 2 2 2 2 3 2 4 3 3" xfId="26702"/>
    <cellStyle name="常规 2 2 2 2 2 3 2 4 4" xfId="11006"/>
    <cellStyle name="常规 2 2 2 2 2 3 2 4 4 2" xfId="29854"/>
    <cellStyle name="常规 2 2 2 2 2 3 2 4 5" xfId="20430"/>
    <cellStyle name="常规 2 2 2 2 2 3 2 5" xfId="2370"/>
    <cellStyle name="常规 2 2 2 2 2 3 2 5 2" xfId="5506"/>
    <cellStyle name="常规 2 2 2 2 2 3 2 5 2 2" xfId="14926"/>
    <cellStyle name="常规 2 2 2 2 2 3 2 5 2 2 2" xfId="33774"/>
    <cellStyle name="常规 2 2 2 2 2 3 2 5 2 3" xfId="24350"/>
    <cellStyle name="常规 2 2 2 2 2 3 2 5 3" xfId="8642"/>
    <cellStyle name="常规 2 2 2 2 2 3 2 5 3 2" xfId="18062"/>
    <cellStyle name="常规 2 2 2 2 2 3 2 5 3 2 2" xfId="36910"/>
    <cellStyle name="常规 2 2 2 2 2 3 2 5 3 3" xfId="27486"/>
    <cellStyle name="常规 2 2 2 2 2 3 2 5 4" xfId="11790"/>
    <cellStyle name="常规 2 2 2 2 2 3 2 5 4 2" xfId="30638"/>
    <cellStyle name="常规 2 2 2 2 2 3 2 5 5" xfId="21214"/>
    <cellStyle name="常规 2 2 2 2 2 3 2 6" xfId="3253"/>
    <cellStyle name="常规 2 2 2 2 2 3 2 6 2" xfId="12673"/>
    <cellStyle name="常规 2 2 2 2 2 3 2 6 2 2" xfId="31521"/>
    <cellStyle name="常规 2 2 2 2 2 3 2 6 3" xfId="22097"/>
    <cellStyle name="常规 2 2 2 2 2 3 2 7" xfId="6290"/>
    <cellStyle name="常规 2 2 2 2 2 3 2 7 2" xfId="15710"/>
    <cellStyle name="常规 2 2 2 2 2 3 2 7 2 2" xfId="34558"/>
    <cellStyle name="常规 2 2 2 2 2 3 2 7 3" xfId="25134"/>
    <cellStyle name="常规 2 2 2 2 2 3 2 8" xfId="9437"/>
    <cellStyle name="常规 2 2 2 2 2 3 2 8 2" xfId="28282"/>
    <cellStyle name="常规 2 2 2 2 2 3 2 9" xfId="18860"/>
    <cellStyle name="常规 2 2 2 2 2 3 3" xfId="412"/>
    <cellStyle name="常规 2 2 2 2 2 3 3 2" xfId="1196"/>
    <cellStyle name="常规 2 2 2 2 2 3 3 2 2" xfId="4332"/>
    <cellStyle name="常规 2 2 2 2 2 3 3 2 2 2" xfId="13752"/>
    <cellStyle name="常规 2 2 2 2 2 3 3 2 2 2 2" xfId="32600"/>
    <cellStyle name="常规 2 2 2 2 2 3 3 2 2 3" xfId="23176"/>
    <cellStyle name="常规 2 2 2 2 2 3 3 2 3" xfId="7468"/>
    <cellStyle name="常规 2 2 2 2 2 3 3 2 3 2" xfId="16888"/>
    <cellStyle name="常规 2 2 2 2 2 3 3 2 3 2 2" xfId="35736"/>
    <cellStyle name="常规 2 2 2 2 2 3 3 2 3 3" xfId="26312"/>
    <cellStyle name="常规 2 2 2 2 2 3 3 2 4" xfId="10616"/>
    <cellStyle name="常规 2 2 2 2 2 3 3 2 4 2" xfId="29464"/>
    <cellStyle name="常规 2 2 2 2 2 3 3 2 5" xfId="20040"/>
    <cellStyle name="常规 2 2 2 2 2 3 3 3" xfId="1980"/>
    <cellStyle name="常规 2 2 2 2 2 3 3 3 2" xfId="5116"/>
    <cellStyle name="常规 2 2 2 2 2 3 3 3 2 2" xfId="14536"/>
    <cellStyle name="常规 2 2 2 2 2 3 3 3 2 2 2" xfId="33384"/>
    <cellStyle name="常规 2 2 2 2 2 3 3 3 2 3" xfId="23960"/>
    <cellStyle name="常规 2 2 2 2 2 3 3 3 3" xfId="8252"/>
    <cellStyle name="常规 2 2 2 2 2 3 3 3 3 2" xfId="17672"/>
    <cellStyle name="常规 2 2 2 2 2 3 3 3 3 2 2" xfId="36520"/>
    <cellStyle name="常规 2 2 2 2 2 3 3 3 3 3" xfId="27096"/>
    <cellStyle name="常规 2 2 2 2 2 3 3 3 4" xfId="11400"/>
    <cellStyle name="常规 2 2 2 2 2 3 3 3 4 2" xfId="30248"/>
    <cellStyle name="常规 2 2 2 2 2 3 3 3 5" xfId="20824"/>
    <cellStyle name="常规 2 2 2 2 2 3 3 4" xfId="2764"/>
    <cellStyle name="常规 2 2 2 2 2 3 3 4 2" xfId="5900"/>
    <cellStyle name="常规 2 2 2 2 2 3 3 4 2 2" xfId="15320"/>
    <cellStyle name="常规 2 2 2 2 2 3 3 4 2 2 2" xfId="34168"/>
    <cellStyle name="常规 2 2 2 2 2 3 3 4 2 3" xfId="24744"/>
    <cellStyle name="常规 2 2 2 2 2 3 3 4 3" xfId="9036"/>
    <cellStyle name="常规 2 2 2 2 2 3 3 4 3 2" xfId="18456"/>
    <cellStyle name="常规 2 2 2 2 2 3 3 4 3 2 2" xfId="37304"/>
    <cellStyle name="常规 2 2 2 2 2 3 3 4 3 3" xfId="27880"/>
    <cellStyle name="常规 2 2 2 2 2 3 3 4 4" xfId="12184"/>
    <cellStyle name="常规 2 2 2 2 2 3 3 4 4 2" xfId="31032"/>
    <cellStyle name="常规 2 2 2 2 2 3 3 4 5" xfId="21608"/>
    <cellStyle name="常规 2 2 2 2 2 3 3 5" xfId="3548"/>
    <cellStyle name="常规 2 2 2 2 2 3 3 5 2" xfId="12968"/>
    <cellStyle name="常规 2 2 2 2 2 3 3 5 2 2" xfId="31816"/>
    <cellStyle name="常规 2 2 2 2 2 3 3 5 3" xfId="22392"/>
    <cellStyle name="常规 2 2 2 2 2 3 3 6" xfId="6684"/>
    <cellStyle name="常规 2 2 2 2 2 3 3 6 2" xfId="16104"/>
    <cellStyle name="常规 2 2 2 2 2 3 3 6 2 2" xfId="34952"/>
    <cellStyle name="常规 2 2 2 2 2 3 3 6 3" xfId="25528"/>
    <cellStyle name="常规 2 2 2 2 2 3 3 7" xfId="9832"/>
    <cellStyle name="常规 2 2 2 2 2 3 3 7 2" xfId="28680"/>
    <cellStyle name="常规 2 2 2 2 2 3 3 8" xfId="19256"/>
    <cellStyle name="常规 2 2 2 2 2 3 4" xfId="801"/>
    <cellStyle name="常规 2 2 2 2 2 3 4 2" xfId="3937"/>
    <cellStyle name="常规 2 2 2 2 2 3 4 2 2" xfId="13357"/>
    <cellStyle name="常规 2 2 2 2 2 3 4 2 2 2" xfId="32205"/>
    <cellStyle name="常规 2 2 2 2 2 3 4 2 3" xfId="22781"/>
    <cellStyle name="常规 2 2 2 2 2 3 4 3" xfId="7073"/>
    <cellStyle name="常规 2 2 2 2 2 3 4 3 2" xfId="16493"/>
    <cellStyle name="常规 2 2 2 2 2 3 4 3 2 2" xfId="35341"/>
    <cellStyle name="常规 2 2 2 2 2 3 4 3 3" xfId="25917"/>
    <cellStyle name="常规 2 2 2 2 2 3 4 4" xfId="10221"/>
    <cellStyle name="常规 2 2 2 2 2 3 4 4 2" xfId="29069"/>
    <cellStyle name="常规 2 2 2 2 2 3 4 5" xfId="19645"/>
    <cellStyle name="常规 2 2 2 2 2 3 5" xfId="1585"/>
    <cellStyle name="常规 2 2 2 2 2 3 5 2" xfId="4721"/>
    <cellStyle name="常规 2 2 2 2 2 3 5 2 2" xfId="14141"/>
    <cellStyle name="常规 2 2 2 2 2 3 5 2 2 2" xfId="32989"/>
    <cellStyle name="常规 2 2 2 2 2 3 5 2 3" xfId="23565"/>
    <cellStyle name="常规 2 2 2 2 2 3 5 3" xfId="7857"/>
    <cellStyle name="常规 2 2 2 2 2 3 5 3 2" xfId="17277"/>
    <cellStyle name="常规 2 2 2 2 2 3 5 3 2 2" xfId="36125"/>
    <cellStyle name="常规 2 2 2 2 2 3 5 3 3" xfId="26701"/>
    <cellStyle name="常规 2 2 2 2 2 3 5 4" xfId="11005"/>
    <cellStyle name="常规 2 2 2 2 2 3 5 4 2" xfId="29853"/>
    <cellStyle name="常规 2 2 2 2 2 3 5 5" xfId="20429"/>
    <cellStyle name="常规 2 2 2 2 2 3 6" xfId="2369"/>
    <cellStyle name="常规 2 2 2 2 2 3 6 2" xfId="5505"/>
    <cellStyle name="常规 2 2 2 2 2 3 6 2 2" xfId="14925"/>
    <cellStyle name="常规 2 2 2 2 2 3 6 2 2 2" xfId="33773"/>
    <cellStyle name="常规 2 2 2 2 2 3 6 2 3" xfId="24349"/>
    <cellStyle name="常规 2 2 2 2 2 3 6 3" xfId="8641"/>
    <cellStyle name="常规 2 2 2 2 2 3 6 3 2" xfId="18061"/>
    <cellStyle name="常规 2 2 2 2 2 3 6 3 2 2" xfId="36909"/>
    <cellStyle name="常规 2 2 2 2 2 3 6 3 3" xfId="27485"/>
    <cellStyle name="常规 2 2 2 2 2 3 6 4" xfId="11789"/>
    <cellStyle name="常规 2 2 2 2 2 3 6 4 2" xfId="30637"/>
    <cellStyle name="常规 2 2 2 2 2 3 6 5" xfId="21213"/>
    <cellStyle name="常规 2 2 2 2 2 3 7" xfId="3270"/>
    <cellStyle name="常规 2 2 2 2 2 3 7 2" xfId="12690"/>
    <cellStyle name="常规 2 2 2 2 2 3 7 2 2" xfId="31538"/>
    <cellStyle name="常规 2 2 2 2 2 3 7 3" xfId="22114"/>
    <cellStyle name="常规 2 2 2 2 2 3 8" xfId="6289"/>
    <cellStyle name="常规 2 2 2 2 2 3 8 2" xfId="15709"/>
    <cellStyle name="常规 2 2 2 2 2 3 8 2 2" xfId="34557"/>
    <cellStyle name="常规 2 2 2 2 2 3 8 3" xfId="25133"/>
    <cellStyle name="常规 2 2 2 2 2 3 9" xfId="9436"/>
    <cellStyle name="常规 2 2 2 2 2 3 9 2" xfId="28281"/>
    <cellStyle name="常规 2 2 2 2 2 4" xfId="15"/>
    <cellStyle name="常规 2 2 2 2 2 4 2" xfId="414"/>
    <cellStyle name="常规 2 2 2 2 2 4 2 2" xfId="1198"/>
    <cellStyle name="常规 2 2 2 2 2 4 2 2 2" xfId="4334"/>
    <cellStyle name="常规 2 2 2 2 2 4 2 2 2 2" xfId="13754"/>
    <cellStyle name="常规 2 2 2 2 2 4 2 2 2 2 2" xfId="32602"/>
    <cellStyle name="常规 2 2 2 2 2 4 2 2 2 3" xfId="23178"/>
    <cellStyle name="常规 2 2 2 2 2 4 2 2 3" xfId="7470"/>
    <cellStyle name="常规 2 2 2 2 2 4 2 2 3 2" xfId="16890"/>
    <cellStyle name="常规 2 2 2 2 2 4 2 2 3 2 2" xfId="35738"/>
    <cellStyle name="常规 2 2 2 2 2 4 2 2 3 3" xfId="26314"/>
    <cellStyle name="常规 2 2 2 2 2 4 2 2 4" xfId="10618"/>
    <cellStyle name="常规 2 2 2 2 2 4 2 2 4 2" xfId="29466"/>
    <cellStyle name="常规 2 2 2 2 2 4 2 2 5" xfId="20042"/>
    <cellStyle name="常规 2 2 2 2 2 4 2 3" xfId="1982"/>
    <cellStyle name="常规 2 2 2 2 2 4 2 3 2" xfId="5118"/>
    <cellStyle name="常规 2 2 2 2 2 4 2 3 2 2" xfId="14538"/>
    <cellStyle name="常规 2 2 2 2 2 4 2 3 2 2 2" xfId="33386"/>
    <cellStyle name="常规 2 2 2 2 2 4 2 3 2 3" xfId="23962"/>
    <cellStyle name="常规 2 2 2 2 2 4 2 3 3" xfId="8254"/>
    <cellStyle name="常规 2 2 2 2 2 4 2 3 3 2" xfId="17674"/>
    <cellStyle name="常规 2 2 2 2 2 4 2 3 3 2 2" xfId="36522"/>
    <cellStyle name="常规 2 2 2 2 2 4 2 3 3 3" xfId="27098"/>
    <cellStyle name="常规 2 2 2 2 2 4 2 3 4" xfId="11402"/>
    <cellStyle name="常规 2 2 2 2 2 4 2 3 4 2" xfId="30250"/>
    <cellStyle name="常规 2 2 2 2 2 4 2 3 5" xfId="20826"/>
    <cellStyle name="常规 2 2 2 2 2 4 2 4" xfId="2766"/>
    <cellStyle name="常规 2 2 2 2 2 4 2 4 2" xfId="5902"/>
    <cellStyle name="常规 2 2 2 2 2 4 2 4 2 2" xfId="15322"/>
    <cellStyle name="常规 2 2 2 2 2 4 2 4 2 2 2" xfId="34170"/>
    <cellStyle name="常规 2 2 2 2 2 4 2 4 2 3" xfId="24746"/>
    <cellStyle name="常规 2 2 2 2 2 4 2 4 3" xfId="9038"/>
    <cellStyle name="常规 2 2 2 2 2 4 2 4 3 2" xfId="18458"/>
    <cellStyle name="常规 2 2 2 2 2 4 2 4 3 2 2" xfId="37306"/>
    <cellStyle name="常规 2 2 2 2 2 4 2 4 3 3" xfId="27882"/>
    <cellStyle name="常规 2 2 2 2 2 4 2 4 4" xfId="12186"/>
    <cellStyle name="常规 2 2 2 2 2 4 2 4 4 2" xfId="31034"/>
    <cellStyle name="常规 2 2 2 2 2 4 2 4 5" xfId="21610"/>
    <cellStyle name="常规 2 2 2 2 2 4 2 5" xfId="3550"/>
    <cellStyle name="常规 2 2 2 2 2 4 2 5 2" xfId="12970"/>
    <cellStyle name="常规 2 2 2 2 2 4 2 5 2 2" xfId="31818"/>
    <cellStyle name="常规 2 2 2 2 2 4 2 5 3" xfId="22394"/>
    <cellStyle name="常规 2 2 2 2 2 4 2 6" xfId="6686"/>
    <cellStyle name="常规 2 2 2 2 2 4 2 6 2" xfId="16106"/>
    <cellStyle name="常规 2 2 2 2 2 4 2 6 2 2" xfId="34954"/>
    <cellStyle name="常规 2 2 2 2 2 4 2 6 3" xfId="25530"/>
    <cellStyle name="常规 2 2 2 2 2 4 2 7" xfId="9834"/>
    <cellStyle name="常规 2 2 2 2 2 4 2 7 2" xfId="28682"/>
    <cellStyle name="常规 2 2 2 2 2 4 2 8" xfId="19258"/>
    <cellStyle name="常规 2 2 2 2 2 4 3" xfId="803"/>
    <cellStyle name="常规 2 2 2 2 2 4 3 2" xfId="3939"/>
    <cellStyle name="常规 2 2 2 2 2 4 3 2 2" xfId="13359"/>
    <cellStyle name="常规 2 2 2 2 2 4 3 2 2 2" xfId="32207"/>
    <cellStyle name="常规 2 2 2 2 2 4 3 2 3" xfId="22783"/>
    <cellStyle name="常规 2 2 2 2 2 4 3 3" xfId="7075"/>
    <cellStyle name="常规 2 2 2 2 2 4 3 3 2" xfId="16495"/>
    <cellStyle name="常规 2 2 2 2 2 4 3 3 2 2" xfId="35343"/>
    <cellStyle name="常规 2 2 2 2 2 4 3 3 3" xfId="25919"/>
    <cellStyle name="常规 2 2 2 2 2 4 3 4" xfId="10223"/>
    <cellStyle name="常规 2 2 2 2 2 4 3 4 2" xfId="29071"/>
    <cellStyle name="常规 2 2 2 2 2 4 3 5" xfId="19647"/>
    <cellStyle name="常规 2 2 2 2 2 4 4" xfId="1587"/>
    <cellStyle name="常规 2 2 2 2 2 4 4 2" xfId="4723"/>
    <cellStyle name="常规 2 2 2 2 2 4 4 2 2" xfId="14143"/>
    <cellStyle name="常规 2 2 2 2 2 4 4 2 2 2" xfId="32991"/>
    <cellStyle name="常规 2 2 2 2 2 4 4 2 3" xfId="23567"/>
    <cellStyle name="常规 2 2 2 2 2 4 4 3" xfId="7859"/>
    <cellStyle name="常规 2 2 2 2 2 4 4 3 2" xfId="17279"/>
    <cellStyle name="常规 2 2 2 2 2 4 4 3 2 2" xfId="36127"/>
    <cellStyle name="常规 2 2 2 2 2 4 4 3 3" xfId="26703"/>
    <cellStyle name="常规 2 2 2 2 2 4 4 4" xfId="11007"/>
    <cellStyle name="常规 2 2 2 2 2 4 4 4 2" xfId="29855"/>
    <cellStyle name="常规 2 2 2 2 2 4 4 5" xfId="20431"/>
    <cellStyle name="常规 2 2 2 2 2 4 5" xfId="2371"/>
    <cellStyle name="常规 2 2 2 2 2 4 5 2" xfId="5507"/>
    <cellStyle name="常规 2 2 2 2 2 4 5 2 2" xfId="14927"/>
    <cellStyle name="常规 2 2 2 2 2 4 5 2 2 2" xfId="33775"/>
    <cellStyle name="常规 2 2 2 2 2 4 5 2 3" xfId="24351"/>
    <cellStyle name="常规 2 2 2 2 2 4 5 3" xfId="8643"/>
    <cellStyle name="常规 2 2 2 2 2 4 5 3 2" xfId="18063"/>
    <cellStyle name="常规 2 2 2 2 2 4 5 3 2 2" xfId="36911"/>
    <cellStyle name="常规 2 2 2 2 2 4 5 3 3" xfId="27487"/>
    <cellStyle name="常规 2 2 2 2 2 4 5 4" xfId="11791"/>
    <cellStyle name="常规 2 2 2 2 2 4 5 4 2" xfId="30639"/>
    <cellStyle name="常规 2 2 2 2 2 4 5 5" xfId="21215"/>
    <cellStyle name="常规 2 2 2 2 2 4 6" xfId="3297"/>
    <cellStyle name="常规 2 2 2 2 2 4 6 2" xfId="12717"/>
    <cellStyle name="常规 2 2 2 2 2 4 6 2 2" xfId="31565"/>
    <cellStyle name="常规 2 2 2 2 2 4 6 3" xfId="22141"/>
    <cellStyle name="常规 2 2 2 2 2 4 7" xfId="6291"/>
    <cellStyle name="常规 2 2 2 2 2 4 7 2" xfId="15711"/>
    <cellStyle name="常规 2 2 2 2 2 4 7 2 2" xfId="34559"/>
    <cellStyle name="常规 2 2 2 2 2 4 7 3" xfId="25135"/>
    <cellStyle name="常规 2 2 2 2 2 4 8" xfId="9438"/>
    <cellStyle name="常规 2 2 2 2 2 4 8 2" xfId="28283"/>
    <cellStyle name="常规 2 2 2 2 2 4 9" xfId="18861"/>
    <cellStyle name="常规 2 2 2 2 2 5" xfId="407"/>
    <cellStyle name="常规 2 2 2 2 2 5 2" xfId="1191"/>
    <cellStyle name="常规 2 2 2 2 2 5 2 2" xfId="4327"/>
    <cellStyle name="常规 2 2 2 2 2 5 2 2 2" xfId="13747"/>
    <cellStyle name="常规 2 2 2 2 2 5 2 2 2 2" xfId="32595"/>
    <cellStyle name="常规 2 2 2 2 2 5 2 2 3" xfId="23171"/>
    <cellStyle name="常规 2 2 2 2 2 5 2 3" xfId="7463"/>
    <cellStyle name="常规 2 2 2 2 2 5 2 3 2" xfId="16883"/>
    <cellStyle name="常规 2 2 2 2 2 5 2 3 2 2" xfId="35731"/>
    <cellStyle name="常规 2 2 2 2 2 5 2 3 3" xfId="26307"/>
    <cellStyle name="常规 2 2 2 2 2 5 2 4" xfId="10611"/>
    <cellStyle name="常规 2 2 2 2 2 5 2 4 2" xfId="29459"/>
    <cellStyle name="常规 2 2 2 2 2 5 2 5" xfId="20035"/>
    <cellStyle name="常规 2 2 2 2 2 5 3" xfId="1975"/>
    <cellStyle name="常规 2 2 2 2 2 5 3 2" xfId="5111"/>
    <cellStyle name="常规 2 2 2 2 2 5 3 2 2" xfId="14531"/>
    <cellStyle name="常规 2 2 2 2 2 5 3 2 2 2" xfId="33379"/>
    <cellStyle name="常规 2 2 2 2 2 5 3 2 3" xfId="23955"/>
    <cellStyle name="常规 2 2 2 2 2 5 3 3" xfId="8247"/>
    <cellStyle name="常规 2 2 2 2 2 5 3 3 2" xfId="17667"/>
    <cellStyle name="常规 2 2 2 2 2 5 3 3 2 2" xfId="36515"/>
    <cellStyle name="常规 2 2 2 2 2 5 3 3 3" xfId="27091"/>
    <cellStyle name="常规 2 2 2 2 2 5 3 4" xfId="11395"/>
    <cellStyle name="常规 2 2 2 2 2 5 3 4 2" xfId="30243"/>
    <cellStyle name="常规 2 2 2 2 2 5 3 5" xfId="20819"/>
    <cellStyle name="常规 2 2 2 2 2 5 4" xfId="2759"/>
    <cellStyle name="常规 2 2 2 2 2 5 4 2" xfId="5895"/>
    <cellStyle name="常规 2 2 2 2 2 5 4 2 2" xfId="15315"/>
    <cellStyle name="常规 2 2 2 2 2 5 4 2 2 2" xfId="34163"/>
    <cellStyle name="常规 2 2 2 2 2 5 4 2 3" xfId="24739"/>
    <cellStyle name="常规 2 2 2 2 2 5 4 3" xfId="9031"/>
    <cellStyle name="常规 2 2 2 2 2 5 4 3 2" xfId="18451"/>
    <cellStyle name="常规 2 2 2 2 2 5 4 3 2 2" xfId="37299"/>
    <cellStyle name="常规 2 2 2 2 2 5 4 3 3" xfId="27875"/>
    <cellStyle name="常规 2 2 2 2 2 5 4 4" xfId="12179"/>
    <cellStyle name="常规 2 2 2 2 2 5 4 4 2" xfId="31027"/>
    <cellStyle name="常规 2 2 2 2 2 5 4 5" xfId="21603"/>
    <cellStyle name="常规 2 2 2 2 2 5 5" xfId="3543"/>
    <cellStyle name="常规 2 2 2 2 2 5 5 2" xfId="12963"/>
    <cellStyle name="常规 2 2 2 2 2 5 5 2 2" xfId="31811"/>
    <cellStyle name="常规 2 2 2 2 2 5 5 3" xfId="22387"/>
    <cellStyle name="常规 2 2 2 2 2 5 6" xfId="6679"/>
    <cellStyle name="常规 2 2 2 2 2 5 6 2" xfId="16099"/>
    <cellStyle name="常规 2 2 2 2 2 5 6 2 2" xfId="34947"/>
    <cellStyle name="常规 2 2 2 2 2 5 6 3" xfId="25523"/>
    <cellStyle name="常规 2 2 2 2 2 5 7" xfId="9827"/>
    <cellStyle name="常规 2 2 2 2 2 5 7 2" xfId="28675"/>
    <cellStyle name="常规 2 2 2 2 2 5 8" xfId="19251"/>
    <cellStyle name="常规 2 2 2 2 2 6" xfId="796"/>
    <cellStyle name="常规 2 2 2 2 2 6 2" xfId="3932"/>
    <cellStyle name="常规 2 2 2 2 2 6 2 2" xfId="13352"/>
    <cellStyle name="常规 2 2 2 2 2 6 2 2 2" xfId="32200"/>
    <cellStyle name="常规 2 2 2 2 2 6 2 3" xfId="22776"/>
    <cellStyle name="常规 2 2 2 2 2 6 3" xfId="7068"/>
    <cellStyle name="常规 2 2 2 2 2 6 3 2" xfId="16488"/>
    <cellStyle name="常规 2 2 2 2 2 6 3 2 2" xfId="35336"/>
    <cellStyle name="常规 2 2 2 2 2 6 3 3" xfId="25912"/>
    <cellStyle name="常规 2 2 2 2 2 6 4" xfId="10216"/>
    <cellStyle name="常规 2 2 2 2 2 6 4 2" xfId="29064"/>
    <cellStyle name="常规 2 2 2 2 2 6 5" xfId="19640"/>
    <cellStyle name="常规 2 2 2 2 2 7" xfId="1580"/>
    <cellStyle name="常规 2 2 2 2 2 7 2" xfId="4716"/>
    <cellStyle name="常规 2 2 2 2 2 7 2 2" xfId="14136"/>
    <cellStyle name="常规 2 2 2 2 2 7 2 2 2" xfId="32984"/>
    <cellStyle name="常规 2 2 2 2 2 7 2 3" xfId="23560"/>
    <cellStyle name="常规 2 2 2 2 2 7 3" xfId="7852"/>
    <cellStyle name="常规 2 2 2 2 2 7 3 2" xfId="17272"/>
    <cellStyle name="常规 2 2 2 2 2 7 3 2 2" xfId="36120"/>
    <cellStyle name="常规 2 2 2 2 2 7 3 3" xfId="26696"/>
    <cellStyle name="常规 2 2 2 2 2 7 4" xfId="11000"/>
    <cellStyle name="常规 2 2 2 2 2 7 4 2" xfId="29848"/>
    <cellStyle name="常规 2 2 2 2 2 7 5" xfId="20424"/>
    <cellStyle name="常规 2 2 2 2 2 8" xfId="2364"/>
    <cellStyle name="常规 2 2 2 2 2 8 2" xfId="5500"/>
    <cellStyle name="常规 2 2 2 2 2 8 2 2" xfId="14920"/>
    <cellStyle name="常规 2 2 2 2 2 8 2 2 2" xfId="33768"/>
    <cellStyle name="常规 2 2 2 2 2 8 2 3" xfId="24344"/>
    <cellStyle name="常规 2 2 2 2 2 8 3" xfId="8636"/>
    <cellStyle name="常规 2 2 2 2 2 8 3 2" xfId="18056"/>
    <cellStyle name="常规 2 2 2 2 2 8 3 2 2" xfId="36904"/>
    <cellStyle name="常规 2 2 2 2 2 8 3 3" xfId="27480"/>
    <cellStyle name="常规 2 2 2 2 2 8 4" xfId="11784"/>
    <cellStyle name="常规 2 2 2 2 2 8 4 2" xfId="30632"/>
    <cellStyle name="常规 2 2 2 2 2 8 5" xfId="21208"/>
    <cellStyle name="常规 2 2 2 2 2 9" xfId="3150"/>
    <cellStyle name="常规 2 2 2 2 2 9 2" xfId="12570"/>
    <cellStyle name="常规 2 2 2 2 2 9 2 2" xfId="31418"/>
    <cellStyle name="常规 2 2 2 2 2 9 3" xfId="21994"/>
    <cellStyle name="常规 2 2 2 2 3" xfId="16"/>
    <cellStyle name="常规 2 2 2 2 3 10" xfId="9439"/>
    <cellStyle name="常规 2 2 2 2 3 10 2" xfId="28284"/>
    <cellStyle name="常规 2 2 2 2 3 11" xfId="18862"/>
    <cellStyle name="常规 2 2 2 2 3 2" xfId="17"/>
    <cellStyle name="常规 2 2 2 2 3 2 10" xfId="18863"/>
    <cellStyle name="常规 2 2 2 2 3 2 2" xfId="18"/>
    <cellStyle name="常规 2 2 2 2 3 2 2 2" xfId="417"/>
    <cellStyle name="常规 2 2 2 2 3 2 2 2 2" xfId="1201"/>
    <cellStyle name="常规 2 2 2 2 3 2 2 2 2 2" xfId="4337"/>
    <cellStyle name="常规 2 2 2 2 3 2 2 2 2 2 2" xfId="13757"/>
    <cellStyle name="常规 2 2 2 2 3 2 2 2 2 2 2 2" xfId="32605"/>
    <cellStyle name="常规 2 2 2 2 3 2 2 2 2 2 3" xfId="23181"/>
    <cellStyle name="常规 2 2 2 2 3 2 2 2 2 3" xfId="7473"/>
    <cellStyle name="常规 2 2 2 2 3 2 2 2 2 3 2" xfId="16893"/>
    <cellStyle name="常规 2 2 2 2 3 2 2 2 2 3 2 2" xfId="35741"/>
    <cellStyle name="常规 2 2 2 2 3 2 2 2 2 3 3" xfId="26317"/>
    <cellStyle name="常规 2 2 2 2 3 2 2 2 2 4" xfId="10621"/>
    <cellStyle name="常规 2 2 2 2 3 2 2 2 2 4 2" xfId="29469"/>
    <cellStyle name="常规 2 2 2 2 3 2 2 2 2 5" xfId="20045"/>
    <cellStyle name="常规 2 2 2 2 3 2 2 2 3" xfId="1985"/>
    <cellStyle name="常规 2 2 2 2 3 2 2 2 3 2" xfId="5121"/>
    <cellStyle name="常规 2 2 2 2 3 2 2 2 3 2 2" xfId="14541"/>
    <cellStyle name="常规 2 2 2 2 3 2 2 2 3 2 2 2" xfId="33389"/>
    <cellStyle name="常规 2 2 2 2 3 2 2 2 3 2 3" xfId="23965"/>
    <cellStyle name="常规 2 2 2 2 3 2 2 2 3 3" xfId="8257"/>
    <cellStyle name="常规 2 2 2 2 3 2 2 2 3 3 2" xfId="17677"/>
    <cellStyle name="常规 2 2 2 2 3 2 2 2 3 3 2 2" xfId="36525"/>
    <cellStyle name="常规 2 2 2 2 3 2 2 2 3 3 3" xfId="27101"/>
    <cellStyle name="常规 2 2 2 2 3 2 2 2 3 4" xfId="11405"/>
    <cellStyle name="常规 2 2 2 2 3 2 2 2 3 4 2" xfId="30253"/>
    <cellStyle name="常规 2 2 2 2 3 2 2 2 3 5" xfId="20829"/>
    <cellStyle name="常规 2 2 2 2 3 2 2 2 4" xfId="2769"/>
    <cellStyle name="常规 2 2 2 2 3 2 2 2 4 2" xfId="5905"/>
    <cellStyle name="常规 2 2 2 2 3 2 2 2 4 2 2" xfId="15325"/>
    <cellStyle name="常规 2 2 2 2 3 2 2 2 4 2 2 2" xfId="34173"/>
    <cellStyle name="常规 2 2 2 2 3 2 2 2 4 2 3" xfId="24749"/>
    <cellStyle name="常规 2 2 2 2 3 2 2 2 4 3" xfId="9041"/>
    <cellStyle name="常规 2 2 2 2 3 2 2 2 4 3 2" xfId="18461"/>
    <cellStyle name="常规 2 2 2 2 3 2 2 2 4 3 2 2" xfId="37309"/>
    <cellStyle name="常规 2 2 2 2 3 2 2 2 4 3 3" xfId="27885"/>
    <cellStyle name="常规 2 2 2 2 3 2 2 2 4 4" xfId="12189"/>
    <cellStyle name="常规 2 2 2 2 3 2 2 2 4 4 2" xfId="31037"/>
    <cellStyle name="常规 2 2 2 2 3 2 2 2 4 5" xfId="21613"/>
    <cellStyle name="常规 2 2 2 2 3 2 2 2 5" xfId="3553"/>
    <cellStyle name="常规 2 2 2 2 3 2 2 2 5 2" xfId="12973"/>
    <cellStyle name="常规 2 2 2 2 3 2 2 2 5 2 2" xfId="31821"/>
    <cellStyle name="常规 2 2 2 2 3 2 2 2 5 3" xfId="22397"/>
    <cellStyle name="常规 2 2 2 2 3 2 2 2 6" xfId="6689"/>
    <cellStyle name="常规 2 2 2 2 3 2 2 2 6 2" xfId="16109"/>
    <cellStyle name="常规 2 2 2 2 3 2 2 2 6 2 2" xfId="34957"/>
    <cellStyle name="常规 2 2 2 2 3 2 2 2 6 3" xfId="25533"/>
    <cellStyle name="常规 2 2 2 2 3 2 2 2 7" xfId="9837"/>
    <cellStyle name="常规 2 2 2 2 3 2 2 2 7 2" xfId="28685"/>
    <cellStyle name="常规 2 2 2 2 3 2 2 2 8" xfId="19261"/>
    <cellStyle name="常规 2 2 2 2 3 2 2 3" xfId="806"/>
    <cellStyle name="常规 2 2 2 2 3 2 2 3 2" xfId="3942"/>
    <cellStyle name="常规 2 2 2 2 3 2 2 3 2 2" xfId="13362"/>
    <cellStyle name="常规 2 2 2 2 3 2 2 3 2 2 2" xfId="32210"/>
    <cellStyle name="常规 2 2 2 2 3 2 2 3 2 3" xfId="22786"/>
    <cellStyle name="常规 2 2 2 2 3 2 2 3 3" xfId="7078"/>
    <cellStyle name="常规 2 2 2 2 3 2 2 3 3 2" xfId="16498"/>
    <cellStyle name="常规 2 2 2 2 3 2 2 3 3 2 2" xfId="35346"/>
    <cellStyle name="常规 2 2 2 2 3 2 2 3 3 3" xfId="25922"/>
    <cellStyle name="常规 2 2 2 2 3 2 2 3 4" xfId="10226"/>
    <cellStyle name="常规 2 2 2 2 3 2 2 3 4 2" xfId="29074"/>
    <cellStyle name="常规 2 2 2 2 3 2 2 3 5" xfId="19650"/>
    <cellStyle name="常规 2 2 2 2 3 2 2 4" xfId="1590"/>
    <cellStyle name="常规 2 2 2 2 3 2 2 4 2" xfId="4726"/>
    <cellStyle name="常规 2 2 2 2 3 2 2 4 2 2" xfId="14146"/>
    <cellStyle name="常规 2 2 2 2 3 2 2 4 2 2 2" xfId="32994"/>
    <cellStyle name="常规 2 2 2 2 3 2 2 4 2 3" xfId="23570"/>
    <cellStyle name="常规 2 2 2 2 3 2 2 4 3" xfId="7862"/>
    <cellStyle name="常规 2 2 2 2 3 2 2 4 3 2" xfId="17282"/>
    <cellStyle name="常规 2 2 2 2 3 2 2 4 3 2 2" xfId="36130"/>
    <cellStyle name="常规 2 2 2 2 3 2 2 4 3 3" xfId="26706"/>
    <cellStyle name="常规 2 2 2 2 3 2 2 4 4" xfId="11010"/>
    <cellStyle name="常规 2 2 2 2 3 2 2 4 4 2" xfId="29858"/>
    <cellStyle name="常规 2 2 2 2 3 2 2 4 5" xfId="20434"/>
    <cellStyle name="常规 2 2 2 2 3 2 2 5" xfId="2374"/>
    <cellStyle name="常规 2 2 2 2 3 2 2 5 2" xfId="5510"/>
    <cellStyle name="常规 2 2 2 2 3 2 2 5 2 2" xfId="14930"/>
    <cellStyle name="常规 2 2 2 2 3 2 2 5 2 2 2" xfId="33778"/>
    <cellStyle name="常规 2 2 2 2 3 2 2 5 2 3" xfId="24354"/>
    <cellStyle name="常规 2 2 2 2 3 2 2 5 3" xfId="8646"/>
    <cellStyle name="常规 2 2 2 2 3 2 2 5 3 2" xfId="18066"/>
    <cellStyle name="常规 2 2 2 2 3 2 2 5 3 2 2" xfId="36914"/>
    <cellStyle name="常规 2 2 2 2 3 2 2 5 3 3" xfId="27490"/>
    <cellStyle name="常规 2 2 2 2 3 2 2 5 4" xfId="11794"/>
    <cellStyle name="常规 2 2 2 2 3 2 2 5 4 2" xfId="30642"/>
    <cellStyle name="常规 2 2 2 2 3 2 2 5 5" xfId="21218"/>
    <cellStyle name="常规 2 2 2 2 3 2 2 6" xfId="3275"/>
    <cellStyle name="常规 2 2 2 2 3 2 2 6 2" xfId="12695"/>
    <cellStyle name="常规 2 2 2 2 3 2 2 6 2 2" xfId="31543"/>
    <cellStyle name="常规 2 2 2 2 3 2 2 6 3" xfId="22119"/>
    <cellStyle name="常规 2 2 2 2 3 2 2 7" xfId="6294"/>
    <cellStyle name="常规 2 2 2 2 3 2 2 7 2" xfId="15714"/>
    <cellStyle name="常规 2 2 2 2 3 2 2 7 2 2" xfId="34562"/>
    <cellStyle name="常规 2 2 2 2 3 2 2 7 3" xfId="25138"/>
    <cellStyle name="常规 2 2 2 2 3 2 2 8" xfId="9441"/>
    <cellStyle name="常规 2 2 2 2 3 2 2 8 2" xfId="28286"/>
    <cellStyle name="常规 2 2 2 2 3 2 2 9" xfId="18864"/>
    <cellStyle name="常规 2 2 2 2 3 2 3" xfId="416"/>
    <cellStyle name="常规 2 2 2 2 3 2 3 2" xfId="1200"/>
    <cellStyle name="常规 2 2 2 2 3 2 3 2 2" xfId="4336"/>
    <cellStyle name="常规 2 2 2 2 3 2 3 2 2 2" xfId="13756"/>
    <cellStyle name="常规 2 2 2 2 3 2 3 2 2 2 2" xfId="32604"/>
    <cellStyle name="常规 2 2 2 2 3 2 3 2 2 3" xfId="23180"/>
    <cellStyle name="常规 2 2 2 2 3 2 3 2 3" xfId="7472"/>
    <cellStyle name="常规 2 2 2 2 3 2 3 2 3 2" xfId="16892"/>
    <cellStyle name="常规 2 2 2 2 3 2 3 2 3 2 2" xfId="35740"/>
    <cellStyle name="常规 2 2 2 2 3 2 3 2 3 3" xfId="26316"/>
    <cellStyle name="常规 2 2 2 2 3 2 3 2 4" xfId="10620"/>
    <cellStyle name="常规 2 2 2 2 3 2 3 2 4 2" xfId="29468"/>
    <cellStyle name="常规 2 2 2 2 3 2 3 2 5" xfId="20044"/>
    <cellStyle name="常规 2 2 2 2 3 2 3 3" xfId="1984"/>
    <cellStyle name="常规 2 2 2 2 3 2 3 3 2" xfId="5120"/>
    <cellStyle name="常规 2 2 2 2 3 2 3 3 2 2" xfId="14540"/>
    <cellStyle name="常规 2 2 2 2 3 2 3 3 2 2 2" xfId="33388"/>
    <cellStyle name="常规 2 2 2 2 3 2 3 3 2 3" xfId="23964"/>
    <cellStyle name="常规 2 2 2 2 3 2 3 3 3" xfId="8256"/>
    <cellStyle name="常规 2 2 2 2 3 2 3 3 3 2" xfId="17676"/>
    <cellStyle name="常规 2 2 2 2 3 2 3 3 3 2 2" xfId="36524"/>
    <cellStyle name="常规 2 2 2 2 3 2 3 3 3 3" xfId="27100"/>
    <cellStyle name="常规 2 2 2 2 3 2 3 3 4" xfId="11404"/>
    <cellStyle name="常规 2 2 2 2 3 2 3 3 4 2" xfId="30252"/>
    <cellStyle name="常规 2 2 2 2 3 2 3 3 5" xfId="20828"/>
    <cellStyle name="常规 2 2 2 2 3 2 3 4" xfId="2768"/>
    <cellStyle name="常规 2 2 2 2 3 2 3 4 2" xfId="5904"/>
    <cellStyle name="常规 2 2 2 2 3 2 3 4 2 2" xfId="15324"/>
    <cellStyle name="常规 2 2 2 2 3 2 3 4 2 2 2" xfId="34172"/>
    <cellStyle name="常规 2 2 2 2 3 2 3 4 2 3" xfId="24748"/>
    <cellStyle name="常规 2 2 2 2 3 2 3 4 3" xfId="9040"/>
    <cellStyle name="常规 2 2 2 2 3 2 3 4 3 2" xfId="18460"/>
    <cellStyle name="常规 2 2 2 2 3 2 3 4 3 2 2" xfId="37308"/>
    <cellStyle name="常规 2 2 2 2 3 2 3 4 3 3" xfId="27884"/>
    <cellStyle name="常规 2 2 2 2 3 2 3 4 4" xfId="12188"/>
    <cellStyle name="常规 2 2 2 2 3 2 3 4 4 2" xfId="31036"/>
    <cellStyle name="常规 2 2 2 2 3 2 3 4 5" xfId="21612"/>
    <cellStyle name="常规 2 2 2 2 3 2 3 5" xfId="3552"/>
    <cellStyle name="常规 2 2 2 2 3 2 3 5 2" xfId="12972"/>
    <cellStyle name="常规 2 2 2 2 3 2 3 5 2 2" xfId="31820"/>
    <cellStyle name="常规 2 2 2 2 3 2 3 5 3" xfId="22396"/>
    <cellStyle name="常规 2 2 2 2 3 2 3 6" xfId="6688"/>
    <cellStyle name="常规 2 2 2 2 3 2 3 6 2" xfId="16108"/>
    <cellStyle name="常规 2 2 2 2 3 2 3 6 2 2" xfId="34956"/>
    <cellStyle name="常规 2 2 2 2 3 2 3 6 3" xfId="25532"/>
    <cellStyle name="常规 2 2 2 2 3 2 3 7" xfId="9836"/>
    <cellStyle name="常规 2 2 2 2 3 2 3 7 2" xfId="28684"/>
    <cellStyle name="常规 2 2 2 2 3 2 3 8" xfId="19260"/>
    <cellStyle name="常规 2 2 2 2 3 2 4" xfId="805"/>
    <cellStyle name="常规 2 2 2 2 3 2 4 2" xfId="3941"/>
    <cellStyle name="常规 2 2 2 2 3 2 4 2 2" xfId="13361"/>
    <cellStyle name="常规 2 2 2 2 3 2 4 2 2 2" xfId="32209"/>
    <cellStyle name="常规 2 2 2 2 3 2 4 2 3" xfId="22785"/>
    <cellStyle name="常规 2 2 2 2 3 2 4 3" xfId="7077"/>
    <cellStyle name="常规 2 2 2 2 3 2 4 3 2" xfId="16497"/>
    <cellStyle name="常规 2 2 2 2 3 2 4 3 2 2" xfId="35345"/>
    <cellStyle name="常规 2 2 2 2 3 2 4 3 3" xfId="25921"/>
    <cellStyle name="常规 2 2 2 2 3 2 4 4" xfId="10225"/>
    <cellStyle name="常规 2 2 2 2 3 2 4 4 2" xfId="29073"/>
    <cellStyle name="常规 2 2 2 2 3 2 4 5" xfId="19649"/>
    <cellStyle name="常规 2 2 2 2 3 2 5" xfId="1589"/>
    <cellStyle name="常规 2 2 2 2 3 2 5 2" xfId="4725"/>
    <cellStyle name="常规 2 2 2 2 3 2 5 2 2" xfId="14145"/>
    <cellStyle name="常规 2 2 2 2 3 2 5 2 2 2" xfId="32993"/>
    <cellStyle name="常规 2 2 2 2 3 2 5 2 3" xfId="23569"/>
    <cellStyle name="常规 2 2 2 2 3 2 5 3" xfId="7861"/>
    <cellStyle name="常规 2 2 2 2 3 2 5 3 2" xfId="17281"/>
    <cellStyle name="常规 2 2 2 2 3 2 5 3 2 2" xfId="36129"/>
    <cellStyle name="常规 2 2 2 2 3 2 5 3 3" xfId="26705"/>
    <cellStyle name="常规 2 2 2 2 3 2 5 4" xfId="11009"/>
    <cellStyle name="常规 2 2 2 2 3 2 5 4 2" xfId="29857"/>
    <cellStyle name="常规 2 2 2 2 3 2 5 5" xfId="20433"/>
    <cellStyle name="常规 2 2 2 2 3 2 6" xfId="2373"/>
    <cellStyle name="常规 2 2 2 2 3 2 6 2" xfId="5509"/>
    <cellStyle name="常规 2 2 2 2 3 2 6 2 2" xfId="14929"/>
    <cellStyle name="常规 2 2 2 2 3 2 6 2 2 2" xfId="33777"/>
    <cellStyle name="常规 2 2 2 2 3 2 6 2 3" xfId="24353"/>
    <cellStyle name="常规 2 2 2 2 3 2 6 3" xfId="8645"/>
    <cellStyle name="常规 2 2 2 2 3 2 6 3 2" xfId="18065"/>
    <cellStyle name="常规 2 2 2 2 3 2 6 3 2 2" xfId="36913"/>
    <cellStyle name="常规 2 2 2 2 3 2 6 3 3" xfId="27489"/>
    <cellStyle name="常规 2 2 2 2 3 2 6 4" xfId="11793"/>
    <cellStyle name="常规 2 2 2 2 3 2 6 4 2" xfId="30641"/>
    <cellStyle name="常规 2 2 2 2 3 2 6 5" xfId="21217"/>
    <cellStyle name="常规 2 2 2 2 3 2 7" xfId="3279"/>
    <cellStyle name="常规 2 2 2 2 3 2 7 2" xfId="12699"/>
    <cellStyle name="常规 2 2 2 2 3 2 7 2 2" xfId="31547"/>
    <cellStyle name="常规 2 2 2 2 3 2 7 3" xfId="22123"/>
    <cellStyle name="常规 2 2 2 2 3 2 8" xfId="6293"/>
    <cellStyle name="常规 2 2 2 2 3 2 8 2" xfId="15713"/>
    <cellStyle name="常规 2 2 2 2 3 2 8 2 2" xfId="34561"/>
    <cellStyle name="常规 2 2 2 2 3 2 8 3" xfId="25137"/>
    <cellStyle name="常规 2 2 2 2 3 2 9" xfId="9440"/>
    <cellStyle name="常规 2 2 2 2 3 2 9 2" xfId="28285"/>
    <cellStyle name="常规 2 2 2 2 3 3" xfId="19"/>
    <cellStyle name="常规 2 2 2 2 3 3 2" xfId="418"/>
    <cellStyle name="常规 2 2 2 2 3 3 2 2" xfId="1202"/>
    <cellStyle name="常规 2 2 2 2 3 3 2 2 2" xfId="4338"/>
    <cellStyle name="常规 2 2 2 2 3 3 2 2 2 2" xfId="13758"/>
    <cellStyle name="常规 2 2 2 2 3 3 2 2 2 2 2" xfId="32606"/>
    <cellStyle name="常规 2 2 2 2 3 3 2 2 2 3" xfId="23182"/>
    <cellStyle name="常规 2 2 2 2 3 3 2 2 3" xfId="7474"/>
    <cellStyle name="常规 2 2 2 2 3 3 2 2 3 2" xfId="16894"/>
    <cellStyle name="常规 2 2 2 2 3 3 2 2 3 2 2" xfId="35742"/>
    <cellStyle name="常规 2 2 2 2 3 3 2 2 3 3" xfId="26318"/>
    <cellStyle name="常规 2 2 2 2 3 3 2 2 4" xfId="10622"/>
    <cellStyle name="常规 2 2 2 2 3 3 2 2 4 2" xfId="29470"/>
    <cellStyle name="常规 2 2 2 2 3 3 2 2 5" xfId="20046"/>
    <cellStyle name="常规 2 2 2 2 3 3 2 3" xfId="1986"/>
    <cellStyle name="常规 2 2 2 2 3 3 2 3 2" xfId="5122"/>
    <cellStyle name="常规 2 2 2 2 3 3 2 3 2 2" xfId="14542"/>
    <cellStyle name="常规 2 2 2 2 3 3 2 3 2 2 2" xfId="33390"/>
    <cellStyle name="常规 2 2 2 2 3 3 2 3 2 3" xfId="23966"/>
    <cellStyle name="常规 2 2 2 2 3 3 2 3 3" xfId="8258"/>
    <cellStyle name="常规 2 2 2 2 3 3 2 3 3 2" xfId="17678"/>
    <cellStyle name="常规 2 2 2 2 3 3 2 3 3 2 2" xfId="36526"/>
    <cellStyle name="常规 2 2 2 2 3 3 2 3 3 3" xfId="27102"/>
    <cellStyle name="常规 2 2 2 2 3 3 2 3 4" xfId="11406"/>
    <cellStyle name="常规 2 2 2 2 3 3 2 3 4 2" xfId="30254"/>
    <cellStyle name="常规 2 2 2 2 3 3 2 3 5" xfId="20830"/>
    <cellStyle name="常规 2 2 2 2 3 3 2 4" xfId="2770"/>
    <cellStyle name="常规 2 2 2 2 3 3 2 4 2" xfId="5906"/>
    <cellStyle name="常规 2 2 2 2 3 3 2 4 2 2" xfId="15326"/>
    <cellStyle name="常规 2 2 2 2 3 3 2 4 2 2 2" xfId="34174"/>
    <cellStyle name="常规 2 2 2 2 3 3 2 4 2 3" xfId="24750"/>
    <cellStyle name="常规 2 2 2 2 3 3 2 4 3" xfId="9042"/>
    <cellStyle name="常规 2 2 2 2 3 3 2 4 3 2" xfId="18462"/>
    <cellStyle name="常规 2 2 2 2 3 3 2 4 3 2 2" xfId="37310"/>
    <cellStyle name="常规 2 2 2 2 3 3 2 4 3 3" xfId="27886"/>
    <cellStyle name="常规 2 2 2 2 3 3 2 4 4" xfId="12190"/>
    <cellStyle name="常规 2 2 2 2 3 3 2 4 4 2" xfId="31038"/>
    <cellStyle name="常规 2 2 2 2 3 3 2 4 5" xfId="21614"/>
    <cellStyle name="常规 2 2 2 2 3 3 2 5" xfId="3554"/>
    <cellStyle name="常规 2 2 2 2 3 3 2 5 2" xfId="12974"/>
    <cellStyle name="常规 2 2 2 2 3 3 2 5 2 2" xfId="31822"/>
    <cellStyle name="常规 2 2 2 2 3 3 2 5 3" xfId="22398"/>
    <cellStyle name="常规 2 2 2 2 3 3 2 6" xfId="6690"/>
    <cellStyle name="常规 2 2 2 2 3 3 2 6 2" xfId="16110"/>
    <cellStyle name="常规 2 2 2 2 3 3 2 6 2 2" xfId="34958"/>
    <cellStyle name="常规 2 2 2 2 3 3 2 6 3" xfId="25534"/>
    <cellStyle name="常规 2 2 2 2 3 3 2 7" xfId="9838"/>
    <cellStyle name="常规 2 2 2 2 3 3 2 7 2" xfId="28686"/>
    <cellStyle name="常规 2 2 2 2 3 3 2 8" xfId="19262"/>
    <cellStyle name="常规 2 2 2 2 3 3 3" xfId="807"/>
    <cellStyle name="常规 2 2 2 2 3 3 3 2" xfId="3943"/>
    <cellStyle name="常规 2 2 2 2 3 3 3 2 2" xfId="13363"/>
    <cellStyle name="常规 2 2 2 2 3 3 3 2 2 2" xfId="32211"/>
    <cellStyle name="常规 2 2 2 2 3 3 3 2 3" xfId="22787"/>
    <cellStyle name="常规 2 2 2 2 3 3 3 3" xfId="7079"/>
    <cellStyle name="常规 2 2 2 2 3 3 3 3 2" xfId="16499"/>
    <cellStyle name="常规 2 2 2 2 3 3 3 3 2 2" xfId="35347"/>
    <cellStyle name="常规 2 2 2 2 3 3 3 3 3" xfId="25923"/>
    <cellStyle name="常规 2 2 2 2 3 3 3 4" xfId="10227"/>
    <cellStyle name="常规 2 2 2 2 3 3 3 4 2" xfId="29075"/>
    <cellStyle name="常规 2 2 2 2 3 3 3 5" xfId="19651"/>
    <cellStyle name="常规 2 2 2 2 3 3 4" xfId="1591"/>
    <cellStyle name="常规 2 2 2 2 3 3 4 2" xfId="4727"/>
    <cellStyle name="常规 2 2 2 2 3 3 4 2 2" xfId="14147"/>
    <cellStyle name="常规 2 2 2 2 3 3 4 2 2 2" xfId="32995"/>
    <cellStyle name="常规 2 2 2 2 3 3 4 2 3" xfId="23571"/>
    <cellStyle name="常规 2 2 2 2 3 3 4 3" xfId="7863"/>
    <cellStyle name="常规 2 2 2 2 3 3 4 3 2" xfId="17283"/>
    <cellStyle name="常规 2 2 2 2 3 3 4 3 2 2" xfId="36131"/>
    <cellStyle name="常规 2 2 2 2 3 3 4 3 3" xfId="26707"/>
    <cellStyle name="常规 2 2 2 2 3 3 4 4" xfId="11011"/>
    <cellStyle name="常规 2 2 2 2 3 3 4 4 2" xfId="29859"/>
    <cellStyle name="常规 2 2 2 2 3 3 4 5" xfId="20435"/>
    <cellStyle name="常规 2 2 2 2 3 3 5" xfId="2375"/>
    <cellStyle name="常规 2 2 2 2 3 3 5 2" xfId="5511"/>
    <cellStyle name="常规 2 2 2 2 3 3 5 2 2" xfId="14931"/>
    <cellStyle name="常规 2 2 2 2 3 3 5 2 2 2" xfId="33779"/>
    <cellStyle name="常规 2 2 2 2 3 3 5 2 3" xfId="24355"/>
    <cellStyle name="常规 2 2 2 2 3 3 5 3" xfId="8647"/>
    <cellStyle name="常规 2 2 2 2 3 3 5 3 2" xfId="18067"/>
    <cellStyle name="常规 2 2 2 2 3 3 5 3 2 2" xfId="36915"/>
    <cellStyle name="常规 2 2 2 2 3 3 5 3 3" xfId="27491"/>
    <cellStyle name="常规 2 2 2 2 3 3 5 4" xfId="11795"/>
    <cellStyle name="常规 2 2 2 2 3 3 5 4 2" xfId="30643"/>
    <cellStyle name="常规 2 2 2 2 3 3 5 5" xfId="21219"/>
    <cellStyle name="常规 2 2 2 2 3 3 6" xfId="3243"/>
    <cellStyle name="常规 2 2 2 2 3 3 6 2" xfId="12663"/>
    <cellStyle name="常规 2 2 2 2 3 3 6 2 2" xfId="31511"/>
    <cellStyle name="常规 2 2 2 2 3 3 6 3" xfId="22087"/>
    <cellStyle name="常规 2 2 2 2 3 3 7" xfId="6295"/>
    <cellStyle name="常规 2 2 2 2 3 3 7 2" xfId="15715"/>
    <cellStyle name="常规 2 2 2 2 3 3 7 2 2" xfId="34563"/>
    <cellStyle name="常规 2 2 2 2 3 3 7 3" xfId="25139"/>
    <cellStyle name="常规 2 2 2 2 3 3 8" xfId="9442"/>
    <cellStyle name="常规 2 2 2 2 3 3 8 2" xfId="28287"/>
    <cellStyle name="常规 2 2 2 2 3 3 9" xfId="18865"/>
    <cellStyle name="常规 2 2 2 2 3 4" xfId="415"/>
    <cellStyle name="常规 2 2 2 2 3 4 2" xfId="1199"/>
    <cellStyle name="常规 2 2 2 2 3 4 2 2" xfId="4335"/>
    <cellStyle name="常规 2 2 2 2 3 4 2 2 2" xfId="13755"/>
    <cellStyle name="常规 2 2 2 2 3 4 2 2 2 2" xfId="32603"/>
    <cellStyle name="常规 2 2 2 2 3 4 2 2 3" xfId="23179"/>
    <cellStyle name="常规 2 2 2 2 3 4 2 3" xfId="7471"/>
    <cellStyle name="常规 2 2 2 2 3 4 2 3 2" xfId="16891"/>
    <cellStyle name="常规 2 2 2 2 3 4 2 3 2 2" xfId="35739"/>
    <cellStyle name="常规 2 2 2 2 3 4 2 3 3" xfId="26315"/>
    <cellStyle name="常规 2 2 2 2 3 4 2 4" xfId="10619"/>
    <cellStyle name="常规 2 2 2 2 3 4 2 4 2" xfId="29467"/>
    <cellStyle name="常规 2 2 2 2 3 4 2 5" xfId="20043"/>
    <cellStyle name="常规 2 2 2 2 3 4 3" xfId="1983"/>
    <cellStyle name="常规 2 2 2 2 3 4 3 2" xfId="5119"/>
    <cellStyle name="常规 2 2 2 2 3 4 3 2 2" xfId="14539"/>
    <cellStyle name="常规 2 2 2 2 3 4 3 2 2 2" xfId="33387"/>
    <cellStyle name="常规 2 2 2 2 3 4 3 2 3" xfId="23963"/>
    <cellStyle name="常规 2 2 2 2 3 4 3 3" xfId="8255"/>
    <cellStyle name="常规 2 2 2 2 3 4 3 3 2" xfId="17675"/>
    <cellStyle name="常规 2 2 2 2 3 4 3 3 2 2" xfId="36523"/>
    <cellStyle name="常规 2 2 2 2 3 4 3 3 3" xfId="27099"/>
    <cellStyle name="常规 2 2 2 2 3 4 3 4" xfId="11403"/>
    <cellStyle name="常规 2 2 2 2 3 4 3 4 2" xfId="30251"/>
    <cellStyle name="常规 2 2 2 2 3 4 3 5" xfId="20827"/>
    <cellStyle name="常规 2 2 2 2 3 4 4" xfId="2767"/>
    <cellStyle name="常规 2 2 2 2 3 4 4 2" xfId="5903"/>
    <cellStyle name="常规 2 2 2 2 3 4 4 2 2" xfId="15323"/>
    <cellStyle name="常规 2 2 2 2 3 4 4 2 2 2" xfId="34171"/>
    <cellStyle name="常规 2 2 2 2 3 4 4 2 3" xfId="24747"/>
    <cellStyle name="常规 2 2 2 2 3 4 4 3" xfId="9039"/>
    <cellStyle name="常规 2 2 2 2 3 4 4 3 2" xfId="18459"/>
    <cellStyle name="常规 2 2 2 2 3 4 4 3 2 2" xfId="37307"/>
    <cellStyle name="常规 2 2 2 2 3 4 4 3 3" xfId="27883"/>
    <cellStyle name="常规 2 2 2 2 3 4 4 4" xfId="12187"/>
    <cellStyle name="常规 2 2 2 2 3 4 4 4 2" xfId="31035"/>
    <cellStyle name="常规 2 2 2 2 3 4 4 5" xfId="21611"/>
    <cellStyle name="常规 2 2 2 2 3 4 5" xfId="3551"/>
    <cellStyle name="常规 2 2 2 2 3 4 5 2" xfId="12971"/>
    <cellStyle name="常规 2 2 2 2 3 4 5 2 2" xfId="31819"/>
    <cellStyle name="常规 2 2 2 2 3 4 5 3" xfId="22395"/>
    <cellStyle name="常规 2 2 2 2 3 4 6" xfId="6687"/>
    <cellStyle name="常规 2 2 2 2 3 4 6 2" xfId="16107"/>
    <cellStyle name="常规 2 2 2 2 3 4 6 2 2" xfId="34955"/>
    <cellStyle name="常规 2 2 2 2 3 4 6 3" xfId="25531"/>
    <cellStyle name="常规 2 2 2 2 3 4 7" xfId="9835"/>
    <cellStyle name="常规 2 2 2 2 3 4 7 2" xfId="28683"/>
    <cellStyle name="常规 2 2 2 2 3 4 8" xfId="19259"/>
    <cellStyle name="常规 2 2 2 2 3 5" xfId="804"/>
    <cellStyle name="常规 2 2 2 2 3 5 2" xfId="3940"/>
    <cellStyle name="常规 2 2 2 2 3 5 2 2" xfId="13360"/>
    <cellStyle name="常规 2 2 2 2 3 5 2 2 2" xfId="32208"/>
    <cellStyle name="常规 2 2 2 2 3 5 2 3" xfId="22784"/>
    <cellStyle name="常规 2 2 2 2 3 5 3" xfId="7076"/>
    <cellStyle name="常规 2 2 2 2 3 5 3 2" xfId="16496"/>
    <cellStyle name="常规 2 2 2 2 3 5 3 2 2" xfId="35344"/>
    <cellStyle name="常规 2 2 2 2 3 5 3 3" xfId="25920"/>
    <cellStyle name="常规 2 2 2 2 3 5 4" xfId="10224"/>
    <cellStyle name="常规 2 2 2 2 3 5 4 2" xfId="29072"/>
    <cellStyle name="常规 2 2 2 2 3 5 5" xfId="19648"/>
    <cellStyle name="常规 2 2 2 2 3 6" xfId="1588"/>
    <cellStyle name="常规 2 2 2 2 3 6 2" xfId="4724"/>
    <cellStyle name="常规 2 2 2 2 3 6 2 2" xfId="14144"/>
    <cellStyle name="常规 2 2 2 2 3 6 2 2 2" xfId="32992"/>
    <cellStyle name="常规 2 2 2 2 3 6 2 3" xfId="23568"/>
    <cellStyle name="常规 2 2 2 2 3 6 3" xfId="7860"/>
    <cellStyle name="常规 2 2 2 2 3 6 3 2" xfId="17280"/>
    <cellStyle name="常规 2 2 2 2 3 6 3 2 2" xfId="36128"/>
    <cellStyle name="常规 2 2 2 2 3 6 3 3" xfId="26704"/>
    <cellStyle name="常规 2 2 2 2 3 6 4" xfId="11008"/>
    <cellStyle name="常规 2 2 2 2 3 6 4 2" xfId="29856"/>
    <cellStyle name="常规 2 2 2 2 3 6 5" xfId="20432"/>
    <cellStyle name="常规 2 2 2 2 3 7" xfId="2372"/>
    <cellStyle name="常规 2 2 2 2 3 7 2" xfId="5508"/>
    <cellStyle name="常规 2 2 2 2 3 7 2 2" xfId="14928"/>
    <cellStyle name="常规 2 2 2 2 3 7 2 2 2" xfId="33776"/>
    <cellStyle name="常规 2 2 2 2 3 7 2 3" xfId="24352"/>
    <cellStyle name="常规 2 2 2 2 3 7 3" xfId="8644"/>
    <cellStyle name="常规 2 2 2 2 3 7 3 2" xfId="18064"/>
    <cellStyle name="常规 2 2 2 2 3 7 3 2 2" xfId="36912"/>
    <cellStyle name="常规 2 2 2 2 3 7 3 3" xfId="27488"/>
    <cellStyle name="常规 2 2 2 2 3 7 4" xfId="11792"/>
    <cellStyle name="常规 2 2 2 2 3 7 4 2" xfId="30640"/>
    <cellStyle name="常规 2 2 2 2 3 7 5" xfId="21216"/>
    <cellStyle name="常规 2 2 2 2 3 8" xfId="3195"/>
    <cellStyle name="常规 2 2 2 2 3 8 2" xfId="12615"/>
    <cellStyle name="常规 2 2 2 2 3 8 2 2" xfId="31463"/>
    <cellStyle name="常规 2 2 2 2 3 8 3" xfId="22039"/>
    <cellStyle name="常规 2 2 2 2 3 9" xfId="6292"/>
    <cellStyle name="常规 2 2 2 2 3 9 2" xfId="15712"/>
    <cellStyle name="常规 2 2 2 2 3 9 2 2" xfId="34560"/>
    <cellStyle name="常规 2 2 2 2 3 9 3" xfId="25136"/>
    <cellStyle name="常规 2 2 2 2 4" xfId="20"/>
    <cellStyle name="常规 2 2 2 2 4 10" xfId="18866"/>
    <cellStyle name="常规 2 2 2 2 4 2" xfId="21"/>
    <cellStyle name="常规 2 2 2 2 4 2 2" xfId="420"/>
    <cellStyle name="常规 2 2 2 2 4 2 2 2" xfId="1204"/>
    <cellStyle name="常规 2 2 2 2 4 2 2 2 2" xfId="4340"/>
    <cellStyle name="常规 2 2 2 2 4 2 2 2 2 2" xfId="13760"/>
    <cellStyle name="常规 2 2 2 2 4 2 2 2 2 2 2" xfId="32608"/>
    <cellStyle name="常规 2 2 2 2 4 2 2 2 2 3" xfId="23184"/>
    <cellStyle name="常规 2 2 2 2 4 2 2 2 3" xfId="7476"/>
    <cellStyle name="常规 2 2 2 2 4 2 2 2 3 2" xfId="16896"/>
    <cellStyle name="常规 2 2 2 2 4 2 2 2 3 2 2" xfId="35744"/>
    <cellStyle name="常规 2 2 2 2 4 2 2 2 3 3" xfId="26320"/>
    <cellStyle name="常规 2 2 2 2 4 2 2 2 4" xfId="10624"/>
    <cellStyle name="常规 2 2 2 2 4 2 2 2 4 2" xfId="29472"/>
    <cellStyle name="常规 2 2 2 2 4 2 2 2 5" xfId="20048"/>
    <cellStyle name="常规 2 2 2 2 4 2 2 3" xfId="1988"/>
    <cellStyle name="常规 2 2 2 2 4 2 2 3 2" xfId="5124"/>
    <cellStyle name="常规 2 2 2 2 4 2 2 3 2 2" xfId="14544"/>
    <cellStyle name="常规 2 2 2 2 4 2 2 3 2 2 2" xfId="33392"/>
    <cellStyle name="常规 2 2 2 2 4 2 2 3 2 3" xfId="23968"/>
    <cellStyle name="常规 2 2 2 2 4 2 2 3 3" xfId="8260"/>
    <cellStyle name="常规 2 2 2 2 4 2 2 3 3 2" xfId="17680"/>
    <cellStyle name="常规 2 2 2 2 4 2 2 3 3 2 2" xfId="36528"/>
    <cellStyle name="常规 2 2 2 2 4 2 2 3 3 3" xfId="27104"/>
    <cellStyle name="常规 2 2 2 2 4 2 2 3 4" xfId="11408"/>
    <cellStyle name="常规 2 2 2 2 4 2 2 3 4 2" xfId="30256"/>
    <cellStyle name="常规 2 2 2 2 4 2 2 3 5" xfId="20832"/>
    <cellStyle name="常规 2 2 2 2 4 2 2 4" xfId="2772"/>
    <cellStyle name="常规 2 2 2 2 4 2 2 4 2" xfId="5908"/>
    <cellStyle name="常规 2 2 2 2 4 2 2 4 2 2" xfId="15328"/>
    <cellStyle name="常规 2 2 2 2 4 2 2 4 2 2 2" xfId="34176"/>
    <cellStyle name="常规 2 2 2 2 4 2 2 4 2 3" xfId="24752"/>
    <cellStyle name="常规 2 2 2 2 4 2 2 4 3" xfId="9044"/>
    <cellStyle name="常规 2 2 2 2 4 2 2 4 3 2" xfId="18464"/>
    <cellStyle name="常规 2 2 2 2 4 2 2 4 3 2 2" xfId="37312"/>
    <cellStyle name="常规 2 2 2 2 4 2 2 4 3 3" xfId="27888"/>
    <cellStyle name="常规 2 2 2 2 4 2 2 4 4" xfId="12192"/>
    <cellStyle name="常规 2 2 2 2 4 2 2 4 4 2" xfId="31040"/>
    <cellStyle name="常规 2 2 2 2 4 2 2 4 5" xfId="21616"/>
    <cellStyle name="常规 2 2 2 2 4 2 2 5" xfId="3556"/>
    <cellStyle name="常规 2 2 2 2 4 2 2 5 2" xfId="12976"/>
    <cellStyle name="常规 2 2 2 2 4 2 2 5 2 2" xfId="31824"/>
    <cellStyle name="常规 2 2 2 2 4 2 2 5 3" xfId="22400"/>
    <cellStyle name="常规 2 2 2 2 4 2 2 6" xfId="6692"/>
    <cellStyle name="常规 2 2 2 2 4 2 2 6 2" xfId="16112"/>
    <cellStyle name="常规 2 2 2 2 4 2 2 6 2 2" xfId="34960"/>
    <cellStyle name="常规 2 2 2 2 4 2 2 6 3" xfId="25536"/>
    <cellStyle name="常规 2 2 2 2 4 2 2 7" xfId="9840"/>
    <cellStyle name="常规 2 2 2 2 4 2 2 7 2" xfId="28688"/>
    <cellStyle name="常规 2 2 2 2 4 2 2 8" xfId="19264"/>
    <cellStyle name="常规 2 2 2 2 4 2 3" xfId="809"/>
    <cellStyle name="常规 2 2 2 2 4 2 3 2" xfId="3945"/>
    <cellStyle name="常规 2 2 2 2 4 2 3 2 2" xfId="13365"/>
    <cellStyle name="常规 2 2 2 2 4 2 3 2 2 2" xfId="32213"/>
    <cellStyle name="常规 2 2 2 2 4 2 3 2 3" xfId="22789"/>
    <cellStyle name="常规 2 2 2 2 4 2 3 3" xfId="7081"/>
    <cellStyle name="常规 2 2 2 2 4 2 3 3 2" xfId="16501"/>
    <cellStyle name="常规 2 2 2 2 4 2 3 3 2 2" xfId="35349"/>
    <cellStyle name="常规 2 2 2 2 4 2 3 3 3" xfId="25925"/>
    <cellStyle name="常规 2 2 2 2 4 2 3 4" xfId="10229"/>
    <cellStyle name="常规 2 2 2 2 4 2 3 4 2" xfId="29077"/>
    <cellStyle name="常规 2 2 2 2 4 2 3 5" xfId="19653"/>
    <cellStyle name="常规 2 2 2 2 4 2 4" xfId="1593"/>
    <cellStyle name="常规 2 2 2 2 4 2 4 2" xfId="4729"/>
    <cellStyle name="常规 2 2 2 2 4 2 4 2 2" xfId="14149"/>
    <cellStyle name="常规 2 2 2 2 4 2 4 2 2 2" xfId="32997"/>
    <cellStyle name="常规 2 2 2 2 4 2 4 2 3" xfId="23573"/>
    <cellStyle name="常规 2 2 2 2 4 2 4 3" xfId="7865"/>
    <cellStyle name="常规 2 2 2 2 4 2 4 3 2" xfId="17285"/>
    <cellStyle name="常规 2 2 2 2 4 2 4 3 2 2" xfId="36133"/>
    <cellStyle name="常规 2 2 2 2 4 2 4 3 3" xfId="26709"/>
    <cellStyle name="常规 2 2 2 2 4 2 4 4" xfId="11013"/>
    <cellStyle name="常规 2 2 2 2 4 2 4 4 2" xfId="29861"/>
    <cellStyle name="常规 2 2 2 2 4 2 4 5" xfId="20437"/>
    <cellStyle name="常规 2 2 2 2 4 2 5" xfId="2377"/>
    <cellStyle name="常规 2 2 2 2 4 2 5 2" xfId="5513"/>
    <cellStyle name="常规 2 2 2 2 4 2 5 2 2" xfId="14933"/>
    <cellStyle name="常规 2 2 2 2 4 2 5 2 2 2" xfId="33781"/>
    <cellStyle name="常规 2 2 2 2 4 2 5 2 3" xfId="24357"/>
    <cellStyle name="常规 2 2 2 2 4 2 5 3" xfId="8649"/>
    <cellStyle name="常规 2 2 2 2 4 2 5 3 2" xfId="18069"/>
    <cellStyle name="常规 2 2 2 2 4 2 5 3 2 2" xfId="36917"/>
    <cellStyle name="常规 2 2 2 2 4 2 5 3 3" xfId="27493"/>
    <cellStyle name="常规 2 2 2 2 4 2 5 4" xfId="11797"/>
    <cellStyle name="常规 2 2 2 2 4 2 5 4 2" xfId="30645"/>
    <cellStyle name="常规 2 2 2 2 4 2 5 5" xfId="21221"/>
    <cellStyle name="常规 2 2 2 2 4 2 6" xfId="3269"/>
    <cellStyle name="常规 2 2 2 2 4 2 6 2" xfId="12689"/>
    <cellStyle name="常规 2 2 2 2 4 2 6 2 2" xfId="31537"/>
    <cellStyle name="常规 2 2 2 2 4 2 6 3" xfId="22113"/>
    <cellStyle name="常规 2 2 2 2 4 2 7" xfId="6297"/>
    <cellStyle name="常规 2 2 2 2 4 2 7 2" xfId="15717"/>
    <cellStyle name="常规 2 2 2 2 4 2 7 2 2" xfId="34565"/>
    <cellStyle name="常规 2 2 2 2 4 2 7 3" xfId="25141"/>
    <cellStyle name="常规 2 2 2 2 4 2 8" xfId="9444"/>
    <cellStyle name="常规 2 2 2 2 4 2 8 2" xfId="28289"/>
    <cellStyle name="常规 2 2 2 2 4 2 9" xfId="18867"/>
    <cellStyle name="常规 2 2 2 2 4 3" xfId="419"/>
    <cellStyle name="常规 2 2 2 2 4 3 2" xfId="1203"/>
    <cellStyle name="常规 2 2 2 2 4 3 2 2" xfId="4339"/>
    <cellStyle name="常规 2 2 2 2 4 3 2 2 2" xfId="13759"/>
    <cellStyle name="常规 2 2 2 2 4 3 2 2 2 2" xfId="32607"/>
    <cellStyle name="常规 2 2 2 2 4 3 2 2 3" xfId="23183"/>
    <cellStyle name="常规 2 2 2 2 4 3 2 3" xfId="7475"/>
    <cellStyle name="常规 2 2 2 2 4 3 2 3 2" xfId="16895"/>
    <cellStyle name="常规 2 2 2 2 4 3 2 3 2 2" xfId="35743"/>
    <cellStyle name="常规 2 2 2 2 4 3 2 3 3" xfId="26319"/>
    <cellStyle name="常规 2 2 2 2 4 3 2 4" xfId="10623"/>
    <cellStyle name="常规 2 2 2 2 4 3 2 4 2" xfId="29471"/>
    <cellStyle name="常规 2 2 2 2 4 3 2 5" xfId="20047"/>
    <cellStyle name="常规 2 2 2 2 4 3 3" xfId="1987"/>
    <cellStyle name="常规 2 2 2 2 4 3 3 2" xfId="5123"/>
    <cellStyle name="常规 2 2 2 2 4 3 3 2 2" xfId="14543"/>
    <cellStyle name="常规 2 2 2 2 4 3 3 2 2 2" xfId="33391"/>
    <cellStyle name="常规 2 2 2 2 4 3 3 2 3" xfId="23967"/>
    <cellStyle name="常规 2 2 2 2 4 3 3 3" xfId="8259"/>
    <cellStyle name="常规 2 2 2 2 4 3 3 3 2" xfId="17679"/>
    <cellStyle name="常规 2 2 2 2 4 3 3 3 2 2" xfId="36527"/>
    <cellStyle name="常规 2 2 2 2 4 3 3 3 3" xfId="27103"/>
    <cellStyle name="常规 2 2 2 2 4 3 3 4" xfId="11407"/>
    <cellStyle name="常规 2 2 2 2 4 3 3 4 2" xfId="30255"/>
    <cellStyle name="常规 2 2 2 2 4 3 3 5" xfId="20831"/>
    <cellStyle name="常规 2 2 2 2 4 3 4" xfId="2771"/>
    <cellStyle name="常规 2 2 2 2 4 3 4 2" xfId="5907"/>
    <cellStyle name="常规 2 2 2 2 4 3 4 2 2" xfId="15327"/>
    <cellStyle name="常规 2 2 2 2 4 3 4 2 2 2" xfId="34175"/>
    <cellStyle name="常规 2 2 2 2 4 3 4 2 3" xfId="24751"/>
    <cellStyle name="常规 2 2 2 2 4 3 4 3" xfId="9043"/>
    <cellStyle name="常规 2 2 2 2 4 3 4 3 2" xfId="18463"/>
    <cellStyle name="常规 2 2 2 2 4 3 4 3 2 2" xfId="37311"/>
    <cellStyle name="常规 2 2 2 2 4 3 4 3 3" xfId="27887"/>
    <cellStyle name="常规 2 2 2 2 4 3 4 4" xfId="12191"/>
    <cellStyle name="常规 2 2 2 2 4 3 4 4 2" xfId="31039"/>
    <cellStyle name="常规 2 2 2 2 4 3 4 5" xfId="21615"/>
    <cellStyle name="常规 2 2 2 2 4 3 5" xfId="3555"/>
    <cellStyle name="常规 2 2 2 2 4 3 5 2" xfId="12975"/>
    <cellStyle name="常规 2 2 2 2 4 3 5 2 2" xfId="31823"/>
    <cellStyle name="常规 2 2 2 2 4 3 5 3" xfId="22399"/>
    <cellStyle name="常规 2 2 2 2 4 3 6" xfId="6691"/>
    <cellStyle name="常规 2 2 2 2 4 3 6 2" xfId="16111"/>
    <cellStyle name="常规 2 2 2 2 4 3 6 2 2" xfId="34959"/>
    <cellStyle name="常规 2 2 2 2 4 3 6 3" xfId="25535"/>
    <cellStyle name="常规 2 2 2 2 4 3 7" xfId="9839"/>
    <cellStyle name="常规 2 2 2 2 4 3 7 2" xfId="28687"/>
    <cellStyle name="常规 2 2 2 2 4 3 8" xfId="19263"/>
    <cellStyle name="常规 2 2 2 2 4 4" xfId="808"/>
    <cellStyle name="常规 2 2 2 2 4 4 2" xfId="3944"/>
    <cellStyle name="常规 2 2 2 2 4 4 2 2" xfId="13364"/>
    <cellStyle name="常规 2 2 2 2 4 4 2 2 2" xfId="32212"/>
    <cellStyle name="常规 2 2 2 2 4 4 2 3" xfId="22788"/>
    <cellStyle name="常规 2 2 2 2 4 4 3" xfId="7080"/>
    <cellStyle name="常规 2 2 2 2 4 4 3 2" xfId="16500"/>
    <cellStyle name="常规 2 2 2 2 4 4 3 2 2" xfId="35348"/>
    <cellStyle name="常规 2 2 2 2 4 4 3 3" xfId="25924"/>
    <cellStyle name="常规 2 2 2 2 4 4 4" xfId="10228"/>
    <cellStyle name="常规 2 2 2 2 4 4 4 2" xfId="29076"/>
    <cellStyle name="常规 2 2 2 2 4 4 5" xfId="19652"/>
    <cellStyle name="常规 2 2 2 2 4 5" xfId="1592"/>
    <cellStyle name="常规 2 2 2 2 4 5 2" xfId="4728"/>
    <cellStyle name="常规 2 2 2 2 4 5 2 2" xfId="14148"/>
    <cellStyle name="常规 2 2 2 2 4 5 2 2 2" xfId="32996"/>
    <cellStyle name="常规 2 2 2 2 4 5 2 3" xfId="23572"/>
    <cellStyle name="常规 2 2 2 2 4 5 3" xfId="7864"/>
    <cellStyle name="常规 2 2 2 2 4 5 3 2" xfId="17284"/>
    <cellStyle name="常规 2 2 2 2 4 5 3 2 2" xfId="36132"/>
    <cellStyle name="常规 2 2 2 2 4 5 3 3" xfId="26708"/>
    <cellStyle name="常规 2 2 2 2 4 5 4" xfId="11012"/>
    <cellStyle name="常规 2 2 2 2 4 5 4 2" xfId="29860"/>
    <cellStyle name="常规 2 2 2 2 4 5 5" xfId="20436"/>
    <cellStyle name="常规 2 2 2 2 4 6" xfId="2376"/>
    <cellStyle name="常规 2 2 2 2 4 6 2" xfId="5512"/>
    <cellStyle name="常规 2 2 2 2 4 6 2 2" xfId="14932"/>
    <cellStyle name="常规 2 2 2 2 4 6 2 2 2" xfId="33780"/>
    <cellStyle name="常规 2 2 2 2 4 6 2 3" xfId="24356"/>
    <cellStyle name="常规 2 2 2 2 4 6 3" xfId="8648"/>
    <cellStyle name="常规 2 2 2 2 4 6 3 2" xfId="18068"/>
    <cellStyle name="常规 2 2 2 2 4 6 3 2 2" xfId="36916"/>
    <cellStyle name="常规 2 2 2 2 4 6 3 3" xfId="27492"/>
    <cellStyle name="常规 2 2 2 2 4 6 4" xfId="11796"/>
    <cellStyle name="常规 2 2 2 2 4 6 4 2" xfId="30644"/>
    <cellStyle name="常规 2 2 2 2 4 6 5" xfId="21220"/>
    <cellStyle name="常规 2 2 2 2 4 7" xfId="3240"/>
    <cellStyle name="常规 2 2 2 2 4 7 2" xfId="12660"/>
    <cellStyle name="常规 2 2 2 2 4 7 2 2" xfId="31508"/>
    <cellStyle name="常规 2 2 2 2 4 7 3" xfId="22084"/>
    <cellStyle name="常规 2 2 2 2 4 8" xfId="6296"/>
    <cellStyle name="常规 2 2 2 2 4 8 2" xfId="15716"/>
    <cellStyle name="常规 2 2 2 2 4 8 2 2" xfId="34564"/>
    <cellStyle name="常规 2 2 2 2 4 8 3" xfId="25140"/>
    <cellStyle name="常规 2 2 2 2 4 9" xfId="9443"/>
    <cellStyle name="常规 2 2 2 2 4 9 2" xfId="28288"/>
    <cellStyle name="常规 2 2 2 2 5" xfId="22"/>
    <cellStyle name="常规 2 2 2 2 5 2" xfId="421"/>
    <cellStyle name="常规 2 2 2 2 5 2 2" xfId="1205"/>
    <cellStyle name="常规 2 2 2 2 5 2 2 2" xfId="4341"/>
    <cellStyle name="常规 2 2 2 2 5 2 2 2 2" xfId="13761"/>
    <cellStyle name="常规 2 2 2 2 5 2 2 2 2 2" xfId="32609"/>
    <cellStyle name="常规 2 2 2 2 5 2 2 2 3" xfId="23185"/>
    <cellStyle name="常规 2 2 2 2 5 2 2 3" xfId="7477"/>
    <cellStyle name="常规 2 2 2 2 5 2 2 3 2" xfId="16897"/>
    <cellStyle name="常规 2 2 2 2 5 2 2 3 2 2" xfId="35745"/>
    <cellStyle name="常规 2 2 2 2 5 2 2 3 3" xfId="26321"/>
    <cellStyle name="常规 2 2 2 2 5 2 2 4" xfId="10625"/>
    <cellStyle name="常规 2 2 2 2 5 2 2 4 2" xfId="29473"/>
    <cellStyle name="常规 2 2 2 2 5 2 2 5" xfId="20049"/>
    <cellStyle name="常规 2 2 2 2 5 2 3" xfId="1989"/>
    <cellStyle name="常规 2 2 2 2 5 2 3 2" xfId="5125"/>
    <cellStyle name="常规 2 2 2 2 5 2 3 2 2" xfId="14545"/>
    <cellStyle name="常规 2 2 2 2 5 2 3 2 2 2" xfId="33393"/>
    <cellStyle name="常规 2 2 2 2 5 2 3 2 3" xfId="23969"/>
    <cellStyle name="常规 2 2 2 2 5 2 3 3" xfId="8261"/>
    <cellStyle name="常规 2 2 2 2 5 2 3 3 2" xfId="17681"/>
    <cellStyle name="常规 2 2 2 2 5 2 3 3 2 2" xfId="36529"/>
    <cellStyle name="常规 2 2 2 2 5 2 3 3 3" xfId="27105"/>
    <cellStyle name="常规 2 2 2 2 5 2 3 4" xfId="11409"/>
    <cellStyle name="常规 2 2 2 2 5 2 3 4 2" xfId="30257"/>
    <cellStyle name="常规 2 2 2 2 5 2 3 5" xfId="20833"/>
    <cellStyle name="常规 2 2 2 2 5 2 4" xfId="2773"/>
    <cellStyle name="常规 2 2 2 2 5 2 4 2" xfId="5909"/>
    <cellStyle name="常规 2 2 2 2 5 2 4 2 2" xfId="15329"/>
    <cellStyle name="常规 2 2 2 2 5 2 4 2 2 2" xfId="34177"/>
    <cellStyle name="常规 2 2 2 2 5 2 4 2 3" xfId="24753"/>
    <cellStyle name="常规 2 2 2 2 5 2 4 3" xfId="9045"/>
    <cellStyle name="常规 2 2 2 2 5 2 4 3 2" xfId="18465"/>
    <cellStyle name="常规 2 2 2 2 5 2 4 3 2 2" xfId="37313"/>
    <cellStyle name="常规 2 2 2 2 5 2 4 3 3" xfId="27889"/>
    <cellStyle name="常规 2 2 2 2 5 2 4 4" xfId="12193"/>
    <cellStyle name="常规 2 2 2 2 5 2 4 4 2" xfId="31041"/>
    <cellStyle name="常规 2 2 2 2 5 2 4 5" xfId="21617"/>
    <cellStyle name="常规 2 2 2 2 5 2 5" xfId="3557"/>
    <cellStyle name="常规 2 2 2 2 5 2 5 2" xfId="12977"/>
    <cellStyle name="常规 2 2 2 2 5 2 5 2 2" xfId="31825"/>
    <cellStyle name="常规 2 2 2 2 5 2 5 3" xfId="22401"/>
    <cellStyle name="常规 2 2 2 2 5 2 6" xfId="6693"/>
    <cellStyle name="常规 2 2 2 2 5 2 6 2" xfId="16113"/>
    <cellStyle name="常规 2 2 2 2 5 2 6 2 2" xfId="34961"/>
    <cellStyle name="常规 2 2 2 2 5 2 6 3" xfId="25537"/>
    <cellStyle name="常规 2 2 2 2 5 2 7" xfId="9841"/>
    <cellStyle name="常规 2 2 2 2 5 2 7 2" xfId="28689"/>
    <cellStyle name="常规 2 2 2 2 5 2 8" xfId="19265"/>
    <cellStyle name="常规 2 2 2 2 5 3" xfId="810"/>
    <cellStyle name="常规 2 2 2 2 5 3 2" xfId="3946"/>
    <cellStyle name="常规 2 2 2 2 5 3 2 2" xfId="13366"/>
    <cellStyle name="常规 2 2 2 2 5 3 2 2 2" xfId="32214"/>
    <cellStyle name="常规 2 2 2 2 5 3 2 3" xfId="22790"/>
    <cellStyle name="常规 2 2 2 2 5 3 3" xfId="7082"/>
    <cellStyle name="常规 2 2 2 2 5 3 3 2" xfId="16502"/>
    <cellStyle name="常规 2 2 2 2 5 3 3 2 2" xfId="35350"/>
    <cellStyle name="常规 2 2 2 2 5 3 3 3" xfId="25926"/>
    <cellStyle name="常规 2 2 2 2 5 3 4" xfId="10230"/>
    <cellStyle name="常规 2 2 2 2 5 3 4 2" xfId="29078"/>
    <cellStyle name="常规 2 2 2 2 5 3 5" xfId="19654"/>
    <cellStyle name="常规 2 2 2 2 5 4" xfId="1594"/>
    <cellStyle name="常规 2 2 2 2 5 4 2" xfId="4730"/>
    <cellStyle name="常规 2 2 2 2 5 4 2 2" xfId="14150"/>
    <cellStyle name="常规 2 2 2 2 5 4 2 2 2" xfId="32998"/>
    <cellStyle name="常规 2 2 2 2 5 4 2 3" xfId="23574"/>
    <cellStyle name="常规 2 2 2 2 5 4 3" xfId="7866"/>
    <cellStyle name="常规 2 2 2 2 5 4 3 2" xfId="17286"/>
    <cellStyle name="常规 2 2 2 2 5 4 3 2 2" xfId="36134"/>
    <cellStyle name="常规 2 2 2 2 5 4 3 3" xfId="26710"/>
    <cellStyle name="常规 2 2 2 2 5 4 4" xfId="11014"/>
    <cellStyle name="常规 2 2 2 2 5 4 4 2" xfId="29862"/>
    <cellStyle name="常规 2 2 2 2 5 4 5" xfId="20438"/>
    <cellStyle name="常规 2 2 2 2 5 5" xfId="2378"/>
    <cellStyle name="常规 2 2 2 2 5 5 2" xfId="5514"/>
    <cellStyle name="常规 2 2 2 2 5 5 2 2" xfId="14934"/>
    <cellStyle name="常规 2 2 2 2 5 5 2 2 2" xfId="33782"/>
    <cellStyle name="常规 2 2 2 2 5 5 2 3" xfId="24358"/>
    <cellStyle name="常规 2 2 2 2 5 5 3" xfId="8650"/>
    <cellStyle name="常规 2 2 2 2 5 5 3 2" xfId="18070"/>
    <cellStyle name="常规 2 2 2 2 5 5 3 2 2" xfId="36918"/>
    <cellStyle name="常规 2 2 2 2 5 5 3 3" xfId="27494"/>
    <cellStyle name="常规 2 2 2 2 5 5 4" xfId="11798"/>
    <cellStyle name="常规 2 2 2 2 5 5 4 2" xfId="30646"/>
    <cellStyle name="常规 2 2 2 2 5 5 5" xfId="21222"/>
    <cellStyle name="常规 2 2 2 2 5 6" xfId="3281"/>
    <cellStyle name="常规 2 2 2 2 5 6 2" xfId="12701"/>
    <cellStyle name="常规 2 2 2 2 5 6 2 2" xfId="31549"/>
    <cellStyle name="常规 2 2 2 2 5 6 3" xfId="22125"/>
    <cellStyle name="常规 2 2 2 2 5 7" xfId="6298"/>
    <cellStyle name="常规 2 2 2 2 5 7 2" xfId="15718"/>
    <cellStyle name="常规 2 2 2 2 5 7 2 2" xfId="34566"/>
    <cellStyle name="常规 2 2 2 2 5 7 3" xfId="25142"/>
    <cellStyle name="常规 2 2 2 2 5 8" xfId="9445"/>
    <cellStyle name="常规 2 2 2 2 5 8 2" xfId="28290"/>
    <cellStyle name="常规 2 2 2 2 5 9" xfId="18868"/>
    <cellStyle name="常规 2 2 2 2 6" xfId="406"/>
    <cellStyle name="常规 2 2 2 2 6 2" xfId="1190"/>
    <cellStyle name="常规 2 2 2 2 6 2 2" xfId="4326"/>
    <cellStyle name="常规 2 2 2 2 6 2 2 2" xfId="13746"/>
    <cellStyle name="常规 2 2 2 2 6 2 2 2 2" xfId="32594"/>
    <cellStyle name="常规 2 2 2 2 6 2 2 3" xfId="23170"/>
    <cellStyle name="常规 2 2 2 2 6 2 3" xfId="7462"/>
    <cellStyle name="常规 2 2 2 2 6 2 3 2" xfId="16882"/>
    <cellStyle name="常规 2 2 2 2 6 2 3 2 2" xfId="35730"/>
    <cellStyle name="常规 2 2 2 2 6 2 3 3" xfId="26306"/>
    <cellStyle name="常规 2 2 2 2 6 2 4" xfId="10610"/>
    <cellStyle name="常规 2 2 2 2 6 2 4 2" xfId="29458"/>
    <cellStyle name="常规 2 2 2 2 6 2 5" xfId="20034"/>
    <cellStyle name="常规 2 2 2 2 6 3" xfId="1974"/>
    <cellStyle name="常规 2 2 2 2 6 3 2" xfId="5110"/>
    <cellStyle name="常规 2 2 2 2 6 3 2 2" xfId="14530"/>
    <cellStyle name="常规 2 2 2 2 6 3 2 2 2" xfId="33378"/>
    <cellStyle name="常规 2 2 2 2 6 3 2 3" xfId="23954"/>
    <cellStyle name="常规 2 2 2 2 6 3 3" xfId="8246"/>
    <cellStyle name="常规 2 2 2 2 6 3 3 2" xfId="17666"/>
    <cellStyle name="常规 2 2 2 2 6 3 3 2 2" xfId="36514"/>
    <cellStyle name="常规 2 2 2 2 6 3 3 3" xfId="27090"/>
    <cellStyle name="常规 2 2 2 2 6 3 4" xfId="11394"/>
    <cellStyle name="常规 2 2 2 2 6 3 4 2" xfId="30242"/>
    <cellStyle name="常规 2 2 2 2 6 3 5" xfId="20818"/>
    <cellStyle name="常规 2 2 2 2 6 4" xfId="2758"/>
    <cellStyle name="常规 2 2 2 2 6 4 2" xfId="5894"/>
    <cellStyle name="常规 2 2 2 2 6 4 2 2" xfId="15314"/>
    <cellStyle name="常规 2 2 2 2 6 4 2 2 2" xfId="34162"/>
    <cellStyle name="常规 2 2 2 2 6 4 2 3" xfId="24738"/>
    <cellStyle name="常规 2 2 2 2 6 4 3" xfId="9030"/>
    <cellStyle name="常规 2 2 2 2 6 4 3 2" xfId="18450"/>
    <cellStyle name="常规 2 2 2 2 6 4 3 2 2" xfId="37298"/>
    <cellStyle name="常规 2 2 2 2 6 4 3 3" xfId="27874"/>
    <cellStyle name="常规 2 2 2 2 6 4 4" xfId="12178"/>
    <cellStyle name="常规 2 2 2 2 6 4 4 2" xfId="31026"/>
    <cellStyle name="常规 2 2 2 2 6 4 5" xfId="21602"/>
    <cellStyle name="常规 2 2 2 2 6 5" xfId="3542"/>
    <cellStyle name="常规 2 2 2 2 6 5 2" xfId="12962"/>
    <cellStyle name="常规 2 2 2 2 6 5 2 2" xfId="31810"/>
    <cellStyle name="常规 2 2 2 2 6 5 3" xfId="22386"/>
    <cellStyle name="常规 2 2 2 2 6 6" xfId="6678"/>
    <cellStyle name="常规 2 2 2 2 6 6 2" xfId="16098"/>
    <cellStyle name="常规 2 2 2 2 6 6 2 2" xfId="34946"/>
    <cellStyle name="常规 2 2 2 2 6 6 3" xfId="25522"/>
    <cellStyle name="常规 2 2 2 2 6 7" xfId="9826"/>
    <cellStyle name="常规 2 2 2 2 6 7 2" xfId="28674"/>
    <cellStyle name="常规 2 2 2 2 6 8" xfId="19250"/>
    <cellStyle name="常规 2 2 2 2 7" xfId="795"/>
    <cellStyle name="常规 2 2 2 2 7 2" xfId="3931"/>
    <cellStyle name="常规 2 2 2 2 7 2 2" xfId="13351"/>
    <cellStyle name="常规 2 2 2 2 7 2 2 2" xfId="32199"/>
    <cellStyle name="常规 2 2 2 2 7 2 3" xfId="22775"/>
    <cellStyle name="常规 2 2 2 2 7 3" xfId="7067"/>
    <cellStyle name="常规 2 2 2 2 7 3 2" xfId="16487"/>
    <cellStyle name="常规 2 2 2 2 7 3 2 2" xfId="35335"/>
    <cellStyle name="常规 2 2 2 2 7 3 3" xfId="25911"/>
    <cellStyle name="常规 2 2 2 2 7 4" xfId="10215"/>
    <cellStyle name="常规 2 2 2 2 7 4 2" xfId="29063"/>
    <cellStyle name="常规 2 2 2 2 7 5" xfId="19639"/>
    <cellStyle name="常规 2 2 2 2 8" xfId="1579"/>
    <cellStyle name="常规 2 2 2 2 8 2" xfId="4715"/>
    <cellStyle name="常规 2 2 2 2 8 2 2" xfId="14135"/>
    <cellStyle name="常规 2 2 2 2 8 2 2 2" xfId="32983"/>
    <cellStyle name="常规 2 2 2 2 8 2 3" xfId="23559"/>
    <cellStyle name="常规 2 2 2 2 8 3" xfId="7851"/>
    <cellStyle name="常规 2 2 2 2 8 3 2" xfId="17271"/>
    <cellStyle name="常规 2 2 2 2 8 3 2 2" xfId="36119"/>
    <cellStyle name="常规 2 2 2 2 8 3 3" xfId="26695"/>
    <cellStyle name="常规 2 2 2 2 8 4" xfId="10999"/>
    <cellStyle name="常规 2 2 2 2 8 4 2" xfId="29847"/>
    <cellStyle name="常规 2 2 2 2 8 5" xfId="20423"/>
    <cellStyle name="常规 2 2 2 2 9" xfId="2363"/>
    <cellStyle name="常规 2 2 2 2 9 2" xfId="5499"/>
    <cellStyle name="常规 2 2 2 2 9 2 2" xfId="14919"/>
    <cellStyle name="常规 2 2 2 2 9 2 2 2" xfId="33767"/>
    <cellStyle name="常规 2 2 2 2 9 2 3" xfId="24343"/>
    <cellStyle name="常规 2 2 2 2 9 3" xfId="8635"/>
    <cellStyle name="常规 2 2 2 2 9 3 2" xfId="18055"/>
    <cellStyle name="常规 2 2 2 2 9 3 2 2" xfId="36903"/>
    <cellStyle name="常规 2 2 2 2 9 3 3" xfId="27479"/>
    <cellStyle name="常规 2 2 2 2 9 4" xfId="11783"/>
    <cellStyle name="常规 2 2 2 2 9 4 2" xfId="30631"/>
    <cellStyle name="常规 2 2 2 2 9 5" xfId="21207"/>
    <cellStyle name="常规 2 2 2 3" xfId="23"/>
    <cellStyle name="常规 2 2 2 3 10" xfId="6299"/>
    <cellStyle name="常规 2 2 2 3 10 2" xfId="15719"/>
    <cellStyle name="常规 2 2 2 3 10 2 2" xfId="34567"/>
    <cellStyle name="常规 2 2 2 3 10 3" xfId="25143"/>
    <cellStyle name="常规 2 2 2 3 11" xfId="9446"/>
    <cellStyle name="常规 2 2 2 3 11 2" xfId="28291"/>
    <cellStyle name="常规 2 2 2 3 12" xfId="18869"/>
    <cellStyle name="常规 2 2 2 3 2" xfId="24"/>
    <cellStyle name="常规 2 2 2 3 2 10" xfId="9447"/>
    <cellStyle name="常规 2 2 2 3 2 10 2" xfId="28292"/>
    <cellStyle name="常规 2 2 2 3 2 11" xfId="18870"/>
    <cellStyle name="常规 2 2 2 3 2 2" xfId="25"/>
    <cellStyle name="常规 2 2 2 3 2 2 10" xfId="18871"/>
    <cellStyle name="常规 2 2 2 3 2 2 2" xfId="26"/>
    <cellStyle name="常规 2 2 2 3 2 2 2 2" xfId="425"/>
    <cellStyle name="常规 2 2 2 3 2 2 2 2 2" xfId="1209"/>
    <cellStyle name="常规 2 2 2 3 2 2 2 2 2 2" xfId="4345"/>
    <cellStyle name="常规 2 2 2 3 2 2 2 2 2 2 2" xfId="13765"/>
    <cellStyle name="常规 2 2 2 3 2 2 2 2 2 2 2 2" xfId="32613"/>
    <cellStyle name="常规 2 2 2 3 2 2 2 2 2 2 3" xfId="23189"/>
    <cellStyle name="常规 2 2 2 3 2 2 2 2 2 3" xfId="7481"/>
    <cellStyle name="常规 2 2 2 3 2 2 2 2 2 3 2" xfId="16901"/>
    <cellStyle name="常规 2 2 2 3 2 2 2 2 2 3 2 2" xfId="35749"/>
    <cellStyle name="常规 2 2 2 3 2 2 2 2 2 3 3" xfId="26325"/>
    <cellStyle name="常规 2 2 2 3 2 2 2 2 2 4" xfId="10629"/>
    <cellStyle name="常规 2 2 2 3 2 2 2 2 2 4 2" xfId="29477"/>
    <cellStyle name="常规 2 2 2 3 2 2 2 2 2 5" xfId="20053"/>
    <cellStyle name="常规 2 2 2 3 2 2 2 2 3" xfId="1993"/>
    <cellStyle name="常规 2 2 2 3 2 2 2 2 3 2" xfId="5129"/>
    <cellStyle name="常规 2 2 2 3 2 2 2 2 3 2 2" xfId="14549"/>
    <cellStyle name="常规 2 2 2 3 2 2 2 2 3 2 2 2" xfId="33397"/>
    <cellStyle name="常规 2 2 2 3 2 2 2 2 3 2 3" xfId="23973"/>
    <cellStyle name="常规 2 2 2 3 2 2 2 2 3 3" xfId="8265"/>
    <cellStyle name="常规 2 2 2 3 2 2 2 2 3 3 2" xfId="17685"/>
    <cellStyle name="常规 2 2 2 3 2 2 2 2 3 3 2 2" xfId="36533"/>
    <cellStyle name="常规 2 2 2 3 2 2 2 2 3 3 3" xfId="27109"/>
    <cellStyle name="常规 2 2 2 3 2 2 2 2 3 4" xfId="11413"/>
    <cellStyle name="常规 2 2 2 3 2 2 2 2 3 4 2" xfId="30261"/>
    <cellStyle name="常规 2 2 2 3 2 2 2 2 3 5" xfId="20837"/>
    <cellStyle name="常规 2 2 2 3 2 2 2 2 4" xfId="2777"/>
    <cellStyle name="常规 2 2 2 3 2 2 2 2 4 2" xfId="5913"/>
    <cellStyle name="常规 2 2 2 3 2 2 2 2 4 2 2" xfId="15333"/>
    <cellStyle name="常规 2 2 2 3 2 2 2 2 4 2 2 2" xfId="34181"/>
    <cellStyle name="常规 2 2 2 3 2 2 2 2 4 2 3" xfId="24757"/>
    <cellStyle name="常规 2 2 2 3 2 2 2 2 4 3" xfId="9049"/>
    <cellStyle name="常规 2 2 2 3 2 2 2 2 4 3 2" xfId="18469"/>
    <cellStyle name="常规 2 2 2 3 2 2 2 2 4 3 2 2" xfId="37317"/>
    <cellStyle name="常规 2 2 2 3 2 2 2 2 4 3 3" xfId="27893"/>
    <cellStyle name="常规 2 2 2 3 2 2 2 2 4 4" xfId="12197"/>
    <cellStyle name="常规 2 2 2 3 2 2 2 2 4 4 2" xfId="31045"/>
    <cellStyle name="常规 2 2 2 3 2 2 2 2 4 5" xfId="21621"/>
    <cellStyle name="常规 2 2 2 3 2 2 2 2 5" xfId="3561"/>
    <cellStyle name="常规 2 2 2 3 2 2 2 2 5 2" xfId="12981"/>
    <cellStyle name="常规 2 2 2 3 2 2 2 2 5 2 2" xfId="31829"/>
    <cellStyle name="常规 2 2 2 3 2 2 2 2 5 3" xfId="22405"/>
    <cellStyle name="常规 2 2 2 3 2 2 2 2 6" xfId="6697"/>
    <cellStyle name="常规 2 2 2 3 2 2 2 2 6 2" xfId="16117"/>
    <cellStyle name="常规 2 2 2 3 2 2 2 2 6 2 2" xfId="34965"/>
    <cellStyle name="常规 2 2 2 3 2 2 2 2 6 3" xfId="25541"/>
    <cellStyle name="常规 2 2 2 3 2 2 2 2 7" xfId="9845"/>
    <cellStyle name="常规 2 2 2 3 2 2 2 2 7 2" xfId="28693"/>
    <cellStyle name="常规 2 2 2 3 2 2 2 2 8" xfId="19269"/>
    <cellStyle name="常规 2 2 2 3 2 2 2 3" xfId="814"/>
    <cellStyle name="常规 2 2 2 3 2 2 2 3 2" xfId="3950"/>
    <cellStyle name="常规 2 2 2 3 2 2 2 3 2 2" xfId="13370"/>
    <cellStyle name="常规 2 2 2 3 2 2 2 3 2 2 2" xfId="32218"/>
    <cellStyle name="常规 2 2 2 3 2 2 2 3 2 3" xfId="22794"/>
    <cellStyle name="常规 2 2 2 3 2 2 2 3 3" xfId="7086"/>
    <cellStyle name="常规 2 2 2 3 2 2 2 3 3 2" xfId="16506"/>
    <cellStyle name="常规 2 2 2 3 2 2 2 3 3 2 2" xfId="35354"/>
    <cellStyle name="常规 2 2 2 3 2 2 2 3 3 3" xfId="25930"/>
    <cellStyle name="常规 2 2 2 3 2 2 2 3 4" xfId="10234"/>
    <cellStyle name="常规 2 2 2 3 2 2 2 3 4 2" xfId="29082"/>
    <cellStyle name="常规 2 2 2 3 2 2 2 3 5" xfId="19658"/>
    <cellStyle name="常规 2 2 2 3 2 2 2 4" xfId="1598"/>
    <cellStyle name="常规 2 2 2 3 2 2 2 4 2" xfId="4734"/>
    <cellStyle name="常规 2 2 2 3 2 2 2 4 2 2" xfId="14154"/>
    <cellStyle name="常规 2 2 2 3 2 2 2 4 2 2 2" xfId="33002"/>
    <cellStyle name="常规 2 2 2 3 2 2 2 4 2 3" xfId="23578"/>
    <cellStyle name="常规 2 2 2 3 2 2 2 4 3" xfId="7870"/>
    <cellStyle name="常规 2 2 2 3 2 2 2 4 3 2" xfId="17290"/>
    <cellStyle name="常规 2 2 2 3 2 2 2 4 3 2 2" xfId="36138"/>
    <cellStyle name="常规 2 2 2 3 2 2 2 4 3 3" xfId="26714"/>
    <cellStyle name="常规 2 2 2 3 2 2 2 4 4" xfId="11018"/>
    <cellStyle name="常规 2 2 2 3 2 2 2 4 4 2" xfId="29866"/>
    <cellStyle name="常规 2 2 2 3 2 2 2 4 5" xfId="20442"/>
    <cellStyle name="常规 2 2 2 3 2 2 2 5" xfId="2382"/>
    <cellStyle name="常规 2 2 2 3 2 2 2 5 2" xfId="5518"/>
    <cellStyle name="常规 2 2 2 3 2 2 2 5 2 2" xfId="14938"/>
    <cellStyle name="常规 2 2 2 3 2 2 2 5 2 2 2" xfId="33786"/>
    <cellStyle name="常规 2 2 2 3 2 2 2 5 2 3" xfId="24362"/>
    <cellStyle name="常规 2 2 2 3 2 2 2 5 3" xfId="8654"/>
    <cellStyle name="常规 2 2 2 3 2 2 2 5 3 2" xfId="18074"/>
    <cellStyle name="常规 2 2 2 3 2 2 2 5 3 2 2" xfId="36922"/>
    <cellStyle name="常规 2 2 2 3 2 2 2 5 3 3" xfId="27498"/>
    <cellStyle name="常规 2 2 2 3 2 2 2 5 4" xfId="11802"/>
    <cellStyle name="常规 2 2 2 3 2 2 2 5 4 2" xfId="30650"/>
    <cellStyle name="常规 2 2 2 3 2 2 2 5 5" xfId="21226"/>
    <cellStyle name="常规 2 2 2 3 2 2 2 6" xfId="3300"/>
    <cellStyle name="常规 2 2 2 3 2 2 2 6 2" xfId="12720"/>
    <cellStyle name="常规 2 2 2 3 2 2 2 6 2 2" xfId="31568"/>
    <cellStyle name="常规 2 2 2 3 2 2 2 6 3" xfId="22144"/>
    <cellStyle name="常规 2 2 2 3 2 2 2 7" xfId="6302"/>
    <cellStyle name="常规 2 2 2 3 2 2 2 7 2" xfId="15722"/>
    <cellStyle name="常规 2 2 2 3 2 2 2 7 2 2" xfId="34570"/>
    <cellStyle name="常规 2 2 2 3 2 2 2 7 3" xfId="25146"/>
    <cellStyle name="常规 2 2 2 3 2 2 2 8" xfId="9449"/>
    <cellStyle name="常规 2 2 2 3 2 2 2 8 2" xfId="28294"/>
    <cellStyle name="常规 2 2 2 3 2 2 2 9" xfId="18872"/>
    <cellStyle name="常规 2 2 2 3 2 2 3" xfId="424"/>
    <cellStyle name="常规 2 2 2 3 2 2 3 2" xfId="1208"/>
    <cellStyle name="常规 2 2 2 3 2 2 3 2 2" xfId="4344"/>
    <cellStyle name="常规 2 2 2 3 2 2 3 2 2 2" xfId="13764"/>
    <cellStyle name="常规 2 2 2 3 2 2 3 2 2 2 2" xfId="32612"/>
    <cellStyle name="常规 2 2 2 3 2 2 3 2 2 3" xfId="23188"/>
    <cellStyle name="常规 2 2 2 3 2 2 3 2 3" xfId="7480"/>
    <cellStyle name="常规 2 2 2 3 2 2 3 2 3 2" xfId="16900"/>
    <cellStyle name="常规 2 2 2 3 2 2 3 2 3 2 2" xfId="35748"/>
    <cellStyle name="常规 2 2 2 3 2 2 3 2 3 3" xfId="26324"/>
    <cellStyle name="常规 2 2 2 3 2 2 3 2 4" xfId="10628"/>
    <cellStyle name="常规 2 2 2 3 2 2 3 2 4 2" xfId="29476"/>
    <cellStyle name="常规 2 2 2 3 2 2 3 2 5" xfId="20052"/>
    <cellStyle name="常规 2 2 2 3 2 2 3 3" xfId="1992"/>
    <cellStyle name="常规 2 2 2 3 2 2 3 3 2" xfId="5128"/>
    <cellStyle name="常规 2 2 2 3 2 2 3 3 2 2" xfId="14548"/>
    <cellStyle name="常规 2 2 2 3 2 2 3 3 2 2 2" xfId="33396"/>
    <cellStyle name="常规 2 2 2 3 2 2 3 3 2 3" xfId="23972"/>
    <cellStyle name="常规 2 2 2 3 2 2 3 3 3" xfId="8264"/>
    <cellStyle name="常规 2 2 2 3 2 2 3 3 3 2" xfId="17684"/>
    <cellStyle name="常规 2 2 2 3 2 2 3 3 3 2 2" xfId="36532"/>
    <cellStyle name="常规 2 2 2 3 2 2 3 3 3 3" xfId="27108"/>
    <cellStyle name="常规 2 2 2 3 2 2 3 3 4" xfId="11412"/>
    <cellStyle name="常规 2 2 2 3 2 2 3 3 4 2" xfId="30260"/>
    <cellStyle name="常规 2 2 2 3 2 2 3 3 5" xfId="20836"/>
    <cellStyle name="常规 2 2 2 3 2 2 3 4" xfId="2776"/>
    <cellStyle name="常规 2 2 2 3 2 2 3 4 2" xfId="5912"/>
    <cellStyle name="常规 2 2 2 3 2 2 3 4 2 2" xfId="15332"/>
    <cellStyle name="常规 2 2 2 3 2 2 3 4 2 2 2" xfId="34180"/>
    <cellStyle name="常规 2 2 2 3 2 2 3 4 2 3" xfId="24756"/>
    <cellStyle name="常规 2 2 2 3 2 2 3 4 3" xfId="9048"/>
    <cellStyle name="常规 2 2 2 3 2 2 3 4 3 2" xfId="18468"/>
    <cellStyle name="常规 2 2 2 3 2 2 3 4 3 2 2" xfId="37316"/>
    <cellStyle name="常规 2 2 2 3 2 2 3 4 3 3" xfId="27892"/>
    <cellStyle name="常规 2 2 2 3 2 2 3 4 4" xfId="12196"/>
    <cellStyle name="常规 2 2 2 3 2 2 3 4 4 2" xfId="31044"/>
    <cellStyle name="常规 2 2 2 3 2 2 3 4 5" xfId="21620"/>
    <cellStyle name="常规 2 2 2 3 2 2 3 5" xfId="3560"/>
    <cellStyle name="常规 2 2 2 3 2 2 3 5 2" xfId="12980"/>
    <cellStyle name="常规 2 2 2 3 2 2 3 5 2 2" xfId="31828"/>
    <cellStyle name="常规 2 2 2 3 2 2 3 5 3" xfId="22404"/>
    <cellStyle name="常规 2 2 2 3 2 2 3 6" xfId="6696"/>
    <cellStyle name="常规 2 2 2 3 2 2 3 6 2" xfId="16116"/>
    <cellStyle name="常规 2 2 2 3 2 2 3 6 2 2" xfId="34964"/>
    <cellStyle name="常规 2 2 2 3 2 2 3 6 3" xfId="25540"/>
    <cellStyle name="常规 2 2 2 3 2 2 3 7" xfId="9844"/>
    <cellStyle name="常规 2 2 2 3 2 2 3 7 2" xfId="28692"/>
    <cellStyle name="常规 2 2 2 3 2 2 3 8" xfId="19268"/>
    <cellStyle name="常规 2 2 2 3 2 2 4" xfId="813"/>
    <cellStyle name="常规 2 2 2 3 2 2 4 2" xfId="3949"/>
    <cellStyle name="常规 2 2 2 3 2 2 4 2 2" xfId="13369"/>
    <cellStyle name="常规 2 2 2 3 2 2 4 2 2 2" xfId="32217"/>
    <cellStyle name="常规 2 2 2 3 2 2 4 2 3" xfId="22793"/>
    <cellStyle name="常规 2 2 2 3 2 2 4 3" xfId="7085"/>
    <cellStyle name="常规 2 2 2 3 2 2 4 3 2" xfId="16505"/>
    <cellStyle name="常规 2 2 2 3 2 2 4 3 2 2" xfId="35353"/>
    <cellStyle name="常规 2 2 2 3 2 2 4 3 3" xfId="25929"/>
    <cellStyle name="常规 2 2 2 3 2 2 4 4" xfId="10233"/>
    <cellStyle name="常规 2 2 2 3 2 2 4 4 2" xfId="29081"/>
    <cellStyle name="常规 2 2 2 3 2 2 4 5" xfId="19657"/>
    <cellStyle name="常规 2 2 2 3 2 2 5" xfId="1597"/>
    <cellStyle name="常规 2 2 2 3 2 2 5 2" xfId="4733"/>
    <cellStyle name="常规 2 2 2 3 2 2 5 2 2" xfId="14153"/>
    <cellStyle name="常规 2 2 2 3 2 2 5 2 2 2" xfId="33001"/>
    <cellStyle name="常规 2 2 2 3 2 2 5 2 3" xfId="23577"/>
    <cellStyle name="常规 2 2 2 3 2 2 5 3" xfId="7869"/>
    <cellStyle name="常规 2 2 2 3 2 2 5 3 2" xfId="17289"/>
    <cellStyle name="常规 2 2 2 3 2 2 5 3 2 2" xfId="36137"/>
    <cellStyle name="常规 2 2 2 3 2 2 5 3 3" xfId="26713"/>
    <cellStyle name="常规 2 2 2 3 2 2 5 4" xfId="11017"/>
    <cellStyle name="常规 2 2 2 3 2 2 5 4 2" xfId="29865"/>
    <cellStyle name="常规 2 2 2 3 2 2 5 5" xfId="20441"/>
    <cellStyle name="常规 2 2 2 3 2 2 6" xfId="2381"/>
    <cellStyle name="常规 2 2 2 3 2 2 6 2" xfId="5517"/>
    <cellStyle name="常规 2 2 2 3 2 2 6 2 2" xfId="14937"/>
    <cellStyle name="常规 2 2 2 3 2 2 6 2 2 2" xfId="33785"/>
    <cellStyle name="常规 2 2 2 3 2 2 6 2 3" xfId="24361"/>
    <cellStyle name="常规 2 2 2 3 2 2 6 3" xfId="8653"/>
    <cellStyle name="常规 2 2 2 3 2 2 6 3 2" xfId="18073"/>
    <cellStyle name="常规 2 2 2 3 2 2 6 3 2 2" xfId="36921"/>
    <cellStyle name="常规 2 2 2 3 2 2 6 3 3" xfId="27497"/>
    <cellStyle name="常规 2 2 2 3 2 2 6 4" xfId="11801"/>
    <cellStyle name="常规 2 2 2 3 2 2 6 4 2" xfId="30649"/>
    <cellStyle name="常规 2 2 2 3 2 2 6 5" xfId="21225"/>
    <cellStyle name="常规 2 2 2 3 2 2 7" xfId="3283"/>
    <cellStyle name="常规 2 2 2 3 2 2 7 2" xfId="12703"/>
    <cellStyle name="常规 2 2 2 3 2 2 7 2 2" xfId="31551"/>
    <cellStyle name="常规 2 2 2 3 2 2 7 3" xfId="22127"/>
    <cellStyle name="常规 2 2 2 3 2 2 8" xfId="6301"/>
    <cellStyle name="常规 2 2 2 3 2 2 8 2" xfId="15721"/>
    <cellStyle name="常规 2 2 2 3 2 2 8 2 2" xfId="34569"/>
    <cellStyle name="常规 2 2 2 3 2 2 8 3" xfId="25145"/>
    <cellStyle name="常规 2 2 2 3 2 2 9" xfId="9448"/>
    <cellStyle name="常规 2 2 2 3 2 2 9 2" xfId="28293"/>
    <cellStyle name="常规 2 2 2 3 2 3" xfId="27"/>
    <cellStyle name="常规 2 2 2 3 2 3 2" xfId="426"/>
    <cellStyle name="常规 2 2 2 3 2 3 2 2" xfId="1210"/>
    <cellStyle name="常规 2 2 2 3 2 3 2 2 2" xfId="4346"/>
    <cellStyle name="常规 2 2 2 3 2 3 2 2 2 2" xfId="13766"/>
    <cellStyle name="常规 2 2 2 3 2 3 2 2 2 2 2" xfId="32614"/>
    <cellStyle name="常规 2 2 2 3 2 3 2 2 2 3" xfId="23190"/>
    <cellStyle name="常规 2 2 2 3 2 3 2 2 3" xfId="7482"/>
    <cellStyle name="常规 2 2 2 3 2 3 2 2 3 2" xfId="16902"/>
    <cellStyle name="常规 2 2 2 3 2 3 2 2 3 2 2" xfId="35750"/>
    <cellStyle name="常规 2 2 2 3 2 3 2 2 3 3" xfId="26326"/>
    <cellStyle name="常规 2 2 2 3 2 3 2 2 4" xfId="10630"/>
    <cellStyle name="常规 2 2 2 3 2 3 2 2 4 2" xfId="29478"/>
    <cellStyle name="常规 2 2 2 3 2 3 2 2 5" xfId="20054"/>
    <cellStyle name="常规 2 2 2 3 2 3 2 3" xfId="1994"/>
    <cellStyle name="常规 2 2 2 3 2 3 2 3 2" xfId="5130"/>
    <cellStyle name="常规 2 2 2 3 2 3 2 3 2 2" xfId="14550"/>
    <cellStyle name="常规 2 2 2 3 2 3 2 3 2 2 2" xfId="33398"/>
    <cellStyle name="常规 2 2 2 3 2 3 2 3 2 3" xfId="23974"/>
    <cellStyle name="常规 2 2 2 3 2 3 2 3 3" xfId="8266"/>
    <cellStyle name="常规 2 2 2 3 2 3 2 3 3 2" xfId="17686"/>
    <cellStyle name="常规 2 2 2 3 2 3 2 3 3 2 2" xfId="36534"/>
    <cellStyle name="常规 2 2 2 3 2 3 2 3 3 3" xfId="27110"/>
    <cellStyle name="常规 2 2 2 3 2 3 2 3 4" xfId="11414"/>
    <cellStyle name="常规 2 2 2 3 2 3 2 3 4 2" xfId="30262"/>
    <cellStyle name="常规 2 2 2 3 2 3 2 3 5" xfId="20838"/>
    <cellStyle name="常规 2 2 2 3 2 3 2 4" xfId="2778"/>
    <cellStyle name="常规 2 2 2 3 2 3 2 4 2" xfId="5914"/>
    <cellStyle name="常规 2 2 2 3 2 3 2 4 2 2" xfId="15334"/>
    <cellStyle name="常规 2 2 2 3 2 3 2 4 2 2 2" xfId="34182"/>
    <cellStyle name="常规 2 2 2 3 2 3 2 4 2 3" xfId="24758"/>
    <cellStyle name="常规 2 2 2 3 2 3 2 4 3" xfId="9050"/>
    <cellStyle name="常规 2 2 2 3 2 3 2 4 3 2" xfId="18470"/>
    <cellStyle name="常规 2 2 2 3 2 3 2 4 3 2 2" xfId="37318"/>
    <cellStyle name="常规 2 2 2 3 2 3 2 4 3 3" xfId="27894"/>
    <cellStyle name="常规 2 2 2 3 2 3 2 4 4" xfId="12198"/>
    <cellStyle name="常规 2 2 2 3 2 3 2 4 4 2" xfId="31046"/>
    <cellStyle name="常规 2 2 2 3 2 3 2 4 5" xfId="21622"/>
    <cellStyle name="常规 2 2 2 3 2 3 2 5" xfId="3562"/>
    <cellStyle name="常规 2 2 2 3 2 3 2 5 2" xfId="12982"/>
    <cellStyle name="常规 2 2 2 3 2 3 2 5 2 2" xfId="31830"/>
    <cellStyle name="常规 2 2 2 3 2 3 2 5 3" xfId="22406"/>
    <cellStyle name="常规 2 2 2 3 2 3 2 6" xfId="6698"/>
    <cellStyle name="常规 2 2 2 3 2 3 2 6 2" xfId="16118"/>
    <cellStyle name="常规 2 2 2 3 2 3 2 6 2 2" xfId="34966"/>
    <cellStyle name="常规 2 2 2 3 2 3 2 6 3" xfId="25542"/>
    <cellStyle name="常规 2 2 2 3 2 3 2 7" xfId="9846"/>
    <cellStyle name="常规 2 2 2 3 2 3 2 7 2" xfId="28694"/>
    <cellStyle name="常规 2 2 2 3 2 3 2 8" xfId="19270"/>
    <cellStyle name="常规 2 2 2 3 2 3 3" xfId="815"/>
    <cellStyle name="常规 2 2 2 3 2 3 3 2" xfId="3951"/>
    <cellStyle name="常规 2 2 2 3 2 3 3 2 2" xfId="13371"/>
    <cellStyle name="常规 2 2 2 3 2 3 3 2 2 2" xfId="32219"/>
    <cellStyle name="常规 2 2 2 3 2 3 3 2 3" xfId="22795"/>
    <cellStyle name="常规 2 2 2 3 2 3 3 3" xfId="7087"/>
    <cellStyle name="常规 2 2 2 3 2 3 3 3 2" xfId="16507"/>
    <cellStyle name="常规 2 2 2 3 2 3 3 3 2 2" xfId="35355"/>
    <cellStyle name="常规 2 2 2 3 2 3 3 3 3" xfId="25931"/>
    <cellStyle name="常规 2 2 2 3 2 3 3 4" xfId="10235"/>
    <cellStyle name="常规 2 2 2 3 2 3 3 4 2" xfId="29083"/>
    <cellStyle name="常规 2 2 2 3 2 3 3 5" xfId="19659"/>
    <cellStyle name="常规 2 2 2 3 2 3 4" xfId="1599"/>
    <cellStyle name="常规 2 2 2 3 2 3 4 2" xfId="4735"/>
    <cellStyle name="常规 2 2 2 3 2 3 4 2 2" xfId="14155"/>
    <cellStyle name="常规 2 2 2 3 2 3 4 2 2 2" xfId="33003"/>
    <cellStyle name="常规 2 2 2 3 2 3 4 2 3" xfId="23579"/>
    <cellStyle name="常规 2 2 2 3 2 3 4 3" xfId="7871"/>
    <cellStyle name="常规 2 2 2 3 2 3 4 3 2" xfId="17291"/>
    <cellStyle name="常规 2 2 2 3 2 3 4 3 2 2" xfId="36139"/>
    <cellStyle name="常规 2 2 2 3 2 3 4 3 3" xfId="26715"/>
    <cellStyle name="常规 2 2 2 3 2 3 4 4" xfId="11019"/>
    <cellStyle name="常规 2 2 2 3 2 3 4 4 2" xfId="29867"/>
    <cellStyle name="常规 2 2 2 3 2 3 4 5" xfId="20443"/>
    <cellStyle name="常规 2 2 2 3 2 3 5" xfId="2383"/>
    <cellStyle name="常规 2 2 2 3 2 3 5 2" xfId="5519"/>
    <cellStyle name="常规 2 2 2 3 2 3 5 2 2" xfId="14939"/>
    <cellStyle name="常规 2 2 2 3 2 3 5 2 2 2" xfId="33787"/>
    <cellStyle name="常规 2 2 2 3 2 3 5 2 3" xfId="24363"/>
    <cellStyle name="常规 2 2 2 3 2 3 5 3" xfId="8655"/>
    <cellStyle name="常规 2 2 2 3 2 3 5 3 2" xfId="18075"/>
    <cellStyle name="常规 2 2 2 3 2 3 5 3 2 2" xfId="36923"/>
    <cellStyle name="常规 2 2 2 3 2 3 5 3 3" xfId="27499"/>
    <cellStyle name="常规 2 2 2 3 2 3 5 4" xfId="11803"/>
    <cellStyle name="常规 2 2 2 3 2 3 5 4 2" xfId="30651"/>
    <cellStyle name="常规 2 2 2 3 2 3 5 5" xfId="21227"/>
    <cellStyle name="常规 2 2 2 3 2 3 6" xfId="3299"/>
    <cellStyle name="常规 2 2 2 3 2 3 6 2" xfId="12719"/>
    <cellStyle name="常规 2 2 2 3 2 3 6 2 2" xfId="31567"/>
    <cellStyle name="常规 2 2 2 3 2 3 6 3" xfId="22143"/>
    <cellStyle name="常规 2 2 2 3 2 3 7" xfId="6303"/>
    <cellStyle name="常规 2 2 2 3 2 3 7 2" xfId="15723"/>
    <cellStyle name="常规 2 2 2 3 2 3 7 2 2" xfId="34571"/>
    <cellStyle name="常规 2 2 2 3 2 3 7 3" xfId="25147"/>
    <cellStyle name="常规 2 2 2 3 2 3 8" xfId="9450"/>
    <cellStyle name="常规 2 2 2 3 2 3 8 2" xfId="28295"/>
    <cellStyle name="常规 2 2 2 3 2 3 9" xfId="18873"/>
    <cellStyle name="常规 2 2 2 3 2 4" xfId="423"/>
    <cellStyle name="常规 2 2 2 3 2 4 2" xfId="1207"/>
    <cellStyle name="常规 2 2 2 3 2 4 2 2" xfId="4343"/>
    <cellStyle name="常规 2 2 2 3 2 4 2 2 2" xfId="13763"/>
    <cellStyle name="常规 2 2 2 3 2 4 2 2 2 2" xfId="32611"/>
    <cellStyle name="常规 2 2 2 3 2 4 2 2 3" xfId="23187"/>
    <cellStyle name="常规 2 2 2 3 2 4 2 3" xfId="7479"/>
    <cellStyle name="常规 2 2 2 3 2 4 2 3 2" xfId="16899"/>
    <cellStyle name="常规 2 2 2 3 2 4 2 3 2 2" xfId="35747"/>
    <cellStyle name="常规 2 2 2 3 2 4 2 3 3" xfId="26323"/>
    <cellStyle name="常规 2 2 2 3 2 4 2 4" xfId="10627"/>
    <cellStyle name="常规 2 2 2 3 2 4 2 4 2" xfId="29475"/>
    <cellStyle name="常规 2 2 2 3 2 4 2 5" xfId="20051"/>
    <cellStyle name="常规 2 2 2 3 2 4 3" xfId="1991"/>
    <cellStyle name="常规 2 2 2 3 2 4 3 2" xfId="5127"/>
    <cellStyle name="常规 2 2 2 3 2 4 3 2 2" xfId="14547"/>
    <cellStyle name="常规 2 2 2 3 2 4 3 2 2 2" xfId="33395"/>
    <cellStyle name="常规 2 2 2 3 2 4 3 2 3" xfId="23971"/>
    <cellStyle name="常规 2 2 2 3 2 4 3 3" xfId="8263"/>
    <cellStyle name="常规 2 2 2 3 2 4 3 3 2" xfId="17683"/>
    <cellStyle name="常规 2 2 2 3 2 4 3 3 2 2" xfId="36531"/>
    <cellStyle name="常规 2 2 2 3 2 4 3 3 3" xfId="27107"/>
    <cellStyle name="常规 2 2 2 3 2 4 3 4" xfId="11411"/>
    <cellStyle name="常规 2 2 2 3 2 4 3 4 2" xfId="30259"/>
    <cellStyle name="常规 2 2 2 3 2 4 3 5" xfId="20835"/>
    <cellStyle name="常规 2 2 2 3 2 4 4" xfId="2775"/>
    <cellStyle name="常规 2 2 2 3 2 4 4 2" xfId="5911"/>
    <cellStyle name="常规 2 2 2 3 2 4 4 2 2" xfId="15331"/>
    <cellStyle name="常规 2 2 2 3 2 4 4 2 2 2" xfId="34179"/>
    <cellStyle name="常规 2 2 2 3 2 4 4 2 3" xfId="24755"/>
    <cellStyle name="常规 2 2 2 3 2 4 4 3" xfId="9047"/>
    <cellStyle name="常规 2 2 2 3 2 4 4 3 2" xfId="18467"/>
    <cellStyle name="常规 2 2 2 3 2 4 4 3 2 2" xfId="37315"/>
    <cellStyle name="常规 2 2 2 3 2 4 4 3 3" xfId="27891"/>
    <cellStyle name="常规 2 2 2 3 2 4 4 4" xfId="12195"/>
    <cellStyle name="常规 2 2 2 3 2 4 4 4 2" xfId="31043"/>
    <cellStyle name="常规 2 2 2 3 2 4 4 5" xfId="21619"/>
    <cellStyle name="常规 2 2 2 3 2 4 5" xfId="3559"/>
    <cellStyle name="常规 2 2 2 3 2 4 5 2" xfId="12979"/>
    <cellStyle name="常规 2 2 2 3 2 4 5 2 2" xfId="31827"/>
    <cellStyle name="常规 2 2 2 3 2 4 5 3" xfId="22403"/>
    <cellStyle name="常规 2 2 2 3 2 4 6" xfId="6695"/>
    <cellStyle name="常规 2 2 2 3 2 4 6 2" xfId="16115"/>
    <cellStyle name="常规 2 2 2 3 2 4 6 2 2" xfId="34963"/>
    <cellStyle name="常规 2 2 2 3 2 4 6 3" xfId="25539"/>
    <cellStyle name="常规 2 2 2 3 2 4 7" xfId="9843"/>
    <cellStyle name="常规 2 2 2 3 2 4 7 2" xfId="28691"/>
    <cellStyle name="常规 2 2 2 3 2 4 8" xfId="19267"/>
    <cellStyle name="常规 2 2 2 3 2 5" xfId="812"/>
    <cellStyle name="常规 2 2 2 3 2 5 2" xfId="3948"/>
    <cellStyle name="常规 2 2 2 3 2 5 2 2" xfId="13368"/>
    <cellStyle name="常规 2 2 2 3 2 5 2 2 2" xfId="32216"/>
    <cellStyle name="常规 2 2 2 3 2 5 2 3" xfId="22792"/>
    <cellStyle name="常规 2 2 2 3 2 5 3" xfId="7084"/>
    <cellStyle name="常规 2 2 2 3 2 5 3 2" xfId="16504"/>
    <cellStyle name="常规 2 2 2 3 2 5 3 2 2" xfId="35352"/>
    <cellStyle name="常规 2 2 2 3 2 5 3 3" xfId="25928"/>
    <cellStyle name="常规 2 2 2 3 2 5 4" xfId="10232"/>
    <cellStyle name="常规 2 2 2 3 2 5 4 2" xfId="29080"/>
    <cellStyle name="常规 2 2 2 3 2 5 5" xfId="19656"/>
    <cellStyle name="常规 2 2 2 3 2 6" xfId="1596"/>
    <cellStyle name="常规 2 2 2 3 2 6 2" xfId="4732"/>
    <cellStyle name="常规 2 2 2 3 2 6 2 2" xfId="14152"/>
    <cellStyle name="常规 2 2 2 3 2 6 2 2 2" xfId="33000"/>
    <cellStyle name="常规 2 2 2 3 2 6 2 3" xfId="23576"/>
    <cellStyle name="常规 2 2 2 3 2 6 3" xfId="7868"/>
    <cellStyle name="常规 2 2 2 3 2 6 3 2" xfId="17288"/>
    <cellStyle name="常规 2 2 2 3 2 6 3 2 2" xfId="36136"/>
    <cellStyle name="常规 2 2 2 3 2 6 3 3" xfId="26712"/>
    <cellStyle name="常规 2 2 2 3 2 6 4" xfId="11016"/>
    <cellStyle name="常规 2 2 2 3 2 6 4 2" xfId="29864"/>
    <cellStyle name="常规 2 2 2 3 2 6 5" xfId="20440"/>
    <cellStyle name="常规 2 2 2 3 2 7" xfId="2380"/>
    <cellStyle name="常规 2 2 2 3 2 7 2" xfId="5516"/>
    <cellStyle name="常规 2 2 2 3 2 7 2 2" xfId="14936"/>
    <cellStyle name="常规 2 2 2 3 2 7 2 2 2" xfId="33784"/>
    <cellStyle name="常规 2 2 2 3 2 7 2 3" xfId="24360"/>
    <cellStyle name="常规 2 2 2 3 2 7 3" xfId="8652"/>
    <cellStyle name="常规 2 2 2 3 2 7 3 2" xfId="18072"/>
    <cellStyle name="常规 2 2 2 3 2 7 3 2 2" xfId="36920"/>
    <cellStyle name="常规 2 2 2 3 2 7 3 3" xfId="27496"/>
    <cellStyle name="常规 2 2 2 3 2 7 4" xfId="11800"/>
    <cellStyle name="常规 2 2 2 3 2 7 4 2" xfId="30648"/>
    <cellStyle name="常规 2 2 2 3 2 7 5" xfId="21224"/>
    <cellStyle name="常规 2 2 2 3 2 8" xfId="3197"/>
    <cellStyle name="常规 2 2 2 3 2 8 2" xfId="12617"/>
    <cellStyle name="常规 2 2 2 3 2 8 2 2" xfId="31465"/>
    <cellStyle name="常规 2 2 2 3 2 8 3" xfId="22041"/>
    <cellStyle name="常规 2 2 2 3 2 9" xfId="6300"/>
    <cellStyle name="常规 2 2 2 3 2 9 2" xfId="15720"/>
    <cellStyle name="常规 2 2 2 3 2 9 2 2" xfId="34568"/>
    <cellStyle name="常规 2 2 2 3 2 9 3" xfId="25144"/>
    <cellStyle name="常规 2 2 2 3 3" xfId="28"/>
    <cellStyle name="常规 2 2 2 3 3 10" xfId="18874"/>
    <cellStyle name="常规 2 2 2 3 3 2" xfId="29"/>
    <cellStyle name="常规 2 2 2 3 3 2 2" xfId="428"/>
    <cellStyle name="常规 2 2 2 3 3 2 2 2" xfId="1212"/>
    <cellStyle name="常规 2 2 2 3 3 2 2 2 2" xfId="4348"/>
    <cellStyle name="常规 2 2 2 3 3 2 2 2 2 2" xfId="13768"/>
    <cellStyle name="常规 2 2 2 3 3 2 2 2 2 2 2" xfId="32616"/>
    <cellStyle name="常规 2 2 2 3 3 2 2 2 2 3" xfId="23192"/>
    <cellStyle name="常规 2 2 2 3 3 2 2 2 3" xfId="7484"/>
    <cellStyle name="常规 2 2 2 3 3 2 2 2 3 2" xfId="16904"/>
    <cellStyle name="常规 2 2 2 3 3 2 2 2 3 2 2" xfId="35752"/>
    <cellStyle name="常规 2 2 2 3 3 2 2 2 3 3" xfId="26328"/>
    <cellStyle name="常规 2 2 2 3 3 2 2 2 4" xfId="10632"/>
    <cellStyle name="常规 2 2 2 3 3 2 2 2 4 2" xfId="29480"/>
    <cellStyle name="常规 2 2 2 3 3 2 2 2 5" xfId="20056"/>
    <cellStyle name="常规 2 2 2 3 3 2 2 3" xfId="1996"/>
    <cellStyle name="常规 2 2 2 3 3 2 2 3 2" xfId="5132"/>
    <cellStyle name="常规 2 2 2 3 3 2 2 3 2 2" xfId="14552"/>
    <cellStyle name="常规 2 2 2 3 3 2 2 3 2 2 2" xfId="33400"/>
    <cellStyle name="常规 2 2 2 3 3 2 2 3 2 3" xfId="23976"/>
    <cellStyle name="常规 2 2 2 3 3 2 2 3 3" xfId="8268"/>
    <cellStyle name="常规 2 2 2 3 3 2 2 3 3 2" xfId="17688"/>
    <cellStyle name="常规 2 2 2 3 3 2 2 3 3 2 2" xfId="36536"/>
    <cellStyle name="常规 2 2 2 3 3 2 2 3 3 3" xfId="27112"/>
    <cellStyle name="常规 2 2 2 3 3 2 2 3 4" xfId="11416"/>
    <cellStyle name="常规 2 2 2 3 3 2 2 3 4 2" xfId="30264"/>
    <cellStyle name="常规 2 2 2 3 3 2 2 3 5" xfId="20840"/>
    <cellStyle name="常规 2 2 2 3 3 2 2 4" xfId="2780"/>
    <cellStyle name="常规 2 2 2 3 3 2 2 4 2" xfId="5916"/>
    <cellStyle name="常规 2 2 2 3 3 2 2 4 2 2" xfId="15336"/>
    <cellStyle name="常规 2 2 2 3 3 2 2 4 2 2 2" xfId="34184"/>
    <cellStyle name="常规 2 2 2 3 3 2 2 4 2 3" xfId="24760"/>
    <cellStyle name="常规 2 2 2 3 3 2 2 4 3" xfId="9052"/>
    <cellStyle name="常规 2 2 2 3 3 2 2 4 3 2" xfId="18472"/>
    <cellStyle name="常规 2 2 2 3 3 2 2 4 3 2 2" xfId="37320"/>
    <cellStyle name="常规 2 2 2 3 3 2 2 4 3 3" xfId="27896"/>
    <cellStyle name="常规 2 2 2 3 3 2 2 4 4" xfId="12200"/>
    <cellStyle name="常规 2 2 2 3 3 2 2 4 4 2" xfId="31048"/>
    <cellStyle name="常规 2 2 2 3 3 2 2 4 5" xfId="21624"/>
    <cellStyle name="常规 2 2 2 3 3 2 2 5" xfId="3564"/>
    <cellStyle name="常规 2 2 2 3 3 2 2 5 2" xfId="12984"/>
    <cellStyle name="常规 2 2 2 3 3 2 2 5 2 2" xfId="31832"/>
    <cellStyle name="常规 2 2 2 3 3 2 2 5 3" xfId="22408"/>
    <cellStyle name="常规 2 2 2 3 3 2 2 6" xfId="6700"/>
    <cellStyle name="常规 2 2 2 3 3 2 2 6 2" xfId="16120"/>
    <cellStyle name="常规 2 2 2 3 3 2 2 6 2 2" xfId="34968"/>
    <cellStyle name="常规 2 2 2 3 3 2 2 6 3" xfId="25544"/>
    <cellStyle name="常规 2 2 2 3 3 2 2 7" xfId="9848"/>
    <cellStyle name="常规 2 2 2 3 3 2 2 7 2" xfId="28696"/>
    <cellStyle name="常规 2 2 2 3 3 2 2 8" xfId="19272"/>
    <cellStyle name="常规 2 2 2 3 3 2 3" xfId="817"/>
    <cellStyle name="常规 2 2 2 3 3 2 3 2" xfId="3953"/>
    <cellStyle name="常规 2 2 2 3 3 2 3 2 2" xfId="13373"/>
    <cellStyle name="常规 2 2 2 3 3 2 3 2 2 2" xfId="32221"/>
    <cellStyle name="常规 2 2 2 3 3 2 3 2 3" xfId="22797"/>
    <cellStyle name="常规 2 2 2 3 3 2 3 3" xfId="7089"/>
    <cellStyle name="常规 2 2 2 3 3 2 3 3 2" xfId="16509"/>
    <cellStyle name="常规 2 2 2 3 3 2 3 3 2 2" xfId="35357"/>
    <cellStyle name="常规 2 2 2 3 3 2 3 3 3" xfId="25933"/>
    <cellStyle name="常规 2 2 2 3 3 2 3 4" xfId="10237"/>
    <cellStyle name="常规 2 2 2 3 3 2 3 4 2" xfId="29085"/>
    <cellStyle name="常规 2 2 2 3 3 2 3 5" xfId="19661"/>
    <cellStyle name="常规 2 2 2 3 3 2 4" xfId="1601"/>
    <cellStyle name="常规 2 2 2 3 3 2 4 2" xfId="4737"/>
    <cellStyle name="常规 2 2 2 3 3 2 4 2 2" xfId="14157"/>
    <cellStyle name="常规 2 2 2 3 3 2 4 2 2 2" xfId="33005"/>
    <cellStyle name="常规 2 2 2 3 3 2 4 2 3" xfId="23581"/>
    <cellStyle name="常规 2 2 2 3 3 2 4 3" xfId="7873"/>
    <cellStyle name="常规 2 2 2 3 3 2 4 3 2" xfId="17293"/>
    <cellStyle name="常规 2 2 2 3 3 2 4 3 2 2" xfId="36141"/>
    <cellStyle name="常规 2 2 2 3 3 2 4 3 3" xfId="26717"/>
    <cellStyle name="常规 2 2 2 3 3 2 4 4" xfId="11021"/>
    <cellStyle name="常规 2 2 2 3 3 2 4 4 2" xfId="29869"/>
    <cellStyle name="常规 2 2 2 3 3 2 4 5" xfId="20445"/>
    <cellStyle name="常规 2 2 2 3 3 2 5" xfId="2385"/>
    <cellStyle name="常规 2 2 2 3 3 2 5 2" xfId="5521"/>
    <cellStyle name="常规 2 2 2 3 3 2 5 2 2" xfId="14941"/>
    <cellStyle name="常规 2 2 2 3 3 2 5 2 2 2" xfId="33789"/>
    <cellStyle name="常规 2 2 2 3 3 2 5 2 3" xfId="24365"/>
    <cellStyle name="常规 2 2 2 3 3 2 5 3" xfId="8657"/>
    <cellStyle name="常规 2 2 2 3 3 2 5 3 2" xfId="18077"/>
    <cellStyle name="常规 2 2 2 3 3 2 5 3 2 2" xfId="36925"/>
    <cellStyle name="常规 2 2 2 3 3 2 5 3 3" xfId="27501"/>
    <cellStyle name="常规 2 2 2 3 3 2 5 4" xfId="11805"/>
    <cellStyle name="常规 2 2 2 3 3 2 5 4 2" xfId="30653"/>
    <cellStyle name="常规 2 2 2 3 3 2 5 5" xfId="21229"/>
    <cellStyle name="常规 2 2 2 3 3 2 6" xfId="3266"/>
    <cellStyle name="常规 2 2 2 3 3 2 6 2" xfId="12686"/>
    <cellStyle name="常规 2 2 2 3 3 2 6 2 2" xfId="31534"/>
    <cellStyle name="常规 2 2 2 3 3 2 6 3" xfId="22110"/>
    <cellStyle name="常规 2 2 2 3 3 2 7" xfId="6305"/>
    <cellStyle name="常规 2 2 2 3 3 2 7 2" xfId="15725"/>
    <cellStyle name="常规 2 2 2 3 3 2 7 2 2" xfId="34573"/>
    <cellStyle name="常规 2 2 2 3 3 2 7 3" xfId="25149"/>
    <cellStyle name="常规 2 2 2 3 3 2 8" xfId="9452"/>
    <cellStyle name="常规 2 2 2 3 3 2 8 2" xfId="28297"/>
    <cellStyle name="常规 2 2 2 3 3 2 9" xfId="18875"/>
    <cellStyle name="常规 2 2 2 3 3 3" xfId="427"/>
    <cellStyle name="常规 2 2 2 3 3 3 2" xfId="1211"/>
    <cellStyle name="常规 2 2 2 3 3 3 2 2" xfId="4347"/>
    <cellStyle name="常规 2 2 2 3 3 3 2 2 2" xfId="13767"/>
    <cellStyle name="常规 2 2 2 3 3 3 2 2 2 2" xfId="32615"/>
    <cellStyle name="常规 2 2 2 3 3 3 2 2 3" xfId="23191"/>
    <cellStyle name="常规 2 2 2 3 3 3 2 3" xfId="7483"/>
    <cellStyle name="常规 2 2 2 3 3 3 2 3 2" xfId="16903"/>
    <cellStyle name="常规 2 2 2 3 3 3 2 3 2 2" xfId="35751"/>
    <cellStyle name="常规 2 2 2 3 3 3 2 3 3" xfId="26327"/>
    <cellStyle name="常规 2 2 2 3 3 3 2 4" xfId="10631"/>
    <cellStyle name="常规 2 2 2 3 3 3 2 4 2" xfId="29479"/>
    <cellStyle name="常规 2 2 2 3 3 3 2 5" xfId="20055"/>
    <cellStyle name="常规 2 2 2 3 3 3 3" xfId="1995"/>
    <cellStyle name="常规 2 2 2 3 3 3 3 2" xfId="5131"/>
    <cellStyle name="常规 2 2 2 3 3 3 3 2 2" xfId="14551"/>
    <cellStyle name="常规 2 2 2 3 3 3 3 2 2 2" xfId="33399"/>
    <cellStyle name="常规 2 2 2 3 3 3 3 2 3" xfId="23975"/>
    <cellStyle name="常规 2 2 2 3 3 3 3 3" xfId="8267"/>
    <cellStyle name="常规 2 2 2 3 3 3 3 3 2" xfId="17687"/>
    <cellStyle name="常规 2 2 2 3 3 3 3 3 2 2" xfId="36535"/>
    <cellStyle name="常规 2 2 2 3 3 3 3 3 3" xfId="27111"/>
    <cellStyle name="常规 2 2 2 3 3 3 3 4" xfId="11415"/>
    <cellStyle name="常规 2 2 2 3 3 3 3 4 2" xfId="30263"/>
    <cellStyle name="常规 2 2 2 3 3 3 3 5" xfId="20839"/>
    <cellStyle name="常规 2 2 2 3 3 3 4" xfId="2779"/>
    <cellStyle name="常规 2 2 2 3 3 3 4 2" xfId="5915"/>
    <cellStyle name="常规 2 2 2 3 3 3 4 2 2" xfId="15335"/>
    <cellStyle name="常规 2 2 2 3 3 3 4 2 2 2" xfId="34183"/>
    <cellStyle name="常规 2 2 2 3 3 3 4 2 3" xfId="24759"/>
    <cellStyle name="常规 2 2 2 3 3 3 4 3" xfId="9051"/>
    <cellStyle name="常规 2 2 2 3 3 3 4 3 2" xfId="18471"/>
    <cellStyle name="常规 2 2 2 3 3 3 4 3 2 2" xfId="37319"/>
    <cellStyle name="常规 2 2 2 3 3 3 4 3 3" xfId="27895"/>
    <cellStyle name="常规 2 2 2 3 3 3 4 4" xfId="12199"/>
    <cellStyle name="常规 2 2 2 3 3 3 4 4 2" xfId="31047"/>
    <cellStyle name="常规 2 2 2 3 3 3 4 5" xfId="21623"/>
    <cellStyle name="常规 2 2 2 3 3 3 5" xfId="3563"/>
    <cellStyle name="常规 2 2 2 3 3 3 5 2" xfId="12983"/>
    <cellStyle name="常规 2 2 2 3 3 3 5 2 2" xfId="31831"/>
    <cellStyle name="常规 2 2 2 3 3 3 5 3" xfId="22407"/>
    <cellStyle name="常规 2 2 2 3 3 3 6" xfId="6699"/>
    <cellStyle name="常规 2 2 2 3 3 3 6 2" xfId="16119"/>
    <cellStyle name="常规 2 2 2 3 3 3 6 2 2" xfId="34967"/>
    <cellStyle name="常规 2 2 2 3 3 3 6 3" xfId="25543"/>
    <cellStyle name="常规 2 2 2 3 3 3 7" xfId="9847"/>
    <cellStyle name="常规 2 2 2 3 3 3 7 2" xfId="28695"/>
    <cellStyle name="常规 2 2 2 3 3 3 8" xfId="19271"/>
    <cellStyle name="常规 2 2 2 3 3 4" xfId="816"/>
    <cellStyle name="常规 2 2 2 3 3 4 2" xfId="3952"/>
    <cellStyle name="常规 2 2 2 3 3 4 2 2" xfId="13372"/>
    <cellStyle name="常规 2 2 2 3 3 4 2 2 2" xfId="32220"/>
    <cellStyle name="常规 2 2 2 3 3 4 2 3" xfId="22796"/>
    <cellStyle name="常规 2 2 2 3 3 4 3" xfId="7088"/>
    <cellStyle name="常规 2 2 2 3 3 4 3 2" xfId="16508"/>
    <cellStyle name="常规 2 2 2 3 3 4 3 2 2" xfId="35356"/>
    <cellStyle name="常规 2 2 2 3 3 4 3 3" xfId="25932"/>
    <cellStyle name="常规 2 2 2 3 3 4 4" xfId="10236"/>
    <cellStyle name="常规 2 2 2 3 3 4 4 2" xfId="29084"/>
    <cellStyle name="常规 2 2 2 3 3 4 5" xfId="19660"/>
    <cellStyle name="常规 2 2 2 3 3 5" xfId="1600"/>
    <cellStyle name="常规 2 2 2 3 3 5 2" xfId="4736"/>
    <cellStyle name="常规 2 2 2 3 3 5 2 2" xfId="14156"/>
    <cellStyle name="常规 2 2 2 3 3 5 2 2 2" xfId="33004"/>
    <cellStyle name="常规 2 2 2 3 3 5 2 3" xfId="23580"/>
    <cellStyle name="常规 2 2 2 3 3 5 3" xfId="7872"/>
    <cellStyle name="常规 2 2 2 3 3 5 3 2" xfId="17292"/>
    <cellStyle name="常规 2 2 2 3 3 5 3 2 2" xfId="36140"/>
    <cellStyle name="常规 2 2 2 3 3 5 3 3" xfId="26716"/>
    <cellStyle name="常规 2 2 2 3 3 5 4" xfId="11020"/>
    <cellStyle name="常规 2 2 2 3 3 5 4 2" xfId="29868"/>
    <cellStyle name="常规 2 2 2 3 3 5 5" xfId="20444"/>
    <cellStyle name="常规 2 2 2 3 3 6" xfId="2384"/>
    <cellStyle name="常规 2 2 2 3 3 6 2" xfId="5520"/>
    <cellStyle name="常规 2 2 2 3 3 6 2 2" xfId="14940"/>
    <cellStyle name="常规 2 2 2 3 3 6 2 2 2" xfId="33788"/>
    <cellStyle name="常规 2 2 2 3 3 6 2 3" xfId="24364"/>
    <cellStyle name="常规 2 2 2 3 3 6 3" xfId="8656"/>
    <cellStyle name="常规 2 2 2 3 3 6 3 2" xfId="18076"/>
    <cellStyle name="常规 2 2 2 3 3 6 3 2 2" xfId="36924"/>
    <cellStyle name="常规 2 2 2 3 3 6 3 3" xfId="27500"/>
    <cellStyle name="常规 2 2 2 3 3 6 4" xfId="11804"/>
    <cellStyle name="常规 2 2 2 3 3 6 4 2" xfId="30652"/>
    <cellStyle name="常规 2 2 2 3 3 6 5" xfId="21228"/>
    <cellStyle name="常规 2 2 2 3 3 7" xfId="3252"/>
    <cellStyle name="常规 2 2 2 3 3 7 2" xfId="12672"/>
    <cellStyle name="常规 2 2 2 3 3 7 2 2" xfId="31520"/>
    <cellStyle name="常规 2 2 2 3 3 7 3" xfId="22096"/>
    <cellStyle name="常规 2 2 2 3 3 8" xfId="6304"/>
    <cellStyle name="常规 2 2 2 3 3 8 2" xfId="15724"/>
    <cellStyle name="常规 2 2 2 3 3 8 2 2" xfId="34572"/>
    <cellStyle name="常规 2 2 2 3 3 8 3" xfId="25148"/>
    <cellStyle name="常规 2 2 2 3 3 9" xfId="9451"/>
    <cellStyle name="常规 2 2 2 3 3 9 2" xfId="28296"/>
    <cellStyle name="常规 2 2 2 3 4" xfId="30"/>
    <cellStyle name="常规 2 2 2 3 4 2" xfId="429"/>
    <cellStyle name="常规 2 2 2 3 4 2 2" xfId="1213"/>
    <cellStyle name="常规 2 2 2 3 4 2 2 2" xfId="4349"/>
    <cellStyle name="常规 2 2 2 3 4 2 2 2 2" xfId="13769"/>
    <cellStyle name="常规 2 2 2 3 4 2 2 2 2 2" xfId="32617"/>
    <cellStyle name="常规 2 2 2 3 4 2 2 2 3" xfId="23193"/>
    <cellStyle name="常规 2 2 2 3 4 2 2 3" xfId="7485"/>
    <cellStyle name="常规 2 2 2 3 4 2 2 3 2" xfId="16905"/>
    <cellStyle name="常规 2 2 2 3 4 2 2 3 2 2" xfId="35753"/>
    <cellStyle name="常规 2 2 2 3 4 2 2 3 3" xfId="26329"/>
    <cellStyle name="常规 2 2 2 3 4 2 2 4" xfId="10633"/>
    <cellStyle name="常规 2 2 2 3 4 2 2 4 2" xfId="29481"/>
    <cellStyle name="常规 2 2 2 3 4 2 2 5" xfId="20057"/>
    <cellStyle name="常规 2 2 2 3 4 2 3" xfId="1997"/>
    <cellStyle name="常规 2 2 2 3 4 2 3 2" xfId="5133"/>
    <cellStyle name="常规 2 2 2 3 4 2 3 2 2" xfId="14553"/>
    <cellStyle name="常规 2 2 2 3 4 2 3 2 2 2" xfId="33401"/>
    <cellStyle name="常规 2 2 2 3 4 2 3 2 3" xfId="23977"/>
    <cellStyle name="常规 2 2 2 3 4 2 3 3" xfId="8269"/>
    <cellStyle name="常规 2 2 2 3 4 2 3 3 2" xfId="17689"/>
    <cellStyle name="常规 2 2 2 3 4 2 3 3 2 2" xfId="36537"/>
    <cellStyle name="常规 2 2 2 3 4 2 3 3 3" xfId="27113"/>
    <cellStyle name="常规 2 2 2 3 4 2 3 4" xfId="11417"/>
    <cellStyle name="常规 2 2 2 3 4 2 3 4 2" xfId="30265"/>
    <cellStyle name="常规 2 2 2 3 4 2 3 5" xfId="20841"/>
    <cellStyle name="常规 2 2 2 3 4 2 4" xfId="2781"/>
    <cellStyle name="常规 2 2 2 3 4 2 4 2" xfId="5917"/>
    <cellStyle name="常规 2 2 2 3 4 2 4 2 2" xfId="15337"/>
    <cellStyle name="常规 2 2 2 3 4 2 4 2 2 2" xfId="34185"/>
    <cellStyle name="常规 2 2 2 3 4 2 4 2 3" xfId="24761"/>
    <cellStyle name="常规 2 2 2 3 4 2 4 3" xfId="9053"/>
    <cellStyle name="常规 2 2 2 3 4 2 4 3 2" xfId="18473"/>
    <cellStyle name="常规 2 2 2 3 4 2 4 3 2 2" xfId="37321"/>
    <cellStyle name="常规 2 2 2 3 4 2 4 3 3" xfId="27897"/>
    <cellStyle name="常规 2 2 2 3 4 2 4 4" xfId="12201"/>
    <cellStyle name="常规 2 2 2 3 4 2 4 4 2" xfId="31049"/>
    <cellStyle name="常规 2 2 2 3 4 2 4 5" xfId="21625"/>
    <cellStyle name="常规 2 2 2 3 4 2 5" xfId="3565"/>
    <cellStyle name="常规 2 2 2 3 4 2 5 2" xfId="12985"/>
    <cellStyle name="常规 2 2 2 3 4 2 5 2 2" xfId="31833"/>
    <cellStyle name="常规 2 2 2 3 4 2 5 3" xfId="22409"/>
    <cellStyle name="常规 2 2 2 3 4 2 6" xfId="6701"/>
    <cellStyle name="常规 2 2 2 3 4 2 6 2" xfId="16121"/>
    <cellStyle name="常规 2 2 2 3 4 2 6 2 2" xfId="34969"/>
    <cellStyle name="常规 2 2 2 3 4 2 6 3" xfId="25545"/>
    <cellStyle name="常规 2 2 2 3 4 2 7" xfId="9849"/>
    <cellStyle name="常规 2 2 2 3 4 2 7 2" xfId="28697"/>
    <cellStyle name="常规 2 2 2 3 4 2 8" xfId="19273"/>
    <cellStyle name="常规 2 2 2 3 4 3" xfId="818"/>
    <cellStyle name="常规 2 2 2 3 4 3 2" xfId="3954"/>
    <cellStyle name="常规 2 2 2 3 4 3 2 2" xfId="13374"/>
    <cellStyle name="常规 2 2 2 3 4 3 2 2 2" xfId="32222"/>
    <cellStyle name="常规 2 2 2 3 4 3 2 3" xfId="22798"/>
    <cellStyle name="常规 2 2 2 3 4 3 3" xfId="7090"/>
    <cellStyle name="常规 2 2 2 3 4 3 3 2" xfId="16510"/>
    <cellStyle name="常规 2 2 2 3 4 3 3 2 2" xfId="35358"/>
    <cellStyle name="常规 2 2 2 3 4 3 3 3" xfId="25934"/>
    <cellStyle name="常规 2 2 2 3 4 3 4" xfId="10238"/>
    <cellStyle name="常规 2 2 2 3 4 3 4 2" xfId="29086"/>
    <cellStyle name="常规 2 2 2 3 4 3 5" xfId="19662"/>
    <cellStyle name="常规 2 2 2 3 4 4" xfId="1602"/>
    <cellStyle name="常规 2 2 2 3 4 4 2" xfId="4738"/>
    <cellStyle name="常规 2 2 2 3 4 4 2 2" xfId="14158"/>
    <cellStyle name="常规 2 2 2 3 4 4 2 2 2" xfId="33006"/>
    <cellStyle name="常规 2 2 2 3 4 4 2 3" xfId="23582"/>
    <cellStyle name="常规 2 2 2 3 4 4 3" xfId="7874"/>
    <cellStyle name="常规 2 2 2 3 4 4 3 2" xfId="17294"/>
    <cellStyle name="常规 2 2 2 3 4 4 3 2 2" xfId="36142"/>
    <cellStyle name="常规 2 2 2 3 4 4 3 3" xfId="26718"/>
    <cellStyle name="常规 2 2 2 3 4 4 4" xfId="11022"/>
    <cellStyle name="常规 2 2 2 3 4 4 4 2" xfId="29870"/>
    <cellStyle name="常规 2 2 2 3 4 4 5" xfId="20446"/>
    <cellStyle name="常规 2 2 2 3 4 5" xfId="2386"/>
    <cellStyle name="常规 2 2 2 3 4 5 2" xfId="5522"/>
    <cellStyle name="常规 2 2 2 3 4 5 2 2" xfId="14942"/>
    <cellStyle name="常规 2 2 2 3 4 5 2 2 2" xfId="33790"/>
    <cellStyle name="常规 2 2 2 3 4 5 2 3" xfId="24366"/>
    <cellStyle name="常规 2 2 2 3 4 5 3" xfId="8658"/>
    <cellStyle name="常规 2 2 2 3 4 5 3 2" xfId="18078"/>
    <cellStyle name="常规 2 2 2 3 4 5 3 2 2" xfId="36926"/>
    <cellStyle name="常规 2 2 2 3 4 5 3 3" xfId="27502"/>
    <cellStyle name="常规 2 2 2 3 4 5 4" xfId="11806"/>
    <cellStyle name="常规 2 2 2 3 4 5 4 2" xfId="30654"/>
    <cellStyle name="常规 2 2 2 3 4 5 5" xfId="21230"/>
    <cellStyle name="常规 2 2 2 3 4 6" xfId="3291"/>
    <cellStyle name="常规 2 2 2 3 4 6 2" xfId="12711"/>
    <cellStyle name="常规 2 2 2 3 4 6 2 2" xfId="31559"/>
    <cellStyle name="常规 2 2 2 3 4 6 3" xfId="22135"/>
    <cellStyle name="常规 2 2 2 3 4 7" xfId="6306"/>
    <cellStyle name="常规 2 2 2 3 4 7 2" xfId="15726"/>
    <cellStyle name="常规 2 2 2 3 4 7 2 2" xfId="34574"/>
    <cellStyle name="常规 2 2 2 3 4 7 3" xfId="25150"/>
    <cellStyle name="常规 2 2 2 3 4 8" xfId="9453"/>
    <cellStyle name="常规 2 2 2 3 4 8 2" xfId="28298"/>
    <cellStyle name="常规 2 2 2 3 4 9" xfId="18876"/>
    <cellStyle name="常规 2 2 2 3 5" xfId="422"/>
    <cellStyle name="常规 2 2 2 3 5 2" xfId="1206"/>
    <cellStyle name="常规 2 2 2 3 5 2 2" xfId="4342"/>
    <cellStyle name="常规 2 2 2 3 5 2 2 2" xfId="13762"/>
    <cellStyle name="常规 2 2 2 3 5 2 2 2 2" xfId="32610"/>
    <cellStyle name="常规 2 2 2 3 5 2 2 3" xfId="23186"/>
    <cellStyle name="常规 2 2 2 3 5 2 3" xfId="7478"/>
    <cellStyle name="常规 2 2 2 3 5 2 3 2" xfId="16898"/>
    <cellStyle name="常规 2 2 2 3 5 2 3 2 2" xfId="35746"/>
    <cellStyle name="常规 2 2 2 3 5 2 3 3" xfId="26322"/>
    <cellStyle name="常规 2 2 2 3 5 2 4" xfId="10626"/>
    <cellStyle name="常规 2 2 2 3 5 2 4 2" xfId="29474"/>
    <cellStyle name="常规 2 2 2 3 5 2 5" xfId="20050"/>
    <cellStyle name="常规 2 2 2 3 5 3" xfId="1990"/>
    <cellStyle name="常规 2 2 2 3 5 3 2" xfId="5126"/>
    <cellStyle name="常规 2 2 2 3 5 3 2 2" xfId="14546"/>
    <cellStyle name="常规 2 2 2 3 5 3 2 2 2" xfId="33394"/>
    <cellStyle name="常规 2 2 2 3 5 3 2 3" xfId="23970"/>
    <cellStyle name="常规 2 2 2 3 5 3 3" xfId="8262"/>
    <cellStyle name="常规 2 2 2 3 5 3 3 2" xfId="17682"/>
    <cellStyle name="常规 2 2 2 3 5 3 3 2 2" xfId="36530"/>
    <cellStyle name="常规 2 2 2 3 5 3 3 3" xfId="27106"/>
    <cellStyle name="常规 2 2 2 3 5 3 4" xfId="11410"/>
    <cellStyle name="常规 2 2 2 3 5 3 4 2" xfId="30258"/>
    <cellStyle name="常规 2 2 2 3 5 3 5" xfId="20834"/>
    <cellStyle name="常规 2 2 2 3 5 4" xfId="2774"/>
    <cellStyle name="常规 2 2 2 3 5 4 2" xfId="5910"/>
    <cellStyle name="常规 2 2 2 3 5 4 2 2" xfId="15330"/>
    <cellStyle name="常规 2 2 2 3 5 4 2 2 2" xfId="34178"/>
    <cellStyle name="常规 2 2 2 3 5 4 2 3" xfId="24754"/>
    <cellStyle name="常规 2 2 2 3 5 4 3" xfId="9046"/>
    <cellStyle name="常规 2 2 2 3 5 4 3 2" xfId="18466"/>
    <cellStyle name="常规 2 2 2 3 5 4 3 2 2" xfId="37314"/>
    <cellStyle name="常规 2 2 2 3 5 4 3 3" xfId="27890"/>
    <cellStyle name="常规 2 2 2 3 5 4 4" xfId="12194"/>
    <cellStyle name="常规 2 2 2 3 5 4 4 2" xfId="31042"/>
    <cellStyle name="常规 2 2 2 3 5 4 5" xfId="21618"/>
    <cellStyle name="常规 2 2 2 3 5 5" xfId="3558"/>
    <cellStyle name="常规 2 2 2 3 5 5 2" xfId="12978"/>
    <cellStyle name="常规 2 2 2 3 5 5 2 2" xfId="31826"/>
    <cellStyle name="常规 2 2 2 3 5 5 3" xfId="22402"/>
    <cellStyle name="常规 2 2 2 3 5 6" xfId="6694"/>
    <cellStyle name="常规 2 2 2 3 5 6 2" xfId="16114"/>
    <cellStyle name="常规 2 2 2 3 5 6 2 2" xfId="34962"/>
    <cellStyle name="常规 2 2 2 3 5 6 3" xfId="25538"/>
    <cellStyle name="常规 2 2 2 3 5 7" xfId="9842"/>
    <cellStyle name="常规 2 2 2 3 5 7 2" xfId="28690"/>
    <cellStyle name="常规 2 2 2 3 5 8" xfId="19266"/>
    <cellStyle name="常规 2 2 2 3 6" xfId="811"/>
    <cellStyle name="常规 2 2 2 3 6 2" xfId="3947"/>
    <cellStyle name="常规 2 2 2 3 6 2 2" xfId="13367"/>
    <cellStyle name="常规 2 2 2 3 6 2 2 2" xfId="32215"/>
    <cellStyle name="常规 2 2 2 3 6 2 3" xfId="22791"/>
    <cellStyle name="常规 2 2 2 3 6 3" xfId="7083"/>
    <cellStyle name="常规 2 2 2 3 6 3 2" xfId="16503"/>
    <cellStyle name="常规 2 2 2 3 6 3 2 2" xfId="35351"/>
    <cellStyle name="常规 2 2 2 3 6 3 3" xfId="25927"/>
    <cellStyle name="常规 2 2 2 3 6 4" xfId="10231"/>
    <cellStyle name="常规 2 2 2 3 6 4 2" xfId="29079"/>
    <cellStyle name="常规 2 2 2 3 6 5" xfId="19655"/>
    <cellStyle name="常规 2 2 2 3 7" xfId="1595"/>
    <cellStyle name="常规 2 2 2 3 7 2" xfId="4731"/>
    <cellStyle name="常规 2 2 2 3 7 2 2" xfId="14151"/>
    <cellStyle name="常规 2 2 2 3 7 2 2 2" xfId="32999"/>
    <cellStyle name="常规 2 2 2 3 7 2 3" xfId="23575"/>
    <cellStyle name="常规 2 2 2 3 7 3" xfId="7867"/>
    <cellStyle name="常规 2 2 2 3 7 3 2" xfId="17287"/>
    <cellStyle name="常规 2 2 2 3 7 3 2 2" xfId="36135"/>
    <cellStyle name="常规 2 2 2 3 7 3 3" xfId="26711"/>
    <cellStyle name="常规 2 2 2 3 7 4" xfId="11015"/>
    <cellStyle name="常规 2 2 2 3 7 4 2" xfId="29863"/>
    <cellStyle name="常规 2 2 2 3 7 5" xfId="20439"/>
    <cellStyle name="常规 2 2 2 3 8" xfId="2379"/>
    <cellStyle name="常规 2 2 2 3 8 2" xfId="5515"/>
    <cellStyle name="常规 2 2 2 3 8 2 2" xfId="14935"/>
    <cellStyle name="常规 2 2 2 3 8 2 2 2" xfId="33783"/>
    <cellStyle name="常规 2 2 2 3 8 2 3" xfId="24359"/>
    <cellStyle name="常规 2 2 2 3 8 3" xfId="8651"/>
    <cellStyle name="常规 2 2 2 3 8 3 2" xfId="18071"/>
    <cellStyle name="常规 2 2 2 3 8 3 2 2" xfId="36919"/>
    <cellStyle name="常规 2 2 2 3 8 3 3" xfId="27495"/>
    <cellStyle name="常规 2 2 2 3 8 4" xfId="11799"/>
    <cellStyle name="常规 2 2 2 3 8 4 2" xfId="30647"/>
    <cellStyle name="常规 2 2 2 3 8 5" xfId="21223"/>
    <cellStyle name="常规 2 2 2 3 9" xfId="3151"/>
    <cellStyle name="常规 2 2 2 3 9 2" xfId="12571"/>
    <cellStyle name="常规 2 2 2 3 9 2 2" xfId="31419"/>
    <cellStyle name="常规 2 2 2 3 9 3" xfId="21995"/>
    <cellStyle name="常规 2 2 2 4" xfId="31"/>
    <cellStyle name="常规 2 2 2 4 10" xfId="9454"/>
    <cellStyle name="常规 2 2 2 4 10 2" xfId="28299"/>
    <cellStyle name="常规 2 2 2 4 11" xfId="18877"/>
    <cellStyle name="常规 2 2 2 4 2" xfId="32"/>
    <cellStyle name="常规 2 2 2 4 2 10" xfId="18878"/>
    <cellStyle name="常规 2 2 2 4 2 2" xfId="33"/>
    <cellStyle name="常规 2 2 2 4 2 2 2" xfId="432"/>
    <cellStyle name="常规 2 2 2 4 2 2 2 2" xfId="1216"/>
    <cellStyle name="常规 2 2 2 4 2 2 2 2 2" xfId="4352"/>
    <cellStyle name="常规 2 2 2 4 2 2 2 2 2 2" xfId="13772"/>
    <cellStyle name="常规 2 2 2 4 2 2 2 2 2 2 2" xfId="32620"/>
    <cellStyle name="常规 2 2 2 4 2 2 2 2 2 3" xfId="23196"/>
    <cellStyle name="常规 2 2 2 4 2 2 2 2 3" xfId="7488"/>
    <cellStyle name="常规 2 2 2 4 2 2 2 2 3 2" xfId="16908"/>
    <cellStyle name="常规 2 2 2 4 2 2 2 2 3 2 2" xfId="35756"/>
    <cellStyle name="常规 2 2 2 4 2 2 2 2 3 3" xfId="26332"/>
    <cellStyle name="常规 2 2 2 4 2 2 2 2 4" xfId="10636"/>
    <cellStyle name="常规 2 2 2 4 2 2 2 2 4 2" xfId="29484"/>
    <cellStyle name="常规 2 2 2 4 2 2 2 2 5" xfId="20060"/>
    <cellStyle name="常规 2 2 2 4 2 2 2 3" xfId="2000"/>
    <cellStyle name="常规 2 2 2 4 2 2 2 3 2" xfId="5136"/>
    <cellStyle name="常规 2 2 2 4 2 2 2 3 2 2" xfId="14556"/>
    <cellStyle name="常规 2 2 2 4 2 2 2 3 2 2 2" xfId="33404"/>
    <cellStyle name="常规 2 2 2 4 2 2 2 3 2 3" xfId="23980"/>
    <cellStyle name="常规 2 2 2 4 2 2 2 3 3" xfId="8272"/>
    <cellStyle name="常规 2 2 2 4 2 2 2 3 3 2" xfId="17692"/>
    <cellStyle name="常规 2 2 2 4 2 2 2 3 3 2 2" xfId="36540"/>
    <cellStyle name="常规 2 2 2 4 2 2 2 3 3 3" xfId="27116"/>
    <cellStyle name="常规 2 2 2 4 2 2 2 3 4" xfId="11420"/>
    <cellStyle name="常规 2 2 2 4 2 2 2 3 4 2" xfId="30268"/>
    <cellStyle name="常规 2 2 2 4 2 2 2 3 5" xfId="20844"/>
    <cellStyle name="常规 2 2 2 4 2 2 2 4" xfId="2784"/>
    <cellStyle name="常规 2 2 2 4 2 2 2 4 2" xfId="5920"/>
    <cellStyle name="常规 2 2 2 4 2 2 2 4 2 2" xfId="15340"/>
    <cellStyle name="常规 2 2 2 4 2 2 2 4 2 2 2" xfId="34188"/>
    <cellStyle name="常规 2 2 2 4 2 2 2 4 2 3" xfId="24764"/>
    <cellStyle name="常规 2 2 2 4 2 2 2 4 3" xfId="9056"/>
    <cellStyle name="常规 2 2 2 4 2 2 2 4 3 2" xfId="18476"/>
    <cellStyle name="常规 2 2 2 4 2 2 2 4 3 2 2" xfId="37324"/>
    <cellStyle name="常规 2 2 2 4 2 2 2 4 3 3" xfId="27900"/>
    <cellStyle name="常规 2 2 2 4 2 2 2 4 4" xfId="12204"/>
    <cellStyle name="常规 2 2 2 4 2 2 2 4 4 2" xfId="31052"/>
    <cellStyle name="常规 2 2 2 4 2 2 2 4 5" xfId="21628"/>
    <cellStyle name="常规 2 2 2 4 2 2 2 5" xfId="3568"/>
    <cellStyle name="常规 2 2 2 4 2 2 2 5 2" xfId="12988"/>
    <cellStyle name="常规 2 2 2 4 2 2 2 5 2 2" xfId="31836"/>
    <cellStyle name="常规 2 2 2 4 2 2 2 5 3" xfId="22412"/>
    <cellStyle name="常规 2 2 2 4 2 2 2 6" xfId="6704"/>
    <cellStyle name="常规 2 2 2 4 2 2 2 6 2" xfId="16124"/>
    <cellStyle name="常规 2 2 2 4 2 2 2 6 2 2" xfId="34972"/>
    <cellStyle name="常规 2 2 2 4 2 2 2 6 3" xfId="25548"/>
    <cellStyle name="常规 2 2 2 4 2 2 2 7" xfId="9852"/>
    <cellStyle name="常规 2 2 2 4 2 2 2 7 2" xfId="28700"/>
    <cellStyle name="常规 2 2 2 4 2 2 2 8" xfId="19276"/>
    <cellStyle name="常规 2 2 2 4 2 2 3" xfId="821"/>
    <cellStyle name="常规 2 2 2 4 2 2 3 2" xfId="3957"/>
    <cellStyle name="常规 2 2 2 4 2 2 3 2 2" xfId="13377"/>
    <cellStyle name="常规 2 2 2 4 2 2 3 2 2 2" xfId="32225"/>
    <cellStyle name="常规 2 2 2 4 2 2 3 2 3" xfId="22801"/>
    <cellStyle name="常规 2 2 2 4 2 2 3 3" xfId="7093"/>
    <cellStyle name="常规 2 2 2 4 2 2 3 3 2" xfId="16513"/>
    <cellStyle name="常规 2 2 2 4 2 2 3 3 2 2" xfId="35361"/>
    <cellStyle name="常规 2 2 2 4 2 2 3 3 3" xfId="25937"/>
    <cellStyle name="常规 2 2 2 4 2 2 3 4" xfId="10241"/>
    <cellStyle name="常规 2 2 2 4 2 2 3 4 2" xfId="29089"/>
    <cellStyle name="常规 2 2 2 4 2 2 3 5" xfId="19665"/>
    <cellStyle name="常规 2 2 2 4 2 2 4" xfId="1605"/>
    <cellStyle name="常规 2 2 2 4 2 2 4 2" xfId="4741"/>
    <cellStyle name="常规 2 2 2 4 2 2 4 2 2" xfId="14161"/>
    <cellStyle name="常规 2 2 2 4 2 2 4 2 2 2" xfId="33009"/>
    <cellStyle name="常规 2 2 2 4 2 2 4 2 3" xfId="23585"/>
    <cellStyle name="常规 2 2 2 4 2 2 4 3" xfId="7877"/>
    <cellStyle name="常规 2 2 2 4 2 2 4 3 2" xfId="17297"/>
    <cellStyle name="常规 2 2 2 4 2 2 4 3 2 2" xfId="36145"/>
    <cellStyle name="常规 2 2 2 4 2 2 4 3 3" xfId="26721"/>
    <cellStyle name="常规 2 2 2 4 2 2 4 4" xfId="11025"/>
    <cellStyle name="常规 2 2 2 4 2 2 4 4 2" xfId="29873"/>
    <cellStyle name="常规 2 2 2 4 2 2 4 5" xfId="20449"/>
    <cellStyle name="常规 2 2 2 4 2 2 5" xfId="2389"/>
    <cellStyle name="常规 2 2 2 4 2 2 5 2" xfId="5525"/>
    <cellStyle name="常规 2 2 2 4 2 2 5 2 2" xfId="14945"/>
    <cellStyle name="常规 2 2 2 4 2 2 5 2 2 2" xfId="33793"/>
    <cellStyle name="常规 2 2 2 4 2 2 5 2 3" xfId="24369"/>
    <cellStyle name="常规 2 2 2 4 2 2 5 3" xfId="8661"/>
    <cellStyle name="常规 2 2 2 4 2 2 5 3 2" xfId="18081"/>
    <cellStyle name="常规 2 2 2 4 2 2 5 3 2 2" xfId="36929"/>
    <cellStyle name="常规 2 2 2 4 2 2 5 3 3" xfId="27505"/>
    <cellStyle name="常规 2 2 2 4 2 2 5 4" xfId="11809"/>
    <cellStyle name="常规 2 2 2 4 2 2 5 4 2" xfId="30657"/>
    <cellStyle name="常规 2 2 2 4 2 2 5 5" xfId="21233"/>
    <cellStyle name="常规 2 2 2 4 2 2 6" xfId="3260"/>
    <cellStyle name="常规 2 2 2 4 2 2 6 2" xfId="12680"/>
    <cellStyle name="常规 2 2 2 4 2 2 6 2 2" xfId="31528"/>
    <cellStyle name="常规 2 2 2 4 2 2 6 3" xfId="22104"/>
    <cellStyle name="常规 2 2 2 4 2 2 7" xfId="6309"/>
    <cellStyle name="常规 2 2 2 4 2 2 7 2" xfId="15729"/>
    <cellStyle name="常规 2 2 2 4 2 2 7 2 2" xfId="34577"/>
    <cellStyle name="常规 2 2 2 4 2 2 7 3" xfId="25153"/>
    <cellStyle name="常规 2 2 2 4 2 2 8" xfId="9456"/>
    <cellStyle name="常规 2 2 2 4 2 2 8 2" xfId="28301"/>
    <cellStyle name="常规 2 2 2 4 2 2 9" xfId="18879"/>
    <cellStyle name="常规 2 2 2 4 2 3" xfId="431"/>
    <cellStyle name="常规 2 2 2 4 2 3 2" xfId="1215"/>
    <cellStyle name="常规 2 2 2 4 2 3 2 2" xfId="4351"/>
    <cellStyle name="常规 2 2 2 4 2 3 2 2 2" xfId="13771"/>
    <cellStyle name="常规 2 2 2 4 2 3 2 2 2 2" xfId="32619"/>
    <cellStyle name="常规 2 2 2 4 2 3 2 2 3" xfId="23195"/>
    <cellStyle name="常规 2 2 2 4 2 3 2 3" xfId="7487"/>
    <cellStyle name="常规 2 2 2 4 2 3 2 3 2" xfId="16907"/>
    <cellStyle name="常规 2 2 2 4 2 3 2 3 2 2" xfId="35755"/>
    <cellStyle name="常规 2 2 2 4 2 3 2 3 3" xfId="26331"/>
    <cellStyle name="常规 2 2 2 4 2 3 2 4" xfId="10635"/>
    <cellStyle name="常规 2 2 2 4 2 3 2 4 2" xfId="29483"/>
    <cellStyle name="常规 2 2 2 4 2 3 2 5" xfId="20059"/>
    <cellStyle name="常规 2 2 2 4 2 3 3" xfId="1999"/>
    <cellStyle name="常规 2 2 2 4 2 3 3 2" xfId="5135"/>
    <cellStyle name="常规 2 2 2 4 2 3 3 2 2" xfId="14555"/>
    <cellStyle name="常规 2 2 2 4 2 3 3 2 2 2" xfId="33403"/>
    <cellStyle name="常规 2 2 2 4 2 3 3 2 3" xfId="23979"/>
    <cellStyle name="常规 2 2 2 4 2 3 3 3" xfId="8271"/>
    <cellStyle name="常规 2 2 2 4 2 3 3 3 2" xfId="17691"/>
    <cellStyle name="常规 2 2 2 4 2 3 3 3 2 2" xfId="36539"/>
    <cellStyle name="常规 2 2 2 4 2 3 3 3 3" xfId="27115"/>
    <cellStyle name="常规 2 2 2 4 2 3 3 4" xfId="11419"/>
    <cellStyle name="常规 2 2 2 4 2 3 3 4 2" xfId="30267"/>
    <cellStyle name="常规 2 2 2 4 2 3 3 5" xfId="20843"/>
    <cellStyle name="常规 2 2 2 4 2 3 4" xfId="2783"/>
    <cellStyle name="常规 2 2 2 4 2 3 4 2" xfId="5919"/>
    <cellStyle name="常规 2 2 2 4 2 3 4 2 2" xfId="15339"/>
    <cellStyle name="常规 2 2 2 4 2 3 4 2 2 2" xfId="34187"/>
    <cellStyle name="常规 2 2 2 4 2 3 4 2 3" xfId="24763"/>
    <cellStyle name="常规 2 2 2 4 2 3 4 3" xfId="9055"/>
    <cellStyle name="常规 2 2 2 4 2 3 4 3 2" xfId="18475"/>
    <cellStyle name="常规 2 2 2 4 2 3 4 3 2 2" xfId="37323"/>
    <cellStyle name="常规 2 2 2 4 2 3 4 3 3" xfId="27899"/>
    <cellStyle name="常规 2 2 2 4 2 3 4 4" xfId="12203"/>
    <cellStyle name="常规 2 2 2 4 2 3 4 4 2" xfId="31051"/>
    <cellStyle name="常规 2 2 2 4 2 3 4 5" xfId="21627"/>
    <cellStyle name="常规 2 2 2 4 2 3 5" xfId="3567"/>
    <cellStyle name="常规 2 2 2 4 2 3 5 2" xfId="12987"/>
    <cellStyle name="常规 2 2 2 4 2 3 5 2 2" xfId="31835"/>
    <cellStyle name="常规 2 2 2 4 2 3 5 3" xfId="22411"/>
    <cellStyle name="常规 2 2 2 4 2 3 6" xfId="6703"/>
    <cellStyle name="常规 2 2 2 4 2 3 6 2" xfId="16123"/>
    <cellStyle name="常规 2 2 2 4 2 3 6 2 2" xfId="34971"/>
    <cellStyle name="常规 2 2 2 4 2 3 6 3" xfId="25547"/>
    <cellStyle name="常规 2 2 2 4 2 3 7" xfId="9851"/>
    <cellStyle name="常规 2 2 2 4 2 3 7 2" xfId="28699"/>
    <cellStyle name="常规 2 2 2 4 2 3 8" xfId="19275"/>
    <cellStyle name="常规 2 2 2 4 2 4" xfId="820"/>
    <cellStyle name="常规 2 2 2 4 2 4 2" xfId="3956"/>
    <cellStyle name="常规 2 2 2 4 2 4 2 2" xfId="13376"/>
    <cellStyle name="常规 2 2 2 4 2 4 2 2 2" xfId="32224"/>
    <cellStyle name="常规 2 2 2 4 2 4 2 3" xfId="22800"/>
    <cellStyle name="常规 2 2 2 4 2 4 3" xfId="7092"/>
    <cellStyle name="常规 2 2 2 4 2 4 3 2" xfId="16512"/>
    <cellStyle name="常规 2 2 2 4 2 4 3 2 2" xfId="35360"/>
    <cellStyle name="常规 2 2 2 4 2 4 3 3" xfId="25936"/>
    <cellStyle name="常规 2 2 2 4 2 4 4" xfId="10240"/>
    <cellStyle name="常规 2 2 2 4 2 4 4 2" xfId="29088"/>
    <cellStyle name="常规 2 2 2 4 2 4 5" xfId="19664"/>
    <cellStyle name="常规 2 2 2 4 2 5" xfId="1604"/>
    <cellStyle name="常规 2 2 2 4 2 5 2" xfId="4740"/>
    <cellStyle name="常规 2 2 2 4 2 5 2 2" xfId="14160"/>
    <cellStyle name="常规 2 2 2 4 2 5 2 2 2" xfId="33008"/>
    <cellStyle name="常规 2 2 2 4 2 5 2 3" xfId="23584"/>
    <cellStyle name="常规 2 2 2 4 2 5 3" xfId="7876"/>
    <cellStyle name="常规 2 2 2 4 2 5 3 2" xfId="17296"/>
    <cellStyle name="常规 2 2 2 4 2 5 3 2 2" xfId="36144"/>
    <cellStyle name="常规 2 2 2 4 2 5 3 3" xfId="26720"/>
    <cellStyle name="常规 2 2 2 4 2 5 4" xfId="11024"/>
    <cellStyle name="常规 2 2 2 4 2 5 4 2" xfId="29872"/>
    <cellStyle name="常规 2 2 2 4 2 5 5" xfId="20448"/>
    <cellStyle name="常规 2 2 2 4 2 6" xfId="2388"/>
    <cellStyle name="常规 2 2 2 4 2 6 2" xfId="5524"/>
    <cellStyle name="常规 2 2 2 4 2 6 2 2" xfId="14944"/>
    <cellStyle name="常规 2 2 2 4 2 6 2 2 2" xfId="33792"/>
    <cellStyle name="常规 2 2 2 4 2 6 2 3" xfId="24368"/>
    <cellStyle name="常规 2 2 2 4 2 6 3" xfId="8660"/>
    <cellStyle name="常规 2 2 2 4 2 6 3 2" xfId="18080"/>
    <cellStyle name="常规 2 2 2 4 2 6 3 2 2" xfId="36928"/>
    <cellStyle name="常规 2 2 2 4 2 6 3 3" xfId="27504"/>
    <cellStyle name="常规 2 2 2 4 2 6 4" xfId="11808"/>
    <cellStyle name="常规 2 2 2 4 2 6 4 2" xfId="30656"/>
    <cellStyle name="常规 2 2 2 4 2 6 5" xfId="21232"/>
    <cellStyle name="常规 2 2 2 4 2 7" xfId="3265"/>
    <cellStyle name="常规 2 2 2 4 2 7 2" xfId="12685"/>
    <cellStyle name="常规 2 2 2 4 2 7 2 2" xfId="31533"/>
    <cellStyle name="常规 2 2 2 4 2 7 3" xfId="22109"/>
    <cellStyle name="常规 2 2 2 4 2 8" xfId="6308"/>
    <cellStyle name="常规 2 2 2 4 2 8 2" xfId="15728"/>
    <cellStyle name="常规 2 2 2 4 2 8 2 2" xfId="34576"/>
    <cellStyle name="常规 2 2 2 4 2 8 3" xfId="25152"/>
    <cellStyle name="常规 2 2 2 4 2 9" xfId="9455"/>
    <cellStyle name="常规 2 2 2 4 2 9 2" xfId="28300"/>
    <cellStyle name="常规 2 2 2 4 3" xfId="34"/>
    <cellStyle name="常规 2 2 2 4 3 2" xfId="433"/>
    <cellStyle name="常规 2 2 2 4 3 2 2" xfId="1217"/>
    <cellStyle name="常规 2 2 2 4 3 2 2 2" xfId="4353"/>
    <cellStyle name="常规 2 2 2 4 3 2 2 2 2" xfId="13773"/>
    <cellStyle name="常规 2 2 2 4 3 2 2 2 2 2" xfId="32621"/>
    <cellStyle name="常规 2 2 2 4 3 2 2 2 3" xfId="23197"/>
    <cellStyle name="常规 2 2 2 4 3 2 2 3" xfId="7489"/>
    <cellStyle name="常规 2 2 2 4 3 2 2 3 2" xfId="16909"/>
    <cellStyle name="常规 2 2 2 4 3 2 2 3 2 2" xfId="35757"/>
    <cellStyle name="常规 2 2 2 4 3 2 2 3 3" xfId="26333"/>
    <cellStyle name="常规 2 2 2 4 3 2 2 4" xfId="10637"/>
    <cellStyle name="常规 2 2 2 4 3 2 2 4 2" xfId="29485"/>
    <cellStyle name="常规 2 2 2 4 3 2 2 5" xfId="20061"/>
    <cellStyle name="常规 2 2 2 4 3 2 3" xfId="2001"/>
    <cellStyle name="常规 2 2 2 4 3 2 3 2" xfId="5137"/>
    <cellStyle name="常规 2 2 2 4 3 2 3 2 2" xfId="14557"/>
    <cellStyle name="常规 2 2 2 4 3 2 3 2 2 2" xfId="33405"/>
    <cellStyle name="常规 2 2 2 4 3 2 3 2 3" xfId="23981"/>
    <cellStyle name="常规 2 2 2 4 3 2 3 3" xfId="8273"/>
    <cellStyle name="常规 2 2 2 4 3 2 3 3 2" xfId="17693"/>
    <cellStyle name="常规 2 2 2 4 3 2 3 3 2 2" xfId="36541"/>
    <cellStyle name="常规 2 2 2 4 3 2 3 3 3" xfId="27117"/>
    <cellStyle name="常规 2 2 2 4 3 2 3 4" xfId="11421"/>
    <cellStyle name="常规 2 2 2 4 3 2 3 4 2" xfId="30269"/>
    <cellStyle name="常规 2 2 2 4 3 2 3 5" xfId="20845"/>
    <cellStyle name="常规 2 2 2 4 3 2 4" xfId="2785"/>
    <cellStyle name="常规 2 2 2 4 3 2 4 2" xfId="5921"/>
    <cellStyle name="常规 2 2 2 4 3 2 4 2 2" xfId="15341"/>
    <cellStyle name="常规 2 2 2 4 3 2 4 2 2 2" xfId="34189"/>
    <cellStyle name="常规 2 2 2 4 3 2 4 2 3" xfId="24765"/>
    <cellStyle name="常规 2 2 2 4 3 2 4 3" xfId="9057"/>
    <cellStyle name="常规 2 2 2 4 3 2 4 3 2" xfId="18477"/>
    <cellStyle name="常规 2 2 2 4 3 2 4 3 2 2" xfId="37325"/>
    <cellStyle name="常规 2 2 2 4 3 2 4 3 3" xfId="27901"/>
    <cellStyle name="常规 2 2 2 4 3 2 4 4" xfId="12205"/>
    <cellStyle name="常规 2 2 2 4 3 2 4 4 2" xfId="31053"/>
    <cellStyle name="常规 2 2 2 4 3 2 4 5" xfId="21629"/>
    <cellStyle name="常规 2 2 2 4 3 2 5" xfId="3569"/>
    <cellStyle name="常规 2 2 2 4 3 2 5 2" xfId="12989"/>
    <cellStyle name="常规 2 2 2 4 3 2 5 2 2" xfId="31837"/>
    <cellStyle name="常规 2 2 2 4 3 2 5 3" xfId="22413"/>
    <cellStyle name="常规 2 2 2 4 3 2 6" xfId="6705"/>
    <cellStyle name="常规 2 2 2 4 3 2 6 2" xfId="16125"/>
    <cellStyle name="常规 2 2 2 4 3 2 6 2 2" xfId="34973"/>
    <cellStyle name="常规 2 2 2 4 3 2 6 3" xfId="25549"/>
    <cellStyle name="常规 2 2 2 4 3 2 7" xfId="9853"/>
    <cellStyle name="常规 2 2 2 4 3 2 7 2" xfId="28701"/>
    <cellStyle name="常规 2 2 2 4 3 2 8" xfId="19277"/>
    <cellStyle name="常规 2 2 2 4 3 3" xfId="822"/>
    <cellStyle name="常规 2 2 2 4 3 3 2" xfId="3958"/>
    <cellStyle name="常规 2 2 2 4 3 3 2 2" xfId="13378"/>
    <cellStyle name="常规 2 2 2 4 3 3 2 2 2" xfId="32226"/>
    <cellStyle name="常规 2 2 2 4 3 3 2 3" xfId="22802"/>
    <cellStyle name="常规 2 2 2 4 3 3 3" xfId="7094"/>
    <cellStyle name="常规 2 2 2 4 3 3 3 2" xfId="16514"/>
    <cellStyle name="常规 2 2 2 4 3 3 3 2 2" xfId="35362"/>
    <cellStyle name="常规 2 2 2 4 3 3 3 3" xfId="25938"/>
    <cellStyle name="常规 2 2 2 4 3 3 4" xfId="10242"/>
    <cellStyle name="常规 2 2 2 4 3 3 4 2" xfId="29090"/>
    <cellStyle name="常规 2 2 2 4 3 3 5" xfId="19666"/>
    <cellStyle name="常规 2 2 2 4 3 4" xfId="1606"/>
    <cellStyle name="常规 2 2 2 4 3 4 2" xfId="4742"/>
    <cellStyle name="常规 2 2 2 4 3 4 2 2" xfId="14162"/>
    <cellStyle name="常规 2 2 2 4 3 4 2 2 2" xfId="33010"/>
    <cellStyle name="常规 2 2 2 4 3 4 2 3" xfId="23586"/>
    <cellStyle name="常规 2 2 2 4 3 4 3" xfId="7878"/>
    <cellStyle name="常规 2 2 2 4 3 4 3 2" xfId="17298"/>
    <cellStyle name="常规 2 2 2 4 3 4 3 2 2" xfId="36146"/>
    <cellStyle name="常规 2 2 2 4 3 4 3 3" xfId="26722"/>
    <cellStyle name="常规 2 2 2 4 3 4 4" xfId="11026"/>
    <cellStyle name="常规 2 2 2 4 3 4 4 2" xfId="29874"/>
    <cellStyle name="常规 2 2 2 4 3 4 5" xfId="20450"/>
    <cellStyle name="常规 2 2 2 4 3 5" xfId="2390"/>
    <cellStyle name="常规 2 2 2 4 3 5 2" xfId="5526"/>
    <cellStyle name="常规 2 2 2 4 3 5 2 2" xfId="14946"/>
    <cellStyle name="常规 2 2 2 4 3 5 2 2 2" xfId="33794"/>
    <cellStyle name="常规 2 2 2 4 3 5 2 3" xfId="24370"/>
    <cellStyle name="常规 2 2 2 4 3 5 3" xfId="8662"/>
    <cellStyle name="常规 2 2 2 4 3 5 3 2" xfId="18082"/>
    <cellStyle name="常规 2 2 2 4 3 5 3 2 2" xfId="36930"/>
    <cellStyle name="常规 2 2 2 4 3 5 3 3" xfId="27506"/>
    <cellStyle name="常规 2 2 2 4 3 5 4" xfId="11810"/>
    <cellStyle name="常规 2 2 2 4 3 5 4 2" xfId="30658"/>
    <cellStyle name="常规 2 2 2 4 3 5 5" xfId="21234"/>
    <cellStyle name="常规 2 2 2 4 3 6" xfId="3289"/>
    <cellStyle name="常规 2 2 2 4 3 6 2" xfId="12709"/>
    <cellStyle name="常规 2 2 2 4 3 6 2 2" xfId="31557"/>
    <cellStyle name="常规 2 2 2 4 3 6 3" xfId="22133"/>
    <cellStyle name="常规 2 2 2 4 3 7" xfId="6310"/>
    <cellStyle name="常规 2 2 2 4 3 7 2" xfId="15730"/>
    <cellStyle name="常规 2 2 2 4 3 7 2 2" xfId="34578"/>
    <cellStyle name="常规 2 2 2 4 3 7 3" xfId="25154"/>
    <cellStyle name="常规 2 2 2 4 3 8" xfId="9457"/>
    <cellStyle name="常规 2 2 2 4 3 8 2" xfId="28302"/>
    <cellStyle name="常规 2 2 2 4 3 9" xfId="18880"/>
    <cellStyle name="常规 2 2 2 4 4" xfId="430"/>
    <cellStyle name="常规 2 2 2 4 4 2" xfId="1214"/>
    <cellStyle name="常规 2 2 2 4 4 2 2" xfId="4350"/>
    <cellStyle name="常规 2 2 2 4 4 2 2 2" xfId="13770"/>
    <cellStyle name="常规 2 2 2 4 4 2 2 2 2" xfId="32618"/>
    <cellStyle name="常规 2 2 2 4 4 2 2 3" xfId="23194"/>
    <cellStyle name="常规 2 2 2 4 4 2 3" xfId="7486"/>
    <cellStyle name="常规 2 2 2 4 4 2 3 2" xfId="16906"/>
    <cellStyle name="常规 2 2 2 4 4 2 3 2 2" xfId="35754"/>
    <cellStyle name="常规 2 2 2 4 4 2 3 3" xfId="26330"/>
    <cellStyle name="常规 2 2 2 4 4 2 4" xfId="10634"/>
    <cellStyle name="常规 2 2 2 4 4 2 4 2" xfId="29482"/>
    <cellStyle name="常规 2 2 2 4 4 2 5" xfId="20058"/>
    <cellStyle name="常规 2 2 2 4 4 3" xfId="1998"/>
    <cellStyle name="常规 2 2 2 4 4 3 2" xfId="5134"/>
    <cellStyle name="常规 2 2 2 4 4 3 2 2" xfId="14554"/>
    <cellStyle name="常规 2 2 2 4 4 3 2 2 2" xfId="33402"/>
    <cellStyle name="常规 2 2 2 4 4 3 2 3" xfId="23978"/>
    <cellStyle name="常规 2 2 2 4 4 3 3" xfId="8270"/>
    <cellStyle name="常规 2 2 2 4 4 3 3 2" xfId="17690"/>
    <cellStyle name="常规 2 2 2 4 4 3 3 2 2" xfId="36538"/>
    <cellStyle name="常规 2 2 2 4 4 3 3 3" xfId="27114"/>
    <cellStyle name="常规 2 2 2 4 4 3 4" xfId="11418"/>
    <cellStyle name="常规 2 2 2 4 4 3 4 2" xfId="30266"/>
    <cellStyle name="常规 2 2 2 4 4 3 5" xfId="20842"/>
    <cellStyle name="常规 2 2 2 4 4 4" xfId="2782"/>
    <cellStyle name="常规 2 2 2 4 4 4 2" xfId="5918"/>
    <cellStyle name="常规 2 2 2 4 4 4 2 2" xfId="15338"/>
    <cellStyle name="常规 2 2 2 4 4 4 2 2 2" xfId="34186"/>
    <cellStyle name="常规 2 2 2 4 4 4 2 3" xfId="24762"/>
    <cellStyle name="常规 2 2 2 4 4 4 3" xfId="9054"/>
    <cellStyle name="常规 2 2 2 4 4 4 3 2" xfId="18474"/>
    <cellStyle name="常规 2 2 2 4 4 4 3 2 2" xfId="37322"/>
    <cellStyle name="常规 2 2 2 4 4 4 3 3" xfId="27898"/>
    <cellStyle name="常规 2 2 2 4 4 4 4" xfId="12202"/>
    <cellStyle name="常规 2 2 2 4 4 4 4 2" xfId="31050"/>
    <cellStyle name="常规 2 2 2 4 4 4 5" xfId="21626"/>
    <cellStyle name="常规 2 2 2 4 4 5" xfId="3566"/>
    <cellStyle name="常规 2 2 2 4 4 5 2" xfId="12986"/>
    <cellStyle name="常规 2 2 2 4 4 5 2 2" xfId="31834"/>
    <cellStyle name="常规 2 2 2 4 4 5 3" xfId="22410"/>
    <cellStyle name="常规 2 2 2 4 4 6" xfId="6702"/>
    <cellStyle name="常规 2 2 2 4 4 6 2" xfId="16122"/>
    <cellStyle name="常规 2 2 2 4 4 6 2 2" xfId="34970"/>
    <cellStyle name="常规 2 2 2 4 4 6 3" xfId="25546"/>
    <cellStyle name="常规 2 2 2 4 4 7" xfId="9850"/>
    <cellStyle name="常规 2 2 2 4 4 7 2" xfId="28698"/>
    <cellStyle name="常规 2 2 2 4 4 8" xfId="19274"/>
    <cellStyle name="常规 2 2 2 4 5" xfId="819"/>
    <cellStyle name="常规 2 2 2 4 5 2" xfId="3955"/>
    <cellStyle name="常规 2 2 2 4 5 2 2" xfId="13375"/>
    <cellStyle name="常规 2 2 2 4 5 2 2 2" xfId="32223"/>
    <cellStyle name="常规 2 2 2 4 5 2 3" xfId="22799"/>
    <cellStyle name="常规 2 2 2 4 5 3" xfId="7091"/>
    <cellStyle name="常规 2 2 2 4 5 3 2" xfId="16511"/>
    <cellStyle name="常规 2 2 2 4 5 3 2 2" xfId="35359"/>
    <cellStyle name="常规 2 2 2 4 5 3 3" xfId="25935"/>
    <cellStyle name="常规 2 2 2 4 5 4" xfId="10239"/>
    <cellStyle name="常规 2 2 2 4 5 4 2" xfId="29087"/>
    <cellStyle name="常规 2 2 2 4 5 5" xfId="19663"/>
    <cellStyle name="常规 2 2 2 4 6" xfId="1603"/>
    <cellStyle name="常规 2 2 2 4 6 2" xfId="4739"/>
    <cellStyle name="常规 2 2 2 4 6 2 2" xfId="14159"/>
    <cellStyle name="常规 2 2 2 4 6 2 2 2" xfId="33007"/>
    <cellStyle name="常规 2 2 2 4 6 2 3" xfId="23583"/>
    <cellStyle name="常规 2 2 2 4 6 3" xfId="7875"/>
    <cellStyle name="常规 2 2 2 4 6 3 2" xfId="17295"/>
    <cellStyle name="常规 2 2 2 4 6 3 2 2" xfId="36143"/>
    <cellStyle name="常规 2 2 2 4 6 3 3" xfId="26719"/>
    <cellStyle name="常规 2 2 2 4 6 4" xfId="11023"/>
    <cellStyle name="常规 2 2 2 4 6 4 2" xfId="29871"/>
    <cellStyle name="常规 2 2 2 4 6 5" xfId="20447"/>
    <cellStyle name="常规 2 2 2 4 7" xfId="2387"/>
    <cellStyle name="常规 2 2 2 4 7 2" xfId="5523"/>
    <cellStyle name="常规 2 2 2 4 7 2 2" xfId="14943"/>
    <cellStyle name="常规 2 2 2 4 7 2 2 2" xfId="33791"/>
    <cellStyle name="常规 2 2 2 4 7 2 3" xfId="24367"/>
    <cellStyle name="常规 2 2 2 4 7 3" xfId="8659"/>
    <cellStyle name="常规 2 2 2 4 7 3 2" xfId="18079"/>
    <cellStyle name="常规 2 2 2 4 7 3 2 2" xfId="36927"/>
    <cellStyle name="常规 2 2 2 4 7 3 3" xfId="27503"/>
    <cellStyle name="常规 2 2 2 4 7 4" xfId="11807"/>
    <cellStyle name="常规 2 2 2 4 7 4 2" xfId="30655"/>
    <cellStyle name="常规 2 2 2 4 7 5" xfId="21231"/>
    <cellStyle name="常规 2 2 2 4 8" xfId="3194"/>
    <cellStyle name="常规 2 2 2 4 8 2" xfId="12614"/>
    <cellStyle name="常规 2 2 2 4 8 2 2" xfId="31462"/>
    <cellStyle name="常规 2 2 2 4 8 3" xfId="22038"/>
    <cellStyle name="常规 2 2 2 4 9" xfId="6307"/>
    <cellStyle name="常规 2 2 2 4 9 2" xfId="15727"/>
    <cellStyle name="常规 2 2 2 4 9 2 2" xfId="34575"/>
    <cellStyle name="常规 2 2 2 4 9 3" xfId="25151"/>
    <cellStyle name="常规 2 2 2 5" xfId="35"/>
    <cellStyle name="常规 2 2 2 5 10" xfId="18881"/>
    <cellStyle name="常规 2 2 2 5 2" xfId="36"/>
    <cellStyle name="常规 2 2 2 5 2 2" xfId="435"/>
    <cellStyle name="常规 2 2 2 5 2 2 2" xfId="1219"/>
    <cellStyle name="常规 2 2 2 5 2 2 2 2" xfId="4355"/>
    <cellStyle name="常规 2 2 2 5 2 2 2 2 2" xfId="13775"/>
    <cellStyle name="常规 2 2 2 5 2 2 2 2 2 2" xfId="32623"/>
    <cellStyle name="常规 2 2 2 5 2 2 2 2 3" xfId="23199"/>
    <cellStyle name="常规 2 2 2 5 2 2 2 3" xfId="7491"/>
    <cellStyle name="常规 2 2 2 5 2 2 2 3 2" xfId="16911"/>
    <cellStyle name="常规 2 2 2 5 2 2 2 3 2 2" xfId="35759"/>
    <cellStyle name="常规 2 2 2 5 2 2 2 3 3" xfId="26335"/>
    <cellStyle name="常规 2 2 2 5 2 2 2 4" xfId="10639"/>
    <cellStyle name="常规 2 2 2 5 2 2 2 4 2" xfId="29487"/>
    <cellStyle name="常规 2 2 2 5 2 2 2 5" xfId="20063"/>
    <cellStyle name="常规 2 2 2 5 2 2 3" xfId="2003"/>
    <cellStyle name="常规 2 2 2 5 2 2 3 2" xfId="5139"/>
    <cellStyle name="常规 2 2 2 5 2 2 3 2 2" xfId="14559"/>
    <cellStyle name="常规 2 2 2 5 2 2 3 2 2 2" xfId="33407"/>
    <cellStyle name="常规 2 2 2 5 2 2 3 2 3" xfId="23983"/>
    <cellStyle name="常规 2 2 2 5 2 2 3 3" xfId="8275"/>
    <cellStyle name="常规 2 2 2 5 2 2 3 3 2" xfId="17695"/>
    <cellStyle name="常规 2 2 2 5 2 2 3 3 2 2" xfId="36543"/>
    <cellStyle name="常规 2 2 2 5 2 2 3 3 3" xfId="27119"/>
    <cellStyle name="常规 2 2 2 5 2 2 3 4" xfId="11423"/>
    <cellStyle name="常规 2 2 2 5 2 2 3 4 2" xfId="30271"/>
    <cellStyle name="常规 2 2 2 5 2 2 3 5" xfId="20847"/>
    <cellStyle name="常规 2 2 2 5 2 2 4" xfId="2787"/>
    <cellStyle name="常规 2 2 2 5 2 2 4 2" xfId="5923"/>
    <cellStyle name="常规 2 2 2 5 2 2 4 2 2" xfId="15343"/>
    <cellStyle name="常规 2 2 2 5 2 2 4 2 2 2" xfId="34191"/>
    <cellStyle name="常规 2 2 2 5 2 2 4 2 3" xfId="24767"/>
    <cellStyle name="常规 2 2 2 5 2 2 4 3" xfId="9059"/>
    <cellStyle name="常规 2 2 2 5 2 2 4 3 2" xfId="18479"/>
    <cellStyle name="常规 2 2 2 5 2 2 4 3 2 2" xfId="37327"/>
    <cellStyle name="常规 2 2 2 5 2 2 4 3 3" xfId="27903"/>
    <cellStyle name="常规 2 2 2 5 2 2 4 4" xfId="12207"/>
    <cellStyle name="常规 2 2 2 5 2 2 4 4 2" xfId="31055"/>
    <cellStyle name="常规 2 2 2 5 2 2 4 5" xfId="21631"/>
    <cellStyle name="常规 2 2 2 5 2 2 5" xfId="3571"/>
    <cellStyle name="常规 2 2 2 5 2 2 5 2" xfId="12991"/>
    <cellStyle name="常规 2 2 2 5 2 2 5 2 2" xfId="31839"/>
    <cellStyle name="常规 2 2 2 5 2 2 5 3" xfId="22415"/>
    <cellStyle name="常规 2 2 2 5 2 2 6" xfId="6707"/>
    <cellStyle name="常规 2 2 2 5 2 2 6 2" xfId="16127"/>
    <cellStyle name="常规 2 2 2 5 2 2 6 2 2" xfId="34975"/>
    <cellStyle name="常规 2 2 2 5 2 2 6 3" xfId="25551"/>
    <cellStyle name="常规 2 2 2 5 2 2 7" xfId="9855"/>
    <cellStyle name="常规 2 2 2 5 2 2 7 2" xfId="28703"/>
    <cellStyle name="常规 2 2 2 5 2 2 8" xfId="19279"/>
    <cellStyle name="常规 2 2 2 5 2 3" xfId="824"/>
    <cellStyle name="常规 2 2 2 5 2 3 2" xfId="3960"/>
    <cellStyle name="常规 2 2 2 5 2 3 2 2" xfId="13380"/>
    <cellStyle name="常规 2 2 2 5 2 3 2 2 2" xfId="32228"/>
    <cellStyle name="常规 2 2 2 5 2 3 2 3" xfId="22804"/>
    <cellStyle name="常规 2 2 2 5 2 3 3" xfId="7096"/>
    <cellStyle name="常规 2 2 2 5 2 3 3 2" xfId="16516"/>
    <cellStyle name="常规 2 2 2 5 2 3 3 2 2" xfId="35364"/>
    <cellStyle name="常规 2 2 2 5 2 3 3 3" xfId="25940"/>
    <cellStyle name="常规 2 2 2 5 2 3 4" xfId="10244"/>
    <cellStyle name="常规 2 2 2 5 2 3 4 2" xfId="29092"/>
    <cellStyle name="常规 2 2 2 5 2 3 5" xfId="19668"/>
    <cellStyle name="常规 2 2 2 5 2 4" xfId="1608"/>
    <cellStyle name="常规 2 2 2 5 2 4 2" xfId="4744"/>
    <cellStyle name="常规 2 2 2 5 2 4 2 2" xfId="14164"/>
    <cellStyle name="常规 2 2 2 5 2 4 2 2 2" xfId="33012"/>
    <cellStyle name="常规 2 2 2 5 2 4 2 3" xfId="23588"/>
    <cellStyle name="常规 2 2 2 5 2 4 3" xfId="7880"/>
    <cellStyle name="常规 2 2 2 5 2 4 3 2" xfId="17300"/>
    <cellStyle name="常规 2 2 2 5 2 4 3 2 2" xfId="36148"/>
    <cellStyle name="常规 2 2 2 5 2 4 3 3" xfId="26724"/>
    <cellStyle name="常规 2 2 2 5 2 4 4" xfId="11028"/>
    <cellStyle name="常规 2 2 2 5 2 4 4 2" xfId="29876"/>
    <cellStyle name="常规 2 2 2 5 2 4 5" xfId="20452"/>
    <cellStyle name="常规 2 2 2 5 2 5" xfId="2392"/>
    <cellStyle name="常规 2 2 2 5 2 5 2" xfId="5528"/>
    <cellStyle name="常规 2 2 2 5 2 5 2 2" xfId="14948"/>
    <cellStyle name="常规 2 2 2 5 2 5 2 2 2" xfId="33796"/>
    <cellStyle name="常规 2 2 2 5 2 5 2 3" xfId="24372"/>
    <cellStyle name="常规 2 2 2 5 2 5 3" xfId="8664"/>
    <cellStyle name="常规 2 2 2 5 2 5 3 2" xfId="18084"/>
    <cellStyle name="常规 2 2 2 5 2 5 3 2 2" xfId="36932"/>
    <cellStyle name="常规 2 2 2 5 2 5 3 3" xfId="27508"/>
    <cellStyle name="常规 2 2 2 5 2 5 4" xfId="11812"/>
    <cellStyle name="常规 2 2 2 5 2 5 4 2" xfId="30660"/>
    <cellStyle name="常规 2 2 2 5 2 5 5" xfId="21236"/>
    <cellStyle name="常规 2 2 2 5 2 6" xfId="3294"/>
    <cellStyle name="常规 2 2 2 5 2 6 2" xfId="12714"/>
    <cellStyle name="常规 2 2 2 5 2 6 2 2" xfId="31562"/>
    <cellStyle name="常规 2 2 2 5 2 6 3" xfId="22138"/>
    <cellStyle name="常规 2 2 2 5 2 7" xfId="6312"/>
    <cellStyle name="常规 2 2 2 5 2 7 2" xfId="15732"/>
    <cellStyle name="常规 2 2 2 5 2 7 2 2" xfId="34580"/>
    <cellStyle name="常规 2 2 2 5 2 7 3" xfId="25156"/>
    <cellStyle name="常规 2 2 2 5 2 8" xfId="9459"/>
    <cellStyle name="常规 2 2 2 5 2 8 2" xfId="28304"/>
    <cellStyle name="常规 2 2 2 5 2 9" xfId="18882"/>
    <cellStyle name="常规 2 2 2 5 3" xfId="434"/>
    <cellStyle name="常规 2 2 2 5 3 2" xfId="1218"/>
    <cellStyle name="常规 2 2 2 5 3 2 2" xfId="4354"/>
    <cellStyle name="常规 2 2 2 5 3 2 2 2" xfId="13774"/>
    <cellStyle name="常规 2 2 2 5 3 2 2 2 2" xfId="32622"/>
    <cellStyle name="常规 2 2 2 5 3 2 2 3" xfId="23198"/>
    <cellStyle name="常规 2 2 2 5 3 2 3" xfId="7490"/>
    <cellStyle name="常规 2 2 2 5 3 2 3 2" xfId="16910"/>
    <cellStyle name="常规 2 2 2 5 3 2 3 2 2" xfId="35758"/>
    <cellStyle name="常规 2 2 2 5 3 2 3 3" xfId="26334"/>
    <cellStyle name="常规 2 2 2 5 3 2 4" xfId="10638"/>
    <cellStyle name="常规 2 2 2 5 3 2 4 2" xfId="29486"/>
    <cellStyle name="常规 2 2 2 5 3 2 5" xfId="20062"/>
    <cellStyle name="常规 2 2 2 5 3 3" xfId="2002"/>
    <cellStyle name="常规 2 2 2 5 3 3 2" xfId="5138"/>
    <cellStyle name="常规 2 2 2 5 3 3 2 2" xfId="14558"/>
    <cellStyle name="常规 2 2 2 5 3 3 2 2 2" xfId="33406"/>
    <cellStyle name="常规 2 2 2 5 3 3 2 3" xfId="23982"/>
    <cellStyle name="常规 2 2 2 5 3 3 3" xfId="8274"/>
    <cellStyle name="常规 2 2 2 5 3 3 3 2" xfId="17694"/>
    <cellStyle name="常规 2 2 2 5 3 3 3 2 2" xfId="36542"/>
    <cellStyle name="常规 2 2 2 5 3 3 3 3" xfId="27118"/>
    <cellStyle name="常规 2 2 2 5 3 3 4" xfId="11422"/>
    <cellStyle name="常规 2 2 2 5 3 3 4 2" xfId="30270"/>
    <cellStyle name="常规 2 2 2 5 3 3 5" xfId="20846"/>
    <cellStyle name="常规 2 2 2 5 3 4" xfId="2786"/>
    <cellStyle name="常规 2 2 2 5 3 4 2" xfId="5922"/>
    <cellStyle name="常规 2 2 2 5 3 4 2 2" xfId="15342"/>
    <cellStyle name="常规 2 2 2 5 3 4 2 2 2" xfId="34190"/>
    <cellStyle name="常规 2 2 2 5 3 4 2 3" xfId="24766"/>
    <cellStyle name="常规 2 2 2 5 3 4 3" xfId="9058"/>
    <cellStyle name="常规 2 2 2 5 3 4 3 2" xfId="18478"/>
    <cellStyle name="常规 2 2 2 5 3 4 3 2 2" xfId="37326"/>
    <cellStyle name="常规 2 2 2 5 3 4 3 3" xfId="27902"/>
    <cellStyle name="常规 2 2 2 5 3 4 4" xfId="12206"/>
    <cellStyle name="常规 2 2 2 5 3 4 4 2" xfId="31054"/>
    <cellStyle name="常规 2 2 2 5 3 4 5" xfId="21630"/>
    <cellStyle name="常规 2 2 2 5 3 5" xfId="3570"/>
    <cellStyle name="常规 2 2 2 5 3 5 2" xfId="12990"/>
    <cellStyle name="常规 2 2 2 5 3 5 2 2" xfId="31838"/>
    <cellStyle name="常规 2 2 2 5 3 5 3" xfId="22414"/>
    <cellStyle name="常规 2 2 2 5 3 6" xfId="6706"/>
    <cellStyle name="常规 2 2 2 5 3 6 2" xfId="16126"/>
    <cellStyle name="常规 2 2 2 5 3 6 2 2" xfId="34974"/>
    <cellStyle name="常规 2 2 2 5 3 6 3" xfId="25550"/>
    <cellStyle name="常规 2 2 2 5 3 7" xfId="9854"/>
    <cellStyle name="常规 2 2 2 5 3 7 2" xfId="28702"/>
    <cellStyle name="常规 2 2 2 5 3 8" xfId="19278"/>
    <cellStyle name="常规 2 2 2 5 4" xfId="823"/>
    <cellStyle name="常规 2 2 2 5 4 2" xfId="3959"/>
    <cellStyle name="常规 2 2 2 5 4 2 2" xfId="13379"/>
    <cellStyle name="常规 2 2 2 5 4 2 2 2" xfId="32227"/>
    <cellStyle name="常规 2 2 2 5 4 2 3" xfId="22803"/>
    <cellStyle name="常规 2 2 2 5 4 3" xfId="7095"/>
    <cellStyle name="常规 2 2 2 5 4 3 2" xfId="16515"/>
    <cellStyle name="常规 2 2 2 5 4 3 2 2" xfId="35363"/>
    <cellStyle name="常规 2 2 2 5 4 3 3" xfId="25939"/>
    <cellStyle name="常规 2 2 2 5 4 4" xfId="10243"/>
    <cellStyle name="常规 2 2 2 5 4 4 2" xfId="29091"/>
    <cellStyle name="常规 2 2 2 5 4 5" xfId="19667"/>
    <cellStyle name="常规 2 2 2 5 5" xfId="1607"/>
    <cellStyle name="常规 2 2 2 5 5 2" xfId="4743"/>
    <cellStyle name="常规 2 2 2 5 5 2 2" xfId="14163"/>
    <cellStyle name="常规 2 2 2 5 5 2 2 2" xfId="33011"/>
    <cellStyle name="常规 2 2 2 5 5 2 3" xfId="23587"/>
    <cellStyle name="常规 2 2 2 5 5 3" xfId="7879"/>
    <cellStyle name="常规 2 2 2 5 5 3 2" xfId="17299"/>
    <cellStyle name="常规 2 2 2 5 5 3 2 2" xfId="36147"/>
    <cellStyle name="常规 2 2 2 5 5 3 3" xfId="26723"/>
    <cellStyle name="常规 2 2 2 5 5 4" xfId="11027"/>
    <cellStyle name="常规 2 2 2 5 5 4 2" xfId="29875"/>
    <cellStyle name="常规 2 2 2 5 5 5" xfId="20451"/>
    <cellStyle name="常规 2 2 2 5 6" xfId="2391"/>
    <cellStyle name="常规 2 2 2 5 6 2" xfId="5527"/>
    <cellStyle name="常规 2 2 2 5 6 2 2" xfId="14947"/>
    <cellStyle name="常规 2 2 2 5 6 2 2 2" xfId="33795"/>
    <cellStyle name="常规 2 2 2 5 6 2 3" xfId="24371"/>
    <cellStyle name="常规 2 2 2 5 6 3" xfId="8663"/>
    <cellStyle name="常规 2 2 2 5 6 3 2" xfId="18083"/>
    <cellStyle name="常规 2 2 2 5 6 3 2 2" xfId="36931"/>
    <cellStyle name="常规 2 2 2 5 6 3 3" xfId="27507"/>
    <cellStyle name="常规 2 2 2 5 6 4" xfId="11811"/>
    <cellStyle name="常规 2 2 2 5 6 4 2" xfId="30659"/>
    <cellStyle name="常规 2 2 2 5 6 5" xfId="21235"/>
    <cellStyle name="常规 2 2 2 5 7" xfId="3249"/>
    <cellStyle name="常规 2 2 2 5 7 2" xfId="12669"/>
    <cellStyle name="常规 2 2 2 5 7 2 2" xfId="31517"/>
    <cellStyle name="常规 2 2 2 5 7 3" xfId="22093"/>
    <cellStyle name="常规 2 2 2 5 8" xfId="6311"/>
    <cellStyle name="常规 2 2 2 5 8 2" xfId="15731"/>
    <cellStyle name="常规 2 2 2 5 8 2 2" xfId="34579"/>
    <cellStyle name="常规 2 2 2 5 8 3" xfId="25155"/>
    <cellStyle name="常规 2 2 2 5 9" xfId="9458"/>
    <cellStyle name="常规 2 2 2 5 9 2" xfId="28303"/>
    <cellStyle name="常规 2 2 2 6" xfId="37"/>
    <cellStyle name="常规 2 2 2 6 2" xfId="436"/>
    <cellStyle name="常规 2 2 2 6 2 2" xfId="1220"/>
    <cellStyle name="常规 2 2 2 6 2 2 2" xfId="4356"/>
    <cellStyle name="常规 2 2 2 6 2 2 2 2" xfId="13776"/>
    <cellStyle name="常规 2 2 2 6 2 2 2 2 2" xfId="32624"/>
    <cellStyle name="常规 2 2 2 6 2 2 2 3" xfId="23200"/>
    <cellStyle name="常规 2 2 2 6 2 2 3" xfId="7492"/>
    <cellStyle name="常规 2 2 2 6 2 2 3 2" xfId="16912"/>
    <cellStyle name="常规 2 2 2 6 2 2 3 2 2" xfId="35760"/>
    <cellStyle name="常规 2 2 2 6 2 2 3 3" xfId="26336"/>
    <cellStyle name="常规 2 2 2 6 2 2 4" xfId="10640"/>
    <cellStyle name="常规 2 2 2 6 2 2 4 2" xfId="29488"/>
    <cellStyle name="常规 2 2 2 6 2 2 5" xfId="20064"/>
    <cellStyle name="常规 2 2 2 6 2 3" xfId="2004"/>
    <cellStyle name="常规 2 2 2 6 2 3 2" xfId="5140"/>
    <cellStyle name="常规 2 2 2 6 2 3 2 2" xfId="14560"/>
    <cellStyle name="常规 2 2 2 6 2 3 2 2 2" xfId="33408"/>
    <cellStyle name="常规 2 2 2 6 2 3 2 3" xfId="23984"/>
    <cellStyle name="常规 2 2 2 6 2 3 3" xfId="8276"/>
    <cellStyle name="常规 2 2 2 6 2 3 3 2" xfId="17696"/>
    <cellStyle name="常规 2 2 2 6 2 3 3 2 2" xfId="36544"/>
    <cellStyle name="常规 2 2 2 6 2 3 3 3" xfId="27120"/>
    <cellStyle name="常规 2 2 2 6 2 3 4" xfId="11424"/>
    <cellStyle name="常规 2 2 2 6 2 3 4 2" xfId="30272"/>
    <cellStyle name="常规 2 2 2 6 2 3 5" xfId="20848"/>
    <cellStyle name="常规 2 2 2 6 2 4" xfId="2788"/>
    <cellStyle name="常规 2 2 2 6 2 4 2" xfId="5924"/>
    <cellStyle name="常规 2 2 2 6 2 4 2 2" xfId="15344"/>
    <cellStyle name="常规 2 2 2 6 2 4 2 2 2" xfId="34192"/>
    <cellStyle name="常规 2 2 2 6 2 4 2 3" xfId="24768"/>
    <cellStyle name="常规 2 2 2 6 2 4 3" xfId="9060"/>
    <cellStyle name="常规 2 2 2 6 2 4 3 2" xfId="18480"/>
    <cellStyle name="常规 2 2 2 6 2 4 3 2 2" xfId="37328"/>
    <cellStyle name="常规 2 2 2 6 2 4 3 3" xfId="27904"/>
    <cellStyle name="常规 2 2 2 6 2 4 4" xfId="12208"/>
    <cellStyle name="常规 2 2 2 6 2 4 4 2" xfId="31056"/>
    <cellStyle name="常规 2 2 2 6 2 4 5" xfId="21632"/>
    <cellStyle name="常规 2 2 2 6 2 5" xfId="3572"/>
    <cellStyle name="常规 2 2 2 6 2 5 2" xfId="12992"/>
    <cellStyle name="常规 2 2 2 6 2 5 2 2" xfId="31840"/>
    <cellStyle name="常规 2 2 2 6 2 5 3" xfId="22416"/>
    <cellStyle name="常规 2 2 2 6 2 6" xfId="6708"/>
    <cellStyle name="常规 2 2 2 6 2 6 2" xfId="16128"/>
    <cellStyle name="常规 2 2 2 6 2 6 2 2" xfId="34976"/>
    <cellStyle name="常规 2 2 2 6 2 6 3" xfId="25552"/>
    <cellStyle name="常规 2 2 2 6 2 7" xfId="9856"/>
    <cellStyle name="常规 2 2 2 6 2 7 2" xfId="28704"/>
    <cellStyle name="常规 2 2 2 6 2 8" xfId="19280"/>
    <cellStyle name="常规 2 2 2 6 3" xfId="825"/>
    <cellStyle name="常规 2 2 2 6 3 2" xfId="3961"/>
    <cellStyle name="常规 2 2 2 6 3 2 2" xfId="13381"/>
    <cellStyle name="常规 2 2 2 6 3 2 2 2" xfId="32229"/>
    <cellStyle name="常规 2 2 2 6 3 2 3" xfId="22805"/>
    <cellStyle name="常规 2 2 2 6 3 3" xfId="7097"/>
    <cellStyle name="常规 2 2 2 6 3 3 2" xfId="16517"/>
    <cellStyle name="常规 2 2 2 6 3 3 2 2" xfId="35365"/>
    <cellStyle name="常规 2 2 2 6 3 3 3" xfId="25941"/>
    <cellStyle name="常规 2 2 2 6 3 4" xfId="10245"/>
    <cellStyle name="常规 2 2 2 6 3 4 2" xfId="29093"/>
    <cellStyle name="常规 2 2 2 6 3 5" xfId="19669"/>
    <cellStyle name="常规 2 2 2 6 4" xfId="1609"/>
    <cellStyle name="常规 2 2 2 6 4 2" xfId="4745"/>
    <cellStyle name="常规 2 2 2 6 4 2 2" xfId="14165"/>
    <cellStyle name="常规 2 2 2 6 4 2 2 2" xfId="33013"/>
    <cellStyle name="常规 2 2 2 6 4 2 3" xfId="23589"/>
    <cellStyle name="常规 2 2 2 6 4 3" xfId="7881"/>
    <cellStyle name="常规 2 2 2 6 4 3 2" xfId="17301"/>
    <cellStyle name="常规 2 2 2 6 4 3 2 2" xfId="36149"/>
    <cellStyle name="常规 2 2 2 6 4 3 3" xfId="26725"/>
    <cellStyle name="常规 2 2 2 6 4 4" xfId="11029"/>
    <cellStyle name="常规 2 2 2 6 4 4 2" xfId="29877"/>
    <cellStyle name="常规 2 2 2 6 4 5" xfId="20453"/>
    <cellStyle name="常规 2 2 2 6 5" xfId="2393"/>
    <cellStyle name="常规 2 2 2 6 5 2" xfId="5529"/>
    <cellStyle name="常规 2 2 2 6 5 2 2" xfId="14949"/>
    <cellStyle name="常规 2 2 2 6 5 2 2 2" xfId="33797"/>
    <cellStyle name="常规 2 2 2 6 5 2 3" xfId="24373"/>
    <cellStyle name="常规 2 2 2 6 5 3" xfId="8665"/>
    <cellStyle name="常规 2 2 2 6 5 3 2" xfId="18085"/>
    <cellStyle name="常规 2 2 2 6 5 3 2 2" xfId="36933"/>
    <cellStyle name="常规 2 2 2 6 5 3 3" xfId="27509"/>
    <cellStyle name="常规 2 2 2 6 5 4" xfId="11813"/>
    <cellStyle name="常规 2 2 2 6 5 4 2" xfId="30661"/>
    <cellStyle name="常规 2 2 2 6 5 5" xfId="21237"/>
    <cellStyle name="常规 2 2 2 6 6" xfId="3292"/>
    <cellStyle name="常规 2 2 2 6 6 2" xfId="12712"/>
    <cellStyle name="常规 2 2 2 6 6 2 2" xfId="31560"/>
    <cellStyle name="常规 2 2 2 6 6 3" xfId="22136"/>
    <cellStyle name="常规 2 2 2 6 7" xfId="6313"/>
    <cellStyle name="常规 2 2 2 6 7 2" xfId="15733"/>
    <cellStyle name="常规 2 2 2 6 7 2 2" xfId="34581"/>
    <cellStyle name="常规 2 2 2 6 7 3" xfId="25157"/>
    <cellStyle name="常规 2 2 2 6 8" xfId="9460"/>
    <cellStyle name="常规 2 2 2 6 8 2" xfId="28305"/>
    <cellStyle name="常规 2 2 2 6 9" xfId="18883"/>
    <cellStyle name="常规 2 2 2 7" xfId="405"/>
    <cellStyle name="常规 2 2 2 7 2" xfId="1189"/>
    <cellStyle name="常规 2 2 2 7 2 2" xfId="4325"/>
    <cellStyle name="常规 2 2 2 7 2 2 2" xfId="13745"/>
    <cellStyle name="常规 2 2 2 7 2 2 2 2" xfId="32593"/>
    <cellStyle name="常规 2 2 2 7 2 2 3" xfId="23169"/>
    <cellStyle name="常规 2 2 2 7 2 3" xfId="7461"/>
    <cellStyle name="常规 2 2 2 7 2 3 2" xfId="16881"/>
    <cellStyle name="常规 2 2 2 7 2 3 2 2" xfId="35729"/>
    <cellStyle name="常规 2 2 2 7 2 3 3" xfId="26305"/>
    <cellStyle name="常规 2 2 2 7 2 4" xfId="10609"/>
    <cellStyle name="常规 2 2 2 7 2 4 2" xfId="29457"/>
    <cellStyle name="常规 2 2 2 7 2 5" xfId="20033"/>
    <cellStyle name="常规 2 2 2 7 3" xfId="1973"/>
    <cellStyle name="常规 2 2 2 7 3 2" xfId="5109"/>
    <cellStyle name="常规 2 2 2 7 3 2 2" xfId="14529"/>
    <cellStyle name="常规 2 2 2 7 3 2 2 2" xfId="33377"/>
    <cellStyle name="常规 2 2 2 7 3 2 3" xfId="23953"/>
    <cellStyle name="常规 2 2 2 7 3 3" xfId="8245"/>
    <cellStyle name="常规 2 2 2 7 3 3 2" xfId="17665"/>
    <cellStyle name="常规 2 2 2 7 3 3 2 2" xfId="36513"/>
    <cellStyle name="常规 2 2 2 7 3 3 3" xfId="27089"/>
    <cellStyle name="常规 2 2 2 7 3 4" xfId="11393"/>
    <cellStyle name="常规 2 2 2 7 3 4 2" xfId="30241"/>
    <cellStyle name="常规 2 2 2 7 3 5" xfId="20817"/>
    <cellStyle name="常规 2 2 2 7 4" xfId="2757"/>
    <cellStyle name="常规 2 2 2 7 4 2" xfId="5893"/>
    <cellStyle name="常规 2 2 2 7 4 2 2" xfId="15313"/>
    <cellStyle name="常规 2 2 2 7 4 2 2 2" xfId="34161"/>
    <cellStyle name="常规 2 2 2 7 4 2 3" xfId="24737"/>
    <cellStyle name="常规 2 2 2 7 4 3" xfId="9029"/>
    <cellStyle name="常规 2 2 2 7 4 3 2" xfId="18449"/>
    <cellStyle name="常规 2 2 2 7 4 3 2 2" xfId="37297"/>
    <cellStyle name="常规 2 2 2 7 4 3 3" xfId="27873"/>
    <cellStyle name="常规 2 2 2 7 4 4" xfId="12177"/>
    <cellStyle name="常规 2 2 2 7 4 4 2" xfId="31025"/>
    <cellStyle name="常规 2 2 2 7 4 5" xfId="21601"/>
    <cellStyle name="常规 2 2 2 7 5" xfId="3541"/>
    <cellStyle name="常规 2 2 2 7 5 2" xfId="12961"/>
    <cellStyle name="常规 2 2 2 7 5 2 2" xfId="31809"/>
    <cellStyle name="常规 2 2 2 7 5 3" xfId="22385"/>
    <cellStyle name="常规 2 2 2 7 6" xfId="6677"/>
    <cellStyle name="常规 2 2 2 7 6 2" xfId="16097"/>
    <cellStyle name="常规 2 2 2 7 6 2 2" xfId="34945"/>
    <cellStyle name="常规 2 2 2 7 6 3" xfId="25521"/>
    <cellStyle name="常规 2 2 2 7 7" xfId="9825"/>
    <cellStyle name="常规 2 2 2 7 7 2" xfId="28673"/>
    <cellStyle name="常规 2 2 2 7 8" xfId="19249"/>
    <cellStyle name="常规 2 2 2 8" xfId="794"/>
    <cellStyle name="常规 2 2 2 8 2" xfId="3930"/>
    <cellStyle name="常规 2 2 2 8 2 2" xfId="13350"/>
    <cellStyle name="常规 2 2 2 8 2 2 2" xfId="32198"/>
    <cellStyle name="常规 2 2 2 8 2 3" xfId="22774"/>
    <cellStyle name="常规 2 2 2 8 3" xfId="7066"/>
    <cellStyle name="常规 2 2 2 8 3 2" xfId="16486"/>
    <cellStyle name="常规 2 2 2 8 3 2 2" xfId="35334"/>
    <cellStyle name="常规 2 2 2 8 3 3" xfId="25910"/>
    <cellStyle name="常规 2 2 2 8 4" xfId="10214"/>
    <cellStyle name="常规 2 2 2 8 4 2" xfId="29062"/>
    <cellStyle name="常规 2 2 2 8 5" xfId="19638"/>
    <cellStyle name="常规 2 2 2 9" xfId="1578"/>
    <cellStyle name="常规 2 2 2 9 2" xfId="4714"/>
    <cellStyle name="常规 2 2 2 9 2 2" xfId="14134"/>
    <cellStyle name="常规 2 2 2 9 2 2 2" xfId="32982"/>
    <cellStyle name="常规 2 2 2 9 2 3" xfId="23558"/>
    <cellStyle name="常规 2 2 2 9 3" xfId="7850"/>
    <cellStyle name="常规 2 2 2 9 3 2" xfId="17270"/>
    <cellStyle name="常规 2 2 2 9 3 2 2" xfId="36118"/>
    <cellStyle name="常规 2 2 2 9 3 3" xfId="26694"/>
    <cellStyle name="常规 2 2 2 9 4" xfId="10998"/>
    <cellStyle name="常规 2 2 2 9 4 2" xfId="29846"/>
    <cellStyle name="常规 2 2 2 9 5" xfId="20422"/>
    <cellStyle name="常规 2 2 3" xfId="38"/>
    <cellStyle name="常规 2 2 3 10" xfId="3152"/>
    <cellStyle name="常规 2 2 3 10 2" xfId="12572"/>
    <cellStyle name="常规 2 2 3 10 2 2" xfId="31420"/>
    <cellStyle name="常规 2 2 3 10 3" xfId="21996"/>
    <cellStyle name="常规 2 2 3 11" xfId="6314"/>
    <cellStyle name="常规 2 2 3 11 2" xfId="15734"/>
    <cellStyle name="常规 2 2 3 11 2 2" xfId="34582"/>
    <cellStyle name="常规 2 2 3 11 3" xfId="25158"/>
    <cellStyle name="常规 2 2 3 12" xfId="9461"/>
    <cellStyle name="常规 2 2 3 12 2" xfId="28306"/>
    <cellStyle name="常规 2 2 3 13" xfId="18884"/>
    <cellStyle name="常规 2 2 3 2" xfId="39"/>
    <cellStyle name="常规 2 2 3 2 10" xfId="6315"/>
    <cellStyle name="常规 2 2 3 2 10 2" xfId="15735"/>
    <cellStyle name="常规 2 2 3 2 10 2 2" xfId="34583"/>
    <cellStyle name="常规 2 2 3 2 10 3" xfId="25159"/>
    <cellStyle name="常规 2 2 3 2 11" xfId="9462"/>
    <cellStyle name="常规 2 2 3 2 11 2" xfId="28307"/>
    <cellStyle name="常规 2 2 3 2 12" xfId="18885"/>
    <cellStyle name="常规 2 2 3 2 2" xfId="40"/>
    <cellStyle name="常规 2 2 3 2 2 10" xfId="9463"/>
    <cellStyle name="常规 2 2 3 2 2 10 2" xfId="28308"/>
    <cellStyle name="常规 2 2 3 2 2 11" xfId="18886"/>
    <cellStyle name="常规 2 2 3 2 2 2" xfId="41"/>
    <cellStyle name="常规 2 2 3 2 2 2 10" xfId="18887"/>
    <cellStyle name="常规 2 2 3 2 2 2 2" xfId="42"/>
    <cellStyle name="常规 2 2 3 2 2 2 2 2" xfId="441"/>
    <cellStyle name="常规 2 2 3 2 2 2 2 2 2" xfId="1225"/>
    <cellStyle name="常规 2 2 3 2 2 2 2 2 2 2" xfId="4361"/>
    <cellStyle name="常规 2 2 3 2 2 2 2 2 2 2 2" xfId="13781"/>
    <cellStyle name="常规 2 2 3 2 2 2 2 2 2 2 2 2" xfId="32629"/>
    <cellStyle name="常规 2 2 3 2 2 2 2 2 2 2 3" xfId="23205"/>
    <cellStyle name="常规 2 2 3 2 2 2 2 2 2 3" xfId="7497"/>
    <cellStyle name="常规 2 2 3 2 2 2 2 2 2 3 2" xfId="16917"/>
    <cellStyle name="常规 2 2 3 2 2 2 2 2 2 3 2 2" xfId="35765"/>
    <cellStyle name="常规 2 2 3 2 2 2 2 2 2 3 3" xfId="26341"/>
    <cellStyle name="常规 2 2 3 2 2 2 2 2 2 4" xfId="10645"/>
    <cellStyle name="常规 2 2 3 2 2 2 2 2 2 4 2" xfId="29493"/>
    <cellStyle name="常规 2 2 3 2 2 2 2 2 2 5" xfId="20069"/>
    <cellStyle name="常规 2 2 3 2 2 2 2 2 3" xfId="2009"/>
    <cellStyle name="常规 2 2 3 2 2 2 2 2 3 2" xfId="5145"/>
    <cellStyle name="常规 2 2 3 2 2 2 2 2 3 2 2" xfId="14565"/>
    <cellStyle name="常规 2 2 3 2 2 2 2 2 3 2 2 2" xfId="33413"/>
    <cellStyle name="常规 2 2 3 2 2 2 2 2 3 2 3" xfId="23989"/>
    <cellStyle name="常规 2 2 3 2 2 2 2 2 3 3" xfId="8281"/>
    <cellStyle name="常规 2 2 3 2 2 2 2 2 3 3 2" xfId="17701"/>
    <cellStyle name="常规 2 2 3 2 2 2 2 2 3 3 2 2" xfId="36549"/>
    <cellStyle name="常规 2 2 3 2 2 2 2 2 3 3 3" xfId="27125"/>
    <cellStyle name="常规 2 2 3 2 2 2 2 2 3 4" xfId="11429"/>
    <cellStyle name="常规 2 2 3 2 2 2 2 2 3 4 2" xfId="30277"/>
    <cellStyle name="常规 2 2 3 2 2 2 2 2 3 5" xfId="20853"/>
    <cellStyle name="常规 2 2 3 2 2 2 2 2 4" xfId="2793"/>
    <cellStyle name="常规 2 2 3 2 2 2 2 2 4 2" xfId="5929"/>
    <cellStyle name="常规 2 2 3 2 2 2 2 2 4 2 2" xfId="15349"/>
    <cellStyle name="常规 2 2 3 2 2 2 2 2 4 2 2 2" xfId="34197"/>
    <cellStyle name="常规 2 2 3 2 2 2 2 2 4 2 3" xfId="24773"/>
    <cellStyle name="常规 2 2 3 2 2 2 2 2 4 3" xfId="9065"/>
    <cellStyle name="常规 2 2 3 2 2 2 2 2 4 3 2" xfId="18485"/>
    <cellStyle name="常规 2 2 3 2 2 2 2 2 4 3 2 2" xfId="37333"/>
    <cellStyle name="常规 2 2 3 2 2 2 2 2 4 3 3" xfId="27909"/>
    <cellStyle name="常规 2 2 3 2 2 2 2 2 4 4" xfId="12213"/>
    <cellStyle name="常规 2 2 3 2 2 2 2 2 4 4 2" xfId="31061"/>
    <cellStyle name="常规 2 2 3 2 2 2 2 2 4 5" xfId="21637"/>
    <cellStyle name="常规 2 2 3 2 2 2 2 2 5" xfId="3577"/>
    <cellStyle name="常规 2 2 3 2 2 2 2 2 5 2" xfId="12997"/>
    <cellStyle name="常规 2 2 3 2 2 2 2 2 5 2 2" xfId="31845"/>
    <cellStyle name="常规 2 2 3 2 2 2 2 2 5 3" xfId="22421"/>
    <cellStyle name="常规 2 2 3 2 2 2 2 2 6" xfId="6713"/>
    <cellStyle name="常规 2 2 3 2 2 2 2 2 6 2" xfId="16133"/>
    <cellStyle name="常规 2 2 3 2 2 2 2 2 6 2 2" xfId="34981"/>
    <cellStyle name="常规 2 2 3 2 2 2 2 2 6 3" xfId="25557"/>
    <cellStyle name="常规 2 2 3 2 2 2 2 2 7" xfId="9861"/>
    <cellStyle name="常规 2 2 3 2 2 2 2 2 7 2" xfId="28709"/>
    <cellStyle name="常规 2 2 3 2 2 2 2 2 8" xfId="19285"/>
    <cellStyle name="常规 2 2 3 2 2 2 2 3" xfId="830"/>
    <cellStyle name="常规 2 2 3 2 2 2 2 3 2" xfId="3966"/>
    <cellStyle name="常规 2 2 3 2 2 2 2 3 2 2" xfId="13386"/>
    <cellStyle name="常规 2 2 3 2 2 2 2 3 2 2 2" xfId="32234"/>
    <cellStyle name="常规 2 2 3 2 2 2 2 3 2 3" xfId="22810"/>
    <cellStyle name="常规 2 2 3 2 2 2 2 3 3" xfId="7102"/>
    <cellStyle name="常规 2 2 3 2 2 2 2 3 3 2" xfId="16522"/>
    <cellStyle name="常规 2 2 3 2 2 2 2 3 3 2 2" xfId="35370"/>
    <cellStyle name="常规 2 2 3 2 2 2 2 3 3 3" xfId="25946"/>
    <cellStyle name="常规 2 2 3 2 2 2 2 3 4" xfId="10250"/>
    <cellStyle name="常规 2 2 3 2 2 2 2 3 4 2" xfId="29098"/>
    <cellStyle name="常规 2 2 3 2 2 2 2 3 5" xfId="19674"/>
    <cellStyle name="常规 2 2 3 2 2 2 2 4" xfId="1614"/>
    <cellStyle name="常规 2 2 3 2 2 2 2 4 2" xfId="4750"/>
    <cellStyle name="常规 2 2 3 2 2 2 2 4 2 2" xfId="14170"/>
    <cellStyle name="常规 2 2 3 2 2 2 2 4 2 2 2" xfId="33018"/>
    <cellStyle name="常规 2 2 3 2 2 2 2 4 2 3" xfId="23594"/>
    <cellStyle name="常规 2 2 3 2 2 2 2 4 3" xfId="7886"/>
    <cellStyle name="常规 2 2 3 2 2 2 2 4 3 2" xfId="17306"/>
    <cellStyle name="常规 2 2 3 2 2 2 2 4 3 2 2" xfId="36154"/>
    <cellStyle name="常规 2 2 3 2 2 2 2 4 3 3" xfId="26730"/>
    <cellStyle name="常规 2 2 3 2 2 2 2 4 4" xfId="11034"/>
    <cellStyle name="常规 2 2 3 2 2 2 2 4 4 2" xfId="29882"/>
    <cellStyle name="常规 2 2 3 2 2 2 2 4 5" xfId="20458"/>
    <cellStyle name="常规 2 2 3 2 2 2 2 5" xfId="2398"/>
    <cellStyle name="常规 2 2 3 2 2 2 2 5 2" xfId="5534"/>
    <cellStyle name="常规 2 2 3 2 2 2 2 5 2 2" xfId="14954"/>
    <cellStyle name="常规 2 2 3 2 2 2 2 5 2 2 2" xfId="33802"/>
    <cellStyle name="常规 2 2 3 2 2 2 2 5 2 3" xfId="24378"/>
    <cellStyle name="常规 2 2 3 2 2 2 2 5 3" xfId="8670"/>
    <cellStyle name="常规 2 2 3 2 2 2 2 5 3 2" xfId="18090"/>
    <cellStyle name="常规 2 2 3 2 2 2 2 5 3 2 2" xfId="36938"/>
    <cellStyle name="常规 2 2 3 2 2 2 2 5 3 3" xfId="27514"/>
    <cellStyle name="常规 2 2 3 2 2 2 2 5 4" xfId="11818"/>
    <cellStyle name="常规 2 2 3 2 2 2 2 5 4 2" xfId="30666"/>
    <cellStyle name="常规 2 2 3 2 2 2 2 5 5" xfId="21242"/>
    <cellStyle name="常规 2 2 3 2 2 2 2 6" xfId="3248"/>
    <cellStyle name="常规 2 2 3 2 2 2 2 6 2" xfId="12668"/>
    <cellStyle name="常规 2 2 3 2 2 2 2 6 2 2" xfId="31516"/>
    <cellStyle name="常规 2 2 3 2 2 2 2 6 3" xfId="22092"/>
    <cellStyle name="常规 2 2 3 2 2 2 2 7" xfId="6318"/>
    <cellStyle name="常规 2 2 3 2 2 2 2 7 2" xfId="15738"/>
    <cellStyle name="常规 2 2 3 2 2 2 2 7 2 2" xfId="34586"/>
    <cellStyle name="常规 2 2 3 2 2 2 2 7 3" xfId="25162"/>
    <cellStyle name="常规 2 2 3 2 2 2 2 8" xfId="9465"/>
    <cellStyle name="常规 2 2 3 2 2 2 2 8 2" xfId="28310"/>
    <cellStyle name="常规 2 2 3 2 2 2 2 9" xfId="18888"/>
    <cellStyle name="常规 2 2 3 2 2 2 3" xfId="440"/>
    <cellStyle name="常规 2 2 3 2 2 2 3 2" xfId="1224"/>
    <cellStyle name="常规 2 2 3 2 2 2 3 2 2" xfId="4360"/>
    <cellStyle name="常规 2 2 3 2 2 2 3 2 2 2" xfId="13780"/>
    <cellStyle name="常规 2 2 3 2 2 2 3 2 2 2 2" xfId="32628"/>
    <cellStyle name="常规 2 2 3 2 2 2 3 2 2 3" xfId="23204"/>
    <cellStyle name="常规 2 2 3 2 2 2 3 2 3" xfId="7496"/>
    <cellStyle name="常规 2 2 3 2 2 2 3 2 3 2" xfId="16916"/>
    <cellStyle name="常规 2 2 3 2 2 2 3 2 3 2 2" xfId="35764"/>
    <cellStyle name="常规 2 2 3 2 2 2 3 2 3 3" xfId="26340"/>
    <cellStyle name="常规 2 2 3 2 2 2 3 2 4" xfId="10644"/>
    <cellStyle name="常规 2 2 3 2 2 2 3 2 4 2" xfId="29492"/>
    <cellStyle name="常规 2 2 3 2 2 2 3 2 5" xfId="20068"/>
    <cellStyle name="常规 2 2 3 2 2 2 3 3" xfId="2008"/>
    <cellStyle name="常规 2 2 3 2 2 2 3 3 2" xfId="5144"/>
    <cellStyle name="常规 2 2 3 2 2 2 3 3 2 2" xfId="14564"/>
    <cellStyle name="常规 2 2 3 2 2 2 3 3 2 2 2" xfId="33412"/>
    <cellStyle name="常规 2 2 3 2 2 2 3 3 2 3" xfId="23988"/>
    <cellStyle name="常规 2 2 3 2 2 2 3 3 3" xfId="8280"/>
    <cellStyle name="常规 2 2 3 2 2 2 3 3 3 2" xfId="17700"/>
    <cellStyle name="常规 2 2 3 2 2 2 3 3 3 2 2" xfId="36548"/>
    <cellStyle name="常规 2 2 3 2 2 2 3 3 3 3" xfId="27124"/>
    <cellStyle name="常规 2 2 3 2 2 2 3 3 4" xfId="11428"/>
    <cellStyle name="常规 2 2 3 2 2 2 3 3 4 2" xfId="30276"/>
    <cellStyle name="常规 2 2 3 2 2 2 3 3 5" xfId="20852"/>
    <cellStyle name="常规 2 2 3 2 2 2 3 4" xfId="2792"/>
    <cellStyle name="常规 2 2 3 2 2 2 3 4 2" xfId="5928"/>
    <cellStyle name="常规 2 2 3 2 2 2 3 4 2 2" xfId="15348"/>
    <cellStyle name="常规 2 2 3 2 2 2 3 4 2 2 2" xfId="34196"/>
    <cellStyle name="常规 2 2 3 2 2 2 3 4 2 3" xfId="24772"/>
    <cellStyle name="常规 2 2 3 2 2 2 3 4 3" xfId="9064"/>
    <cellStyle name="常规 2 2 3 2 2 2 3 4 3 2" xfId="18484"/>
    <cellStyle name="常规 2 2 3 2 2 2 3 4 3 2 2" xfId="37332"/>
    <cellStyle name="常规 2 2 3 2 2 2 3 4 3 3" xfId="27908"/>
    <cellStyle name="常规 2 2 3 2 2 2 3 4 4" xfId="12212"/>
    <cellStyle name="常规 2 2 3 2 2 2 3 4 4 2" xfId="31060"/>
    <cellStyle name="常规 2 2 3 2 2 2 3 4 5" xfId="21636"/>
    <cellStyle name="常规 2 2 3 2 2 2 3 5" xfId="3576"/>
    <cellStyle name="常规 2 2 3 2 2 2 3 5 2" xfId="12996"/>
    <cellStyle name="常规 2 2 3 2 2 2 3 5 2 2" xfId="31844"/>
    <cellStyle name="常规 2 2 3 2 2 2 3 5 3" xfId="22420"/>
    <cellStyle name="常规 2 2 3 2 2 2 3 6" xfId="6712"/>
    <cellStyle name="常规 2 2 3 2 2 2 3 6 2" xfId="16132"/>
    <cellStyle name="常规 2 2 3 2 2 2 3 6 2 2" xfId="34980"/>
    <cellStyle name="常规 2 2 3 2 2 2 3 6 3" xfId="25556"/>
    <cellStyle name="常规 2 2 3 2 2 2 3 7" xfId="9860"/>
    <cellStyle name="常规 2 2 3 2 2 2 3 7 2" xfId="28708"/>
    <cellStyle name="常规 2 2 3 2 2 2 3 8" xfId="19284"/>
    <cellStyle name="常规 2 2 3 2 2 2 4" xfId="829"/>
    <cellStyle name="常规 2 2 3 2 2 2 4 2" xfId="3965"/>
    <cellStyle name="常规 2 2 3 2 2 2 4 2 2" xfId="13385"/>
    <cellStyle name="常规 2 2 3 2 2 2 4 2 2 2" xfId="32233"/>
    <cellStyle name="常规 2 2 3 2 2 2 4 2 3" xfId="22809"/>
    <cellStyle name="常规 2 2 3 2 2 2 4 3" xfId="7101"/>
    <cellStyle name="常规 2 2 3 2 2 2 4 3 2" xfId="16521"/>
    <cellStyle name="常规 2 2 3 2 2 2 4 3 2 2" xfId="35369"/>
    <cellStyle name="常规 2 2 3 2 2 2 4 3 3" xfId="25945"/>
    <cellStyle name="常规 2 2 3 2 2 2 4 4" xfId="10249"/>
    <cellStyle name="常规 2 2 3 2 2 2 4 4 2" xfId="29097"/>
    <cellStyle name="常规 2 2 3 2 2 2 4 5" xfId="19673"/>
    <cellStyle name="常规 2 2 3 2 2 2 5" xfId="1613"/>
    <cellStyle name="常规 2 2 3 2 2 2 5 2" xfId="4749"/>
    <cellStyle name="常规 2 2 3 2 2 2 5 2 2" xfId="14169"/>
    <cellStyle name="常规 2 2 3 2 2 2 5 2 2 2" xfId="33017"/>
    <cellStyle name="常规 2 2 3 2 2 2 5 2 3" xfId="23593"/>
    <cellStyle name="常规 2 2 3 2 2 2 5 3" xfId="7885"/>
    <cellStyle name="常规 2 2 3 2 2 2 5 3 2" xfId="17305"/>
    <cellStyle name="常规 2 2 3 2 2 2 5 3 2 2" xfId="36153"/>
    <cellStyle name="常规 2 2 3 2 2 2 5 3 3" xfId="26729"/>
    <cellStyle name="常规 2 2 3 2 2 2 5 4" xfId="11033"/>
    <cellStyle name="常规 2 2 3 2 2 2 5 4 2" xfId="29881"/>
    <cellStyle name="常规 2 2 3 2 2 2 5 5" xfId="20457"/>
    <cellStyle name="常规 2 2 3 2 2 2 6" xfId="2397"/>
    <cellStyle name="常规 2 2 3 2 2 2 6 2" xfId="5533"/>
    <cellStyle name="常规 2 2 3 2 2 2 6 2 2" xfId="14953"/>
    <cellStyle name="常规 2 2 3 2 2 2 6 2 2 2" xfId="33801"/>
    <cellStyle name="常规 2 2 3 2 2 2 6 2 3" xfId="24377"/>
    <cellStyle name="常规 2 2 3 2 2 2 6 3" xfId="8669"/>
    <cellStyle name="常规 2 2 3 2 2 2 6 3 2" xfId="18089"/>
    <cellStyle name="常规 2 2 3 2 2 2 6 3 2 2" xfId="36937"/>
    <cellStyle name="常规 2 2 3 2 2 2 6 3 3" xfId="27513"/>
    <cellStyle name="常规 2 2 3 2 2 2 6 4" xfId="11817"/>
    <cellStyle name="常规 2 2 3 2 2 2 6 4 2" xfId="30665"/>
    <cellStyle name="常规 2 2 3 2 2 2 6 5" xfId="21241"/>
    <cellStyle name="常规 2 2 3 2 2 2 7" xfId="3290"/>
    <cellStyle name="常规 2 2 3 2 2 2 7 2" xfId="12710"/>
    <cellStyle name="常规 2 2 3 2 2 2 7 2 2" xfId="31558"/>
    <cellStyle name="常规 2 2 3 2 2 2 7 3" xfId="22134"/>
    <cellStyle name="常规 2 2 3 2 2 2 8" xfId="6317"/>
    <cellStyle name="常规 2 2 3 2 2 2 8 2" xfId="15737"/>
    <cellStyle name="常规 2 2 3 2 2 2 8 2 2" xfId="34585"/>
    <cellStyle name="常规 2 2 3 2 2 2 8 3" xfId="25161"/>
    <cellStyle name="常规 2 2 3 2 2 2 9" xfId="9464"/>
    <cellStyle name="常规 2 2 3 2 2 2 9 2" xfId="28309"/>
    <cellStyle name="常规 2 2 3 2 2 3" xfId="43"/>
    <cellStyle name="常规 2 2 3 2 2 3 2" xfId="442"/>
    <cellStyle name="常规 2 2 3 2 2 3 2 2" xfId="1226"/>
    <cellStyle name="常规 2 2 3 2 2 3 2 2 2" xfId="4362"/>
    <cellStyle name="常规 2 2 3 2 2 3 2 2 2 2" xfId="13782"/>
    <cellStyle name="常规 2 2 3 2 2 3 2 2 2 2 2" xfId="32630"/>
    <cellStyle name="常规 2 2 3 2 2 3 2 2 2 3" xfId="23206"/>
    <cellStyle name="常规 2 2 3 2 2 3 2 2 3" xfId="7498"/>
    <cellStyle name="常规 2 2 3 2 2 3 2 2 3 2" xfId="16918"/>
    <cellStyle name="常规 2 2 3 2 2 3 2 2 3 2 2" xfId="35766"/>
    <cellStyle name="常规 2 2 3 2 2 3 2 2 3 3" xfId="26342"/>
    <cellStyle name="常规 2 2 3 2 2 3 2 2 4" xfId="10646"/>
    <cellStyle name="常规 2 2 3 2 2 3 2 2 4 2" xfId="29494"/>
    <cellStyle name="常规 2 2 3 2 2 3 2 2 5" xfId="20070"/>
    <cellStyle name="常规 2 2 3 2 2 3 2 3" xfId="2010"/>
    <cellStyle name="常规 2 2 3 2 2 3 2 3 2" xfId="5146"/>
    <cellStyle name="常规 2 2 3 2 2 3 2 3 2 2" xfId="14566"/>
    <cellStyle name="常规 2 2 3 2 2 3 2 3 2 2 2" xfId="33414"/>
    <cellStyle name="常规 2 2 3 2 2 3 2 3 2 3" xfId="23990"/>
    <cellStyle name="常规 2 2 3 2 2 3 2 3 3" xfId="8282"/>
    <cellStyle name="常规 2 2 3 2 2 3 2 3 3 2" xfId="17702"/>
    <cellStyle name="常规 2 2 3 2 2 3 2 3 3 2 2" xfId="36550"/>
    <cellStyle name="常规 2 2 3 2 2 3 2 3 3 3" xfId="27126"/>
    <cellStyle name="常规 2 2 3 2 2 3 2 3 4" xfId="11430"/>
    <cellStyle name="常规 2 2 3 2 2 3 2 3 4 2" xfId="30278"/>
    <cellStyle name="常规 2 2 3 2 2 3 2 3 5" xfId="20854"/>
    <cellStyle name="常规 2 2 3 2 2 3 2 4" xfId="2794"/>
    <cellStyle name="常规 2 2 3 2 2 3 2 4 2" xfId="5930"/>
    <cellStyle name="常规 2 2 3 2 2 3 2 4 2 2" xfId="15350"/>
    <cellStyle name="常规 2 2 3 2 2 3 2 4 2 2 2" xfId="34198"/>
    <cellStyle name="常规 2 2 3 2 2 3 2 4 2 3" xfId="24774"/>
    <cellStyle name="常规 2 2 3 2 2 3 2 4 3" xfId="9066"/>
    <cellStyle name="常规 2 2 3 2 2 3 2 4 3 2" xfId="18486"/>
    <cellStyle name="常规 2 2 3 2 2 3 2 4 3 2 2" xfId="37334"/>
    <cellStyle name="常规 2 2 3 2 2 3 2 4 3 3" xfId="27910"/>
    <cellStyle name="常规 2 2 3 2 2 3 2 4 4" xfId="12214"/>
    <cellStyle name="常规 2 2 3 2 2 3 2 4 4 2" xfId="31062"/>
    <cellStyle name="常规 2 2 3 2 2 3 2 4 5" xfId="21638"/>
    <cellStyle name="常规 2 2 3 2 2 3 2 5" xfId="3578"/>
    <cellStyle name="常规 2 2 3 2 2 3 2 5 2" xfId="12998"/>
    <cellStyle name="常规 2 2 3 2 2 3 2 5 2 2" xfId="31846"/>
    <cellStyle name="常规 2 2 3 2 2 3 2 5 3" xfId="22422"/>
    <cellStyle name="常规 2 2 3 2 2 3 2 6" xfId="6714"/>
    <cellStyle name="常规 2 2 3 2 2 3 2 6 2" xfId="16134"/>
    <cellStyle name="常规 2 2 3 2 2 3 2 6 2 2" xfId="34982"/>
    <cellStyle name="常规 2 2 3 2 2 3 2 6 3" xfId="25558"/>
    <cellStyle name="常规 2 2 3 2 2 3 2 7" xfId="9862"/>
    <cellStyle name="常规 2 2 3 2 2 3 2 7 2" xfId="28710"/>
    <cellStyle name="常规 2 2 3 2 2 3 2 8" xfId="19286"/>
    <cellStyle name="常规 2 2 3 2 2 3 3" xfId="831"/>
    <cellStyle name="常规 2 2 3 2 2 3 3 2" xfId="3967"/>
    <cellStyle name="常规 2 2 3 2 2 3 3 2 2" xfId="13387"/>
    <cellStyle name="常规 2 2 3 2 2 3 3 2 2 2" xfId="32235"/>
    <cellStyle name="常规 2 2 3 2 2 3 3 2 3" xfId="22811"/>
    <cellStyle name="常规 2 2 3 2 2 3 3 3" xfId="7103"/>
    <cellStyle name="常规 2 2 3 2 2 3 3 3 2" xfId="16523"/>
    <cellStyle name="常规 2 2 3 2 2 3 3 3 2 2" xfId="35371"/>
    <cellStyle name="常规 2 2 3 2 2 3 3 3 3" xfId="25947"/>
    <cellStyle name="常规 2 2 3 2 2 3 3 4" xfId="10251"/>
    <cellStyle name="常规 2 2 3 2 2 3 3 4 2" xfId="29099"/>
    <cellStyle name="常规 2 2 3 2 2 3 3 5" xfId="19675"/>
    <cellStyle name="常规 2 2 3 2 2 3 4" xfId="1615"/>
    <cellStyle name="常规 2 2 3 2 2 3 4 2" xfId="4751"/>
    <cellStyle name="常规 2 2 3 2 2 3 4 2 2" xfId="14171"/>
    <cellStyle name="常规 2 2 3 2 2 3 4 2 2 2" xfId="33019"/>
    <cellStyle name="常规 2 2 3 2 2 3 4 2 3" xfId="23595"/>
    <cellStyle name="常规 2 2 3 2 2 3 4 3" xfId="7887"/>
    <cellStyle name="常规 2 2 3 2 2 3 4 3 2" xfId="17307"/>
    <cellStyle name="常规 2 2 3 2 2 3 4 3 2 2" xfId="36155"/>
    <cellStyle name="常规 2 2 3 2 2 3 4 3 3" xfId="26731"/>
    <cellStyle name="常规 2 2 3 2 2 3 4 4" xfId="11035"/>
    <cellStyle name="常规 2 2 3 2 2 3 4 4 2" xfId="29883"/>
    <cellStyle name="常规 2 2 3 2 2 3 4 5" xfId="20459"/>
    <cellStyle name="常规 2 2 3 2 2 3 5" xfId="2399"/>
    <cellStyle name="常规 2 2 3 2 2 3 5 2" xfId="5535"/>
    <cellStyle name="常规 2 2 3 2 2 3 5 2 2" xfId="14955"/>
    <cellStyle name="常规 2 2 3 2 2 3 5 2 2 2" xfId="33803"/>
    <cellStyle name="常规 2 2 3 2 2 3 5 2 3" xfId="24379"/>
    <cellStyle name="常规 2 2 3 2 2 3 5 3" xfId="8671"/>
    <cellStyle name="常规 2 2 3 2 2 3 5 3 2" xfId="18091"/>
    <cellStyle name="常规 2 2 3 2 2 3 5 3 2 2" xfId="36939"/>
    <cellStyle name="常规 2 2 3 2 2 3 5 3 3" xfId="27515"/>
    <cellStyle name="常规 2 2 3 2 2 3 5 4" xfId="11819"/>
    <cellStyle name="常规 2 2 3 2 2 3 5 4 2" xfId="30667"/>
    <cellStyle name="常规 2 2 3 2 2 3 5 5" xfId="21243"/>
    <cellStyle name="常规 2 2 3 2 2 3 6" xfId="3244"/>
    <cellStyle name="常规 2 2 3 2 2 3 6 2" xfId="12664"/>
    <cellStyle name="常规 2 2 3 2 2 3 6 2 2" xfId="31512"/>
    <cellStyle name="常规 2 2 3 2 2 3 6 3" xfId="22088"/>
    <cellStyle name="常规 2 2 3 2 2 3 7" xfId="6319"/>
    <cellStyle name="常规 2 2 3 2 2 3 7 2" xfId="15739"/>
    <cellStyle name="常规 2 2 3 2 2 3 7 2 2" xfId="34587"/>
    <cellStyle name="常规 2 2 3 2 2 3 7 3" xfId="25163"/>
    <cellStyle name="常规 2 2 3 2 2 3 8" xfId="9466"/>
    <cellStyle name="常规 2 2 3 2 2 3 8 2" xfId="28311"/>
    <cellStyle name="常规 2 2 3 2 2 3 9" xfId="18889"/>
    <cellStyle name="常规 2 2 3 2 2 4" xfId="439"/>
    <cellStyle name="常规 2 2 3 2 2 4 2" xfId="1223"/>
    <cellStyle name="常规 2 2 3 2 2 4 2 2" xfId="4359"/>
    <cellStyle name="常规 2 2 3 2 2 4 2 2 2" xfId="13779"/>
    <cellStyle name="常规 2 2 3 2 2 4 2 2 2 2" xfId="32627"/>
    <cellStyle name="常规 2 2 3 2 2 4 2 2 3" xfId="23203"/>
    <cellStyle name="常规 2 2 3 2 2 4 2 3" xfId="7495"/>
    <cellStyle name="常规 2 2 3 2 2 4 2 3 2" xfId="16915"/>
    <cellStyle name="常规 2 2 3 2 2 4 2 3 2 2" xfId="35763"/>
    <cellStyle name="常规 2 2 3 2 2 4 2 3 3" xfId="26339"/>
    <cellStyle name="常规 2 2 3 2 2 4 2 4" xfId="10643"/>
    <cellStyle name="常规 2 2 3 2 2 4 2 4 2" xfId="29491"/>
    <cellStyle name="常规 2 2 3 2 2 4 2 5" xfId="20067"/>
    <cellStyle name="常规 2 2 3 2 2 4 3" xfId="2007"/>
    <cellStyle name="常规 2 2 3 2 2 4 3 2" xfId="5143"/>
    <cellStyle name="常规 2 2 3 2 2 4 3 2 2" xfId="14563"/>
    <cellStyle name="常规 2 2 3 2 2 4 3 2 2 2" xfId="33411"/>
    <cellStyle name="常规 2 2 3 2 2 4 3 2 3" xfId="23987"/>
    <cellStyle name="常规 2 2 3 2 2 4 3 3" xfId="8279"/>
    <cellStyle name="常规 2 2 3 2 2 4 3 3 2" xfId="17699"/>
    <cellStyle name="常规 2 2 3 2 2 4 3 3 2 2" xfId="36547"/>
    <cellStyle name="常规 2 2 3 2 2 4 3 3 3" xfId="27123"/>
    <cellStyle name="常规 2 2 3 2 2 4 3 4" xfId="11427"/>
    <cellStyle name="常规 2 2 3 2 2 4 3 4 2" xfId="30275"/>
    <cellStyle name="常规 2 2 3 2 2 4 3 5" xfId="20851"/>
    <cellStyle name="常规 2 2 3 2 2 4 4" xfId="2791"/>
    <cellStyle name="常规 2 2 3 2 2 4 4 2" xfId="5927"/>
    <cellStyle name="常规 2 2 3 2 2 4 4 2 2" xfId="15347"/>
    <cellStyle name="常规 2 2 3 2 2 4 4 2 2 2" xfId="34195"/>
    <cellStyle name="常规 2 2 3 2 2 4 4 2 3" xfId="24771"/>
    <cellStyle name="常规 2 2 3 2 2 4 4 3" xfId="9063"/>
    <cellStyle name="常规 2 2 3 2 2 4 4 3 2" xfId="18483"/>
    <cellStyle name="常规 2 2 3 2 2 4 4 3 2 2" xfId="37331"/>
    <cellStyle name="常规 2 2 3 2 2 4 4 3 3" xfId="27907"/>
    <cellStyle name="常规 2 2 3 2 2 4 4 4" xfId="12211"/>
    <cellStyle name="常规 2 2 3 2 2 4 4 4 2" xfId="31059"/>
    <cellStyle name="常规 2 2 3 2 2 4 4 5" xfId="21635"/>
    <cellStyle name="常规 2 2 3 2 2 4 5" xfId="3575"/>
    <cellStyle name="常规 2 2 3 2 2 4 5 2" xfId="12995"/>
    <cellStyle name="常规 2 2 3 2 2 4 5 2 2" xfId="31843"/>
    <cellStyle name="常规 2 2 3 2 2 4 5 3" xfId="22419"/>
    <cellStyle name="常规 2 2 3 2 2 4 6" xfId="6711"/>
    <cellStyle name="常规 2 2 3 2 2 4 6 2" xfId="16131"/>
    <cellStyle name="常规 2 2 3 2 2 4 6 2 2" xfId="34979"/>
    <cellStyle name="常规 2 2 3 2 2 4 6 3" xfId="25555"/>
    <cellStyle name="常规 2 2 3 2 2 4 7" xfId="9859"/>
    <cellStyle name="常规 2 2 3 2 2 4 7 2" xfId="28707"/>
    <cellStyle name="常规 2 2 3 2 2 4 8" xfId="19283"/>
    <cellStyle name="常规 2 2 3 2 2 5" xfId="828"/>
    <cellStyle name="常规 2 2 3 2 2 5 2" xfId="3964"/>
    <cellStyle name="常规 2 2 3 2 2 5 2 2" xfId="13384"/>
    <cellStyle name="常规 2 2 3 2 2 5 2 2 2" xfId="32232"/>
    <cellStyle name="常规 2 2 3 2 2 5 2 3" xfId="22808"/>
    <cellStyle name="常规 2 2 3 2 2 5 3" xfId="7100"/>
    <cellStyle name="常规 2 2 3 2 2 5 3 2" xfId="16520"/>
    <cellStyle name="常规 2 2 3 2 2 5 3 2 2" xfId="35368"/>
    <cellStyle name="常规 2 2 3 2 2 5 3 3" xfId="25944"/>
    <cellStyle name="常规 2 2 3 2 2 5 4" xfId="10248"/>
    <cellStyle name="常规 2 2 3 2 2 5 4 2" xfId="29096"/>
    <cellStyle name="常规 2 2 3 2 2 5 5" xfId="19672"/>
    <cellStyle name="常规 2 2 3 2 2 6" xfId="1612"/>
    <cellStyle name="常规 2 2 3 2 2 6 2" xfId="4748"/>
    <cellStyle name="常规 2 2 3 2 2 6 2 2" xfId="14168"/>
    <cellStyle name="常规 2 2 3 2 2 6 2 2 2" xfId="33016"/>
    <cellStyle name="常规 2 2 3 2 2 6 2 3" xfId="23592"/>
    <cellStyle name="常规 2 2 3 2 2 6 3" xfId="7884"/>
    <cellStyle name="常规 2 2 3 2 2 6 3 2" xfId="17304"/>
    <cellStyle name="常规 2 2 3 2 2 6 3 2 2" xfId="36152"/>
    <cellStyle name="常规 2 2 3 2 2 6 3 3" xfId="26728"/>
    <cellStyle name="常规 2 2 3 2 2 6 4" xfId="11032"/>
    <cellStyle name="常规 2 2 3 2 2 6 4 2" xfId="29880"/>
    <cellStyle name="常规 2 2 3 2 2 6 5" xfId="20456"/>
    <cellStyle name="常规 2 2 3 2 2 7" xfId="2396"/>
    <cellStyle name="常规 2 2 3 2 2 7 2" xfId="5532"/>
    <cellStyle name="常规 2 2 3 2 2 7 2 2" xfId="14952"/>
    <cellStyle name="常规 2 2 3 2 2 7 2 2 2" xfId="33800"/>
    <cellStyle name="常规 2 2 3 2 2 7 2 3" xfId="24376"/>
    <cellStyle name="常规 2 2 3 2 2 7 3" xfId="8668"/>
    <cellStyle name="常规 2 2 3 2 2 7 3 2" xfId="18088"/>
    <cellStyle name="常规 2 2 3 2 2 7 3 2 2" xfId="36936"/>
    <cellStyle name="常规 2 2 3 2 2 7 3 3" xfId="27512"/>
    <cellStyle name="常规 2 2 3 2 2 7 4" xfId="11816"/>
    <cellStyle name="常规 2 2 3 2 2 7 4 2" xfId="30664"/>
    <cellStyle name="常规 2 2 3 2 2 7 5" xfId="21240"/>
    <cellStyle name="常规 2 2 3 2 2 8" xfId="3199"/>
    <cellStyle name="常规 2 2 3 2 2 8 2" xfId="12619"/>
    <cellStyle name="常规 2 2 3 2 2 8 2 2" xfId="31467"/>
    <cellStyle name="常规 2 2 3 2 2 8 3" xfId="22043"/>
    <cellStyle name="常规 2 2 3 2 2 9" xfId="6316"/>
    <cellStyle name="常规 2 2 3 2 2 9 2" xfId="15736"/>
    <cellStyle name="常规 2 2 3 2 2 9 2 2" xfId="34584"/>
    <cellStyle name="常规 2 2 3 2 2 9 3" xfId="25160"/>
    <cellStyle name="常规 2 2 3 2 3" xfId="44"/>
    <cellStyle name="常规 2 2 3 2 3 10" xfId="18890"/>
    <cellStyle name="常规 2 2 3 2 3 2" xfId="45"/>
    <cellStyle name="常规 2 2 3 2 3 2 2" xfId="444"/>
    <cellStyle name="常规 2 2 3 2 3 2 2 2" xfId="1228"/>
    <cellStyle name="常规 2 2 3 2 3 2 2 2 2" xfId="4364"/>
    <cellStyle name="常规 2 2 3 2 3 2 2 2 2 2" xfId="13784"/>
    <cellStyle name="常规 2 2 3 2 3 2 2 2 2 2 2" xfId="32632"/>
    <cellStyle name="常规 2 2 3 2 3 2 2 2 2 3" xfId="23208"/>
    <cellStyle name="常规 2 2 3 2 3 2 2 2 3" xfId="7500"/>
    <cellStyle name="常规 2 2 3 2 3 2 2 2 3 2" xfId="16920"/>
    <cellStyle name="常规 2 2 3 2 3 2 2 2 3 2 2" xfId="35768"/>
    <cellStyle name="常规 2 2 3 2 3 2 2 2 3 3" xfId="26344"/>
    <cellStyle name="常规 2 2 3 2 3 2 2 2 4" xfId="10648"/>
    <cellStyle name="常规 2 2 3 2 3 2 2 2 4 2" xfId="29496"/>
    <cellStyle name="常规 2 2 3 2 3 2 2 2 5" xfId="20072"/>
    <cellStyle name="常规 2 2 3 2 3 2 2 3" xfId="2012"/>
    <cellStyle name="常规 2 2 3 2 3 2 2 3 2" xfId="5148"/>
    <cellStyle name="常规 2 2 3 2 3 2 2 3 2 2" xfId="14568"/>
    <cellStyle name="常规 2 2 3 2 3 2 2 3 2 2 2" xfId="33416"/>
    <cellStyle name="常规 2 2 3 2 3 2 2 3 2 3" xfId="23992"/>
    <cellStyle name="常规 2 2 3 2 3 2 2 3 3" xfId="8284"/>
    <cellStyle name="常规 2 2 3 2 3 2 2 3 3 2" xfId="17704"/>
    <cellStyle name="常规 2 2 3 2 3 2 2 3 3 2 2" xfId="36552"/>
    <cellStyle name="常规 2 2 3 2 3 2 2 3 3 3" xfId="27128"/>
    <cellStyle name="常规 2 2 3 2 3 2 2 3 4" xfId="11432"/>
    <cellStyle name="常规 2 2 3 2 3 2 2 3 4 2" xfId="30280"/>
    <cellStyle name="常规 2 2 3 2 3 2 2 3 5" xfId="20856"/>
    <cellStyle name="常规 2 2 3 2 3 2 2 4" xfId="2796"/>
    <cellStyle name="常规 2 2 3 2 3 2 2 4 2" xfId="5932"/>
    <cellStyle name="常规 2 2 3 2 3 2 2 4 2 2" xfId="15352"/>
    <cellStyle name="常规 2 2 3 2 3 2 2 4 2 2 2" xfId="34200"/>
    <cellStyle name="常规 2 2 3 2 3 2 2 4 2 3" xfId="24776"/>
    <cellStyle name="常规 2 2 3 2 3 2 2 4 3" xfId="9068"/>
    <cellStyle name="常规 2 2 3 2 3 2 2 4 3 2" xfId="18488"/>
    <cellStyle name="常规 2 2 3 2 3 2 2 4 3 2 2" xfId="37336"/>
    <cellStyle name="常规 2 2 3 2 3 2 2 4 3 3" xfId="27912"/>
    <cellStyle name="常规 2 2 3 2 3 2 2 4 4" xfId="12216"/>
    <cellStyle name="常规 2 2 3 2 3 2 2 4 4 2" xfId="31064"/>
    <cellStyle name="常规 2 2 3 2 3 2 2 4 5" xfId="21640"/>
    <cellStyle name="常规 2 2 3 2 3 2 2 5" xfId="3580"/>
    <cellStyle name="常规 2 2 3 2 3 2 2 5 2" xfId="13000"/>
    <cellStyle name="常规 2 2 3 2 3 2 2 5 2 2" xfId="31848"/>
    <cellStyle name="常规 2 2 3 2 3 2 2 5 3" xfId="22424"/>
    <cellStyle name="常规 2 2 3 2 3 2 2 6" xfId="6716"/>
    <cellStyle name="常规 2 2 3 2 3 2 2 6 2" xfId="16136"/>
    <cellStyle name="常规 2 2 3 2 3 2 2 6 2 2" xfId="34984"/>
    <cellStyle name="常规 2 2 3 2 3 2 2 6 3" xfId="25560"/>
    <cellStyle name="常规 2 2 3 2 3 2 2 7" xfId="9864"/>
    <cellStyle name="常规 2 2 3 2 3 2 2 7 2" xfId="28712"/>
    <cellStyle name="常规 2 2 3 2 3 2 2 8" xfId="19288"/>
    <cellStyle name="常规 2 2 3 2 3 2 3" xfId="833"/>
    <cellStyle name="常规 2 2 3 2 3 2 3 2" xfId="3969"/>
    <cellStyle name="常规 2 2 3 2 3 2 3 2 2" xfId="13389"/>
    <cellStyle name="常规 2 2 3 2 3 2 3 2 2 2" xfId="32237"/>
    <cellStyle name="常规 2 2 3 2 3 2 3 2 3" xfId="22813"/>
    <cellStyle name="常规 2 2 3 2 3 2 3 3" xfId="7105"/>
    <cellStyle name="常规 2 2 3 2 3 2 3 3 2" xfId="16525"/>
    <cellStyle name="常规 2 2 3 2 3 2 3 3 2 2" xfId="35373"/>
    <cellStyle name="常规 2 2 3 2 3 2 3 3 3" xfId="25949"/>
    <cellStyle name="常规 2 2 3 2 3 2 3 4" xfId="10253"/>
    <cellStyle name="常规 2 2 3 2 3 2 3 4 2" xfId="29101"/>
    <cellStyle name="常规 2 2 3 2 3 2 3 5" xfId="19677"/>
    <cellStyle name="常规 2 2 3 2 3 2 4" xfId="1617"/>
    <cellStyle name="常规 2 2 3 2 3 2 4 2" xfId="4753"/>
    <cellStyle name="常规 2 2 3 2 3 2 4 2 2" xfId="14173"/>
    <cellStyle name="常规 2 2 3 2 3 2 4 2 2 2" xfId="33021"/>
    <cellStyle name="常规 2 2 3 2 3 2 4 2 3" xfId="23597"/>
    <cellStyle name="常规 2 2 3 2 3 2 4 3" xfId="7889"/>
    <cellStyle name="常规 2 2 3 2 3 2 4 3 2" xfId="17309"/>
    <cellStyle name="常规 2 2 3 2 3 2 4 3 2 2" xfId="36157"/>
    <cellStyle name="常规 2 2 3 2 3 2 4 3 3" xfId="26733"/>
    <cellStyle name="常规 2 2 3 2 3 2 4 4" xfId="11037"/>
    <cellStyle name="常规 2 2 3 2 3 2 4 4 2" xfId="29885"/>
    <cellStyle name="常规 2 2 3 2 3 2 4 5" xfId="20461"/>
    <cellStyle name="常规 2 2 3 2 3 2 5" xfId="2401"/>
    <cellStyle name="常规 2 2 3 2 3 2 5 2" xfId="5537"/>
    <cellStyle name="常规 2 2 3 2 3 2 5 2 2" xfId="14957"/>
    <cellStyle name="常规 2 2 3 2 3 2 5 2 2 2" xfId="33805"/>
    <cellStyle name="常规 2 2 3 2 3 2 5 2 3" xfId="24381"/>
    <cellStyle name="常规 2 2 3 2 3 2 5 3" xfId="8673"/>
    <cellStyle name="常规 2 2 3 2 3 2 5 3 2" xfId="18093"/>
    <cellStyle name="常规 2 2 3 2 3 2 5 3 2 2" xfId="36941"/>
    <cellStyle name="常规 2 2 3 2 3 2 5 3 3" xfId="27517"/>
    <cellStyle name="常规 2 2 3 2 3 2 5 4" xfId="11821"/>
    <cellStyle name="常规 2 2 3 2 3 2 5 4 2" xfId="30669"/>
    <cellStyle name="常规 2 2 3 2 3 2 5 5" xfId="21245"/>
    <cellStyle name="常规 2 2 3 2 3 2 6" xfId="3274"/>
    <cellStyle name="常规 2 2 3 2 3 2 6 2" xfId="12694"/>
    <cellStyle name="常规 2 2 3 2 3 2 6 2 2" xfId="31542"/>
    <cellStyle name="常规 2 2 3 2 3 2 6 3" xfId="22118"/>
    <cellStyle name="常规 2 2 3 2 3 2 7" xfId="6321"/>
    <cellStyle name="常规 2 2 3 2 3 2 7 2" xfId="15741"/>
    <cellStyle name="常规 2 2 3 2 3 2 7 2 2" xfId="34589"/>
    <cellStyle name="常规 2 2 3 2 3 2 7 3" xfId="25165"/>
    <cellStyle name="常规 2 2 3 2 3 2 8" xfId="9468"/>
    <cellStyle name="常规 2 2 3 2 3 2 8 2" xfId="28313"/>
    <cellStyle name="常规 2 2 3 2 3 2 9" xfId="18891"/>
    <cellStyle name="常规 2 2 3 2 3 3" xfId="443"/>
    <cellStyle name="常规 2 2 3 2 3 3 2" xfId="1227"/>
    <cellStyle name="常规 2 2 3 2 3 3 2 2" xfId="4363"/>
    <cellStyle name="常规 2 2 3 2 3 3 2 2 2" xfId="13783"/>
    <cellStyle name="常规 2 2 3 2 3 3 2 2 2 2" xfId="32631"/>
    <cellStyle name="常规 2 2 3 2 3 3 2 2 3" xfId="23207"/>
    <cellStyle name="常规 2 2 3 2 3 3 2 3" xfId="7499"/>
    <cellStyle name="常规 2 2 3 2 3 3 2 3 2" xfId="16919"/>
    <cellStyle name="常规 2 2 3 2 3 3 2 3 2 2" xfId="35767"/>
    <cellStyle name="常规 2 2 3 2 3 3 2 3 3" xfId="26343"/>
    <cellStyle name="常规 2 2 3 2 3 3 2 4" xfId="10647"/>
    <cellStyle name="常规 2 2 3 2 3 3 2 4 2" xfId="29495"/>
    <cellStyle name="常规 2 2 3 2 3 3 2 5" xfId="20071"/>
    <cellStyle name="常规 2 2 3 2 3 3 3" xfId="2011"/>
    <cellStyle name="常规 2 2 3 2 3 3 3 2" xfId="5147"/>
    <cellStyle name="常规 2 2 3 2 3 3 3 2 2" xfId="14567"/>
    <cellStyle name="常规 2 2 3 2 3 3 3 2 2 2" xfId="33415"/>
    <cellStyle name="常规 2 2 3 2 3 3 3 2 3" xfId="23991"/>
    <cellStyle name="常规 2 2 3 2 3 3 3 3" xfId="8283"/>
    <cellStyle name="常规 2 2 3 2 3 3 3 3 2" xfId="17703"/>
    <cellStyle name="常规 2 2 3 2 3 3 3 3 2 2" xfId="36551"/>
    <cellStyle name="常规 2 2 3 2 3 3 3 3 3" xfId="27127"/>
    <cellStyle name="常规 2 2 3 2 3 3 3 4" xfId="11431"/>
    <cellStyle name="常规 2 2 3 2 3 3 3 4 2" xfId="30279"/>
    <cellStyle name="常规 2 2 3 2 3 3 3 5" xfId="20855"/>
    <cellStyle name="常规 2 2 3 2 3 3 4" xfId="2795"/>
    <cellStyle name="常规 2 2 3 2 3 3 4 2" xfId="5931"/>
    <cellStyle name="常规 2 2 3 2 3 3 4 2 2" xfId="15351"/>
    <cellStyle name="常规 2 2 3 2 3 3 4 2 2 2" xfId="34199"/>
    <cellStyle name="常规 2 2 3 2 3 3 4 2 3" xfId="24775"/>
    <cellStyle name="常规 2 2 3 2 3 3 4 3" xfId="9067"/>
    <cellStyle name="常规 2 2 3 2 3 3 4 3 2" xfId="18487"/>
    <cellStyle name="常规 2 2 3 2 3 3 4 3 2 2" xfId="37335"/>
    <cellStyle name="常规 2 2 3 2 3 3 4 3 3" xfId="27911"/>
    <cellStyle name="常规 2 2 3 2 3 3 4 4" xfId="12215"/>
    <cellStyle name="常规 2 2 3 2 3 3 4 4 2" xfId="31063"/>
    <cellStyle name="常规 2 2 3 2 3 3 4 5" xfId="21639"/>
    <cellStyle name="常规 2 2 3 2 3 3 5" xfId="3579"/>
    <cellStyle name="常规 2 2 3 2 3 3 5 2" xfId="12999"/>
    <cellStyle name="常规 2 2 3 2 3 3 5 2 2" xfId="31847"/>
    <cellStyle name="常规 2 2 3 2 3 3 5 3" xfId="22423"/>
    <cellStyle name="常规 2 2 3 2 3 3 6" xfId="6715"/>
    <cellStyle name="常规 2 2 3 2 3 3 6 2" xfId="16135"/>
    <cellStyle name="常规 2 2 3 2 3 3 6 2 2" xfId="34983"/>
    <cellStyle name="常规 2 2 3 2 3 3 6 3" xfId="25559"/>
    <cellStyle name="常规 2 2 3 2 3 3 7" xfId="9863"/>
    <cellStyle name="常规 2 2 3 2 3 3 7 2" xfId="28711"/>
    <cellStyle name="常规 2 2 3 2 3 3 8" xfId="19287"/>
    <cellStyle name="常规 2 2 3 2 3 4" xfId="832"/>
    <cellStyle name="常规 2 2 3 2 3 4 2" xfId="3968"/>
    <cellStyle name="常规 2 2 3 2 3 4 2 2" xfId="13388"/>
    <cellStyle name="常规 2 2 3 2 3 4 2 2 2" xfId="32236"/>
    <cellStyle name="常规 2 2 3 2 3 4 2 3" xfId="22812"/>
    <cellStyle name="常规 2 2 3 2 3 4 3" xfId="7104"/>
    <cellStyle name="常规 2 2 3 2 3 4 3 2" xfId="16524"/>
    <cellStyle name="常规 2 2 3 2 3 4 3 2 2" xfId="35372"/>
    <cellStyle name="常规 2 2 3 2 3 4 3 3" xfId="25948"/>
    <cellStyle name="常规 2 2 3 2 3 4 4" xfId="10252"/>
    <cellStyle name="常规 2 2 3 2 3 4 4 2" xfId="29100"/>
    <cellStyle name="常规 2 2 3 2 3 4 5" xfId="19676"/>
    <cellStyle name="常规 2 2 3 2 3 5" xfId="1616"/>
    <cellStyle name="常规 2 2 3 2 3 5 2" xfId="4752"/>
    <cellStyle name="常规 2 2 3 2 3 5 2 2" xfId="14172"/>
    <cellStyle name="常规 2 2 3 2 3 5 2 2 2" xfId="33020"/>
    <cellStyle name="常规 2 2 3 2 3 5 2 3" xfId="23596"/>
    <cellStyle name="常规 2 2 3 2 3 5 3" xfId="7888"/>
    <cellStyle name="常规 2 2 3 2 3 5 3 2" xfId="17308"/>
    <cellStyle name="常规 2 2 3 2 3 5 3 2 2" xfId="36156"/>
    <cellStyle name="常规 2 2 3 2 3 5 3 3" xfId="26732"/>
    <cellStyle name="常规 2 2 3 2 3 5 4" xfId="11036"/>
    <cellStyle name="常规 2 2 3 2 3 5 4 2" xfId="29884"/>
    <cellStyle name="常规 2 2 3 2 3 5 5" xfId="20460"/>
    <cellStyle name="常规 2 2 3 2 3 6" xfId="2400"/>
    <cellStyle name="常规 2 2 3 2 3 6 2" xfId="5536"/>
    <cellStyle name="常规 2 2 3 2 3 6 2 2" xfId="14956"/>
    <cellStyle name="常规 2 2 3 2 3 6 2 2 2" xfId="33804"/>
    <cellStyle name="常规 2 2 3 2 3 6 2 3" xfId="24380"/>
    <cellStyle name="常规 2 2 3 2 3 6 3" xfId="8672"/>
    <cellStyle name="常规 2 2 3 2 3 6 3 2" xfId="18092"/>
    <cellStyle name="常规 2 2 3 2 3 6 3 2 2" xfId="36940"/>
    <cellStyle name="常规 2 2 3 2 3 6 3 3" xfId="27516"/>
    <cellStyle name="常规 2 2 3 2 3 6 4" xfId="11820"/>
    <cellStyle name="常规 2 2 3 2 3 6 4 2" xfId="30668"/>
    <cellStyle name="常规 2 2 3 2 3 6 5" xfId="21244"/>
    <cellStyle name="常规 2 2 3 2 3 7" xfId="3296"/>
    <cellStyle name="常规 2 2 3 2 3 7 2" xfId="12716"/>
    <cellStyle name="常规 2 2 3 2 3 7 2 2" xfId="31564"/>
    <cellStyle name="常规 2 2 3 2 3 7 3" xfId="22140"/>
    <cellStyle name="常规 2 2 3 2 3 8" xfId="6320"/>
    <cellStyle name="常规 2 2 3 2 3 8 2" xfId="15740"/>
    <cellStyle name="常规 2 2 3 2 3 8 2 2" xfId="34588"/>
    <cellStyle name="常规 2 2 3 2 3 8 3" xfId="25164"/>
    <cellStyle name="常规 2 2 3 2 3 9" xfId="9467"/>
    <cellStyle name="常规 2 2 3 2 3 9 2" xfId="28312"/>
    <cellStyle name="常规 2 2 3 2 4" xfId="46"/>
    <cellStyle name="常规 2 2 3 2 4 2" xfId="445"/>
    <cellStyle name="常规 2 2 3 2 4 2 2" xfId="1229"/>
    <cellStyle name="常规 2 2 3 2 4 2 2 2" xfId="4365"/>
    <cellStyle name="常规 2 2 3 2 4 2 2 2 2" xfId="13785"/>
    <cellStyle name="常规 2 2 3 2 4 2 2 2 2 2" xfId="32633"/>
    <cellStyle name="常规 2 2 3 2 4 2 2 2 3" xfId="23209"/>
    <cellStyle name="常规 2 2 3 2 4 2 2 3" xfId="7501"/>
    <cellStyle name="常规 2 2 3 2 4 2 2 3 2" xfId="16921"/>
    <cellStyle name="常规 2 2 3 2 4 2 2 3 2 2" xfId="35769"/>
    <cellStyle name="常规 2 2 3 2 4 2 2 3 3" xfId="26345"/>
    <cellStyle name="常规 2 2 3 2 4 2 2 4" xfId="10649"/>
    <cellStyle name="常规 2 2 3 2 4 2 2 4 2" xfId="29497"/>
    <cellStyle name="常规 2 2 3 2 4 2 2 5" xfId="20073"/>
    <cellStyle name="常规 2 2 3 2 4 2 3" xfId="2013"/>
    <cellStyle name="常规 2 2 3 2 4 2 3 2" xfId="5149"/>
    <cellStyle name="常规 2 2 3 2 4 2 3 2 2" xfId="14569"/>
    <cellStyle name="常规 2 2 3 2 4 2 3 2 2 2" xfId="33417"/>
    <cellStyle name="常规 2 2 3 2 4 2 3 2 3" xfId="23993"/>
    <cellStyle name="常规 2 2 3 2 4 2 3 3" xfId="8285"/>
    <cellStyle name="常规 2 2 3 2 4 2 3 3 2" xfId="17705"/>
    <cellStyle name="常规 2 2 3 2 4 2 3 3 2 2" xfId="36553"/>
    <cellStyle name="常规 2 2 3 2 4 2 3 3 3" xfId="27129"/>
    <cellStyle name="常规 2 2 3 2 4 2 3 4" xfId="11433"/>
    <cellStyle name="常规 2 2 3 2 4 2 3 4 2" xfId="30281"/>
    <cellStyle name="常规 2 2 3 2 4 2 3 5" xfId="20857"/>
    <cellStyle name="常规 2 2 3 2 4 2 4" xfId="2797"/>
    <cellStyle name="常规 2 2 3 2 4 2 4 2" xfId="5933"/>
    <cellStyle name="常规 2 2 3 2 4 2 4 2 2" xfId="15353"/>
    <cellStyle name="常规 2 2 3 2 4 2 4 2 2 2" xfId="34201"/>
    <cellStyle name="常规 2 2 3 2 4 2 4 2 3" xfId="24777"/>
    <cellStyle name="常规 2 2 3 2 4 2 4 3" xfId="9069"/>
    <cellStyle name="常规 2 2 3 2 4 2 4 3 2" xfId="18489"/>
    <cellStyle name="常规 2 2 3 2 4 2 4 3 2 2" xfId="37337"/>
    <cellStyle name="常规 2 2 3 2 4 2 4 3 3" xfId="27913"/>
    <cellStyle name="常规 2 2 3 2 4 2 4 4" xfId="12217"/>
    <cellStyle name="常规 2 2 3 2 4 2 4 4 2" xfId="31065"/>
    <cellStyle name="常规 2 2 3 2 4 2 4 5" xfId="21641"/>
    <cellStyle name="常规 2 2 3 2 4 2 5" xfId="3581"/>
    <cellStyle name="常规 2 2 3 2 4 2 5 2" xfId="13001"/>
    <cellStyle name="常规 2 2 3 2 4 2 5 2 2" xfId="31849"/>
    <cellStyle name="常规 2 2 3 2 4 2 5 3" xfId="22425"/>
    <cellStyle name="常规 2 2 3 2 4 2 6" xfId="6717"/>
    <cellStyle name="常规 2 2 3 2 4 2 6 2" xfId="16137"/>
    <cellStyle name="常规 2 2 3 2 4 2 6 2 2" xfId="34985"/>
    <cellStyle name="常规 2 2 3 2 4 2 6 3" xfId="25561"/>
    <cellStyle name="常规 2 2 3 2 4 2 7" xfId="9865"/>
    <cellStyle name="常规 2 2 3 2 4 2 7 2" xfId="28713"/>
    <cellStyle name="常规 2 2 3 2 4 2 8" xfId="19289"/>
    <cellStyle name="常规 2 2 3 2 4 3" xfId="834"/>
    <cellStyle name="常规 2 2 3 2 4 3 2" xfId="3970"/>
    <cellStyle name="常规 2 2 3 2 4 3 2 2" xfId="13390"/>
    <cellStyle name="常规 2 2 3 2 4 3 2 2 2" xfId="32238"/>
    <cellStyle name="常规 2 2 3 2 4 3 2 3" xfId="22814"/>
    <cellStyle name="常规 2 2 3 2 4 3 3" xfId="7106"/>
    <cellStyle name="常规 2 2 3 2 4 3 3 2" xfId="16526"/>
    <cellStyle name="常规 2 2 3 2 4 3 3 2 2" xfId="35374"/>
    <cellStyle name="常规 2 2 3 2 4 3 3 3" xfId="25950"/>
    <cellStyle name="常规 2 2 3 2 4 3 4" xfId="10254"/>
    <cellStyle name="常规 2 2 3 2 4 3 4 2" xfId="29102"/>
    <cellStyle name="常规 2 2 3 2 4 3 5" xfId="19678"/>
    <cellStyle name="常规 2 2 3 2 4 4" xfId="1618"/>
    <cellStyle name="常规 2 2 3 2 4 4 2" xfId="4754"/>
    <cellStyle name="常规 2 2 3 2 4 4 2 2" xfId="14174"/>
    <cellStyle name="常规 2 2 3 2 4 4 2 2 2" xfId="33022"/>
    <cellStyle name="常规 2 2 3 2 4 4 2 3" xfId="23598"/>
    <cellStyle name="常规 2 2 3 2 4 4 3" xfId="7890"/>
    <cellStyle name="常规 2 2 3 2 4 4 3 2" xfId="17310"/>
    <cellStyle name="常规 2 2 3 2 4 4 3 2 2" xfId="36158"/>
    <cellStyle name="常规 2 2 3 2 4 4 3 3" xfId="26734"/>
    <cellStyle name="常规 2 2 3 2 4 4 4" xfId="11038"/>
    <cellStyle name="常规 2 2 3 2 4 4 4 2" xfId="29886"/>
    <cellStyle name="常规 2 2 3 2 4 4 5" xfId="20462"/>
    <cellStyle name="常规 2 2 3 2 4 5" xfId="2402"/>
    <cellStyle name="常规 2 2 3 2 4 5 2" xfId="5538"/>
    <cellStyle name="常规 2 2 3 2 4 5 2 2" xfId="14958"/>
    <cellStyle name="常规 2 2 3 2 4 5 2 2 2" xfId="33806"/>
    <cellStyle name="常规 2 2 3 2 4 5 2 3" xfId="24382"/>
    <cellStyle name="常规 2 2 3 2 4 5 3" xfId="8674"/>
    <cellStyle name="常规 2 2 3 2 4 5 3 2" xfId="18094"/>
    <cellStyle name="常规 2 2 3 2 4 5 3 2 2" xfId="36942"/>
    <cellStyle name="常规 2 2 3 2 4 5 3 3" xfId="27518"/>
    <cellStyle name="常规 2 2 3 2 4 5 4" xfId="11822"/>
    <cellStyle name="常规 2 2 3 2 4 5 4 2" xfId="30670"/>
    <cellStyle name="常规 2 2 3 2 4 5 5" xfId="21246"/>
    <cellStyle name="常规 2 2 3 2 4 6" xfId="3241"/>
    <cellStyle name="常规 2 2 3 2 4 6 2" xfId="12661"/>
    <cellStyle name="常规 2 2 3 2 4 6 2 2" xfId="31509"/>
    <cellStyle name="常规 2 2 3 2 4 6 3" xfId="22085"/>
    <cellStyle name="常规 2 2 3 2 4 7" xfId="6322"/>
    <cellStyle name="常规 2 2 3 2 4 7 2" xfId="15742"/>
    <cellStyle name="常规 2 2 3 2 4 7 2 2" xfId="34590"/>
    <cellStyle name="常规 2 2 3 2 4 7 3" xfId="25166"/>
    <cellStyle name="常规 2 2 3 2 4 8" xfId="9469"/>
    <cellStyle name="常规 2 2 3 2 4 8 2" xfId="28314"/>
    <cellStyle name="常规 2 2 3 2 4 9" xfId="18892"/>
    <cellStyle name="常规 2 2 3 2 5" xfId="438"/>
    <cellStyle name="常规 2 2 3 2 5 2" xfId="1222"/>
    <cellStyle name="常规 2 2 3 2 5 2 2" xfId="4358"/>
    <cellStyle name="常规 2 2 3 2 5 2 2 2" xfId="13778"/>
    <cellStyle name="常规 2 2 3 2 5 2 2 2 2" xfId="32626"/>
    <cellStyle name="常规 2 2 3 2 5 2 2 3" xfId="23202"/>
    <cellStyle name="常规 2 2 3 2 5 2 3" xfId="7494"/>
    <cellStyle name="常规 2 2 3 2 5 2 3 2" xfId="16914"/>
    <cellStyle name="常规 2 2 3 2 5 2 3 2 2" xfId="35762"/>
    <cellStyle name="常规 2 2 3 2 5 2 3 3" xfId="26338"/>
    <cellStyle name="常规 2 2 3 2 5 2 4" xfId="10642"/>
    <cellStyle name="常规 2 2 3 2 5 2 4 2" xfId="29490"/>
    <cellStyle name="常规 2 2 3 2 5 2 5" xfId="20066"/>
    <cellStyle name="常规 2 2 3 2 5 3" xfId="2006"/>
    <cellStyle name="常规 2 2 3 2 5 3 2" xfId="5142"/>
    <cellStyle name="常规 2 2 3 2 5 3 2 2" xfId="14562"/>
    <cellStyle name="常规 2 2 3 2 5 3 2 2 2" xfId="33410"/>
    <cellStyle name="常规 2 2 3 2 5 3 2 3" xfId="23986"/>
    <cellStyle name="常规 2 2 3 2 5 3 3" xfId="8278"/>
    <cellStyle name="常规 2 2 3 2 5 3 3 2" xfId="17698"/>
    <cellStyle name="常规 2 2 3 2 5 3 3 2 2" xfId="36546"/>
    <cellStyle name="常规 2 2 3 2 5 3 3 3" xfId="27122"/>
    <cellStyle name="常规 2 2 3 2 5 3 4" xfId="11426"/>
    <cellStyle name="常规 2 2 3 2 5 3 4 2" xfId="30274"/>
    <cellStyle name="常规 2 2 3 2 5 3 5" xfId="20850"/>
    <cellStyle name="常规 2 2 3 2 5 4" xfId="2790"/>
    <cellStyle name="常规 2 2 3 2 5 4 2" xfId="5926"/>
    <cellStyle name="常规 2 2 3 2 5 4 2 2" xfId="15346"/>
    <cellStyle name="常规 2 2 3 2 5 4 2 2 2" xfId="34194"/>
    <cellStyle name="常规 2 2 3 2 5 4 2 3" xfId="24770"/>
    <cellStyle name="常规 2 2 3 2 5 4 3" xfId="9062"/>
    <cellStyle name="常规 2 2 3 2 5 4 3 2" xfId="18482"/>
    <cellStyle name="常规 2 2 3 2 5 4 3 2 2" xfId="37330"/>
    <cellStyle name="常规 2 2 3 2 5 4 3 3" xfId="27906"/>
    <cellStyle name="常规 2 2 3 2 5 4 4" xfId="12210"/>
    <cellStyle name="常规 2 2 3 2 5 4 4 2" xfId="31058"/>
    <cellStyle name="常规 2 2 3 2 5 4 5" xfId="21634"/>
    <cellStyle name="常规 2 2 3 2 5 5" xfId="3574"/>
    <cellStyle name="常规 2 2 3 2 5 5 2" xfId="12994"/>
    <cellStyle name="常规 2 2 3 2 5 5 2 2" xfId="31842"/>
    <cellStyle name="常规 2 2 3 2 5 5 3" xfId="22418"/>
    <cellStyle name="常规 2 2 3 2 5 6" xfId="6710"/>
    <cellStyle name="常规 2 2 3 2 5 6 2" xfId="16130"/>
    <cellStyle name="常规 2 2 3 2 5 6 2 2" xfId="34978"/>
    <cellStyle name="常规 2 2 3 2 5 6 3" xfId="25554"/>
    <cellStyle name="常规 2 2 3 2 5 7" xfId="9858"/>
    <cellStyle name="常规 2 2 3 2 5 7 2" xfId="28706"/>
    <cellStyle name="常规 2 2 3 2 5 8" xfId="19282"/>
    <cellStyle name="常规 2 2 3 2 6" xfId="827"/>
    <cellStyle name="常规 2 2 3 2 6 2" xfId="3963"/>
    <cellStyle name="常规 2 2 3 2 6 2 2" xfId="13383"/>
    <cellStyle name="常规 2 2 3 2 6 2 2 2" xfId="32231"/>
    <cellStyle name="常规 2 2 3 2 6 2 3" xfId="22807"/>
    <cellStyle name="常规 2 2 3 2 6 3" xfId="7099"/>
    <cellStyle name="常规 2 2 3 2 6 3 2" xfId="16519"/>
    <cellStyle name="常规 2 2 3 2 6 3 2 2" xfId="35367"/>
    <cellStyle name="常规 2 2 3 2 6 3 3" xfId="25943"/>
    <cellStyle name="常规 2 2 3 2 6 4" xfId="10247"/>
    <cellStyle name="常规 2 2 3 2 6 4 2" xfId="29095"/>
    <cellStyle name="常规 2 2 3 2 6 5" xfId="19671"/>
    <cellStyle name="常规 2 2 3 2 7" xfId="1611"/>
    <cellStyle name="常规 2 2 3 2 7 2" xfId="4747"/>
    <cellStyle name="常规 2 2 3 2 7 2 2" xfId="14167"/>
    <cellStyle name="常规 2 2 3 2 7 2 2 2" xfId="33015"/>
    <cellStyle name="常规 2 2 3 2 7 2 3" xfId="23591"/>
    <cellStyle name="常规 2 2 3 2 7 3" xfId="7883"/>
    <cellStyle name="常规 2 2 3 2 7 3 2" xfId="17303"/>
    <cellStyle name="常规 2 2 3 2 7 3 2 2" xfId="36151"/>
    <cellStyle name="常规 2 2 3 2 7 3 3" xfId="26727"/>
    <cellStyle name="常规 2 2 3 2 7 4" xfId="11031"/>
    <cellStyle name="常规 2 2 3 2 7 4 2" xfId="29879"/>
    <cellStyle name="常规 2 2 3 2 7 5" xfId="20455"/>
    <cellStyle name="常规 2 2 3 2 8" xfId="2395"/>
    <cellStyle name="常规 2 2 3 2 8 2" xfId="5531"/>
    <cellStyle name="常规 2 2 3 2 8 2 2" xfId="14951"/>
    <cellStyle name="常规 2 2 3 2 8 2 2 2" xfId="33799"/>
    <cellStyle name="常规 2 2 3 2 8 2 3" xfId="24375"/>
    <cellStyle name="常规 2 2 3 2 8 3" xfId="8667"/>
    <cellStyle name="常规 2 2 3 2 8 3 2" xfId="18087"/>
    <cellStyle name="常规 2 2 3 2 8 3 2 2" xfId="36935"/>
    <cellStyle name="常规 2 2 3 2 8 3 3" xfId="27511"/>
    <cellStyle name="常规 2 2 3 2 8 4" xfId="11815"/>
    <cellStyle name="常规 2 2 3 2 8 4 2" xfId="30663"/>
    <cellStyle name="常规 2 2 3 2 8 5" xfId="21239"/>
    <cellStyle name="常规 2 2 3 2 9" xfId="3153"/>
    <cellStyle name="常规 2 2 3 2 9 2" xfId="12573"/>
    <cellStyle name="常规 2 2 3 2 9 2 2" xfId="31421"/>
    <cellStyle name="常规 2 2 3 2 9 3" xfId="21997"/>
    <cellStyle name="常规 2 2 3 3" xfId="47"/>
    <cellStyle name="常规 2 2 3 3 10" xfId="9470"/>
    <cellStyle name="常规 2 2 3 3 10 2" xfId="28315"/>
    <cellStyle name="常规 2 2 3 3 11" xfId="18893"/>
    <cellStyle name="常规 2 2 3 3 2" xfId="48"/>
    <cellStyle name="常规 2 2 3 3 2 10" xfId="18894"/>
    <cellStyle name="常规 2 2 3 3 2 2" xfId="49"/>
    <cellStyle name="常规 2 2 3 3 2 2 2" xfId="448"/>
    <cellStyle name="常规 2 2 3 3 2 2 2 2" xfId="1232"/>
    <cellStyle name="常规 2 2 3 3 2 2 2 2 2" xfId="4368"/>
    <cellStyle name="常规 2 2 3 3 2 2 2 2 2 2" xfId="13788"/>
    <cellStyle name="常规 2 2 3 3 2 2 2 2 2 2 2" xfId="32636"/>
    <cellStyle name="常规 2 2 3 3 2 2 2 2 2 3" xfId="23212"/>
    <cellStyle name="常规 2 2 3 3 2 2 2 2 3" xfId="7504"/>
    <cellStyle name="常规 2 2 3 3 2 2 2 2 3 2" xfId="16924"/>
    <cellStyle name="常规 2 2 3 3 2 2 2 2 3 2 2" xfId="35772"/>
    <cellStyle name="常规 2 2 3 3 2 2 2 2 3 3" xfId="26348"/>
    <cellStyle name="常规 2 2 3 3 2 2 2 2 4" xfId="10652"/>
    <cellStyle name="常规 2 2 3 3 2 2 2 2 4 2" xfId="29500"/>
    <cellStyle name="常规 2 2 3 3 2 2 2 2 5" xfId="20076"/>
    <cellStyle name="常规 2 2 3 3 2 2 2 3" xfId="2016"/>
    <cellStyle name="常规 2 2 3 3 2 2 2 3 2" xfId="5152"/>
    <cellStyle name="常规 2 2 3 3 2 2 2 3 2 2" xfId="14572"/>
    <cellStyle name="常规 2 2 3 3 2 2 2 3 2 2 2" xfId="33420"/>
    <cellStyle name="常规 2 2 3 3 2 2 2 3 2 3" xfId="23996"/>
    <cellStyle name="常规 2 2 3 3 2 2 2 3 3" xfId="8288"/>
    <cellStyle name="常规 2 2 3 3 2 2 2 3 3 2" xfId="17708"/>
    <cellStyle name="常规 2 2 3 3 2 2 2 3 3 2 2" xfId="36556"/>
    <cellStyle name="常规 2 2 3 3 2 2 2 3 3 3" xfId="27132"/>
    <cellStyle name="常规 2 2 3 3 2 2 2 3 4" xfId="11436"/>
    <cellStyle name="常规 2 2 3 3 2 2 2 3 4 2" xfId="30284"/>
    <cellStyle name="常规 2 2 3 3 2 2 2 3 5" xfId="20860"/>
    <cellStyle name="常规 2 2 3 3 2 2 2 4" xfId="2800"/>
    <cellStyle name="常规 2 2 3 3 2 2 2 4 2" xfId="5936"/>
    <cellStyle name="常规 2 2 3 3 2 2 2 4 2 2" xfId="15356"/>
    <cellStyle name="常规 2 2 3 3 2 2 2 4 2 2 2" xfId="34204"/>
    <cellStyle name="常规 2 2 3 3 2 2 2 4 2 3" xfId="24780"/>
    <cellStyle name="常规 2 2 3 3 2 2 2 4 3" xfId="9072"/>
    <cellStyle name="常规 2 2 3 3 2 2 2 4 3 2" xfId="18492"/>
    <cellStyle name="常规 2 2 3 3 2 2 2 4 3 2 2" xfId="37340"/>
    <cellStyle name="常规 2 2 3 3 2 2 2 4 3 3" xfId="27916"/>
    <cellStyle name="常规 2 2 3 3 2 2 2 4 4" xfId="12220"/>
    <cellStyle name="常规 2 2 3 3 2 2 2 4 4 2" xfId="31068"/>
    <cellStyle name="常规 2 2 3 3 2 2 2 4 5" xfId="21644"/>
    <cellStyle name="常规 2 2 3 3 2 2 2 5" xfId="3584"/>
    <cellStyle name="常规 2 2 3 3 2 2 2 5 2" xfId="13004"/>
    <cellStyle name="常规 2 2 3 3 2 2 2 5 2 2" xfId="31852"/>
    <cellStyle name="常规 2 2 3 3 2 2 2 5 3" xfId="22428"/>
    <cellStyle name="常规 2 2 3 3 2 2 2 6" xfId="6720"/>
    <cellStyle name="常规 2 2 3 3 2 2 2 6 2" xfId="16140"/>
    <cellStyle name="常规 2 2 3 3 2 2 2 6 2 2" xfId="34988"/>
    <cellStyle name="常规 2 2 3 3 2 2 2 6 3" xfId="25564"/>
    <cellStyle name="常规 2 2 3 3 2 2 2 7" xfId="9868"/>
    <cellStyle name="常规 2 2 3 3 2 2 2 7 2" xfId="28716"/>
    <cellStyle name="常规 2 2 3 3 2 2 2 8" xfId="19292"/>
    <cellStyle name="常规 2 2 3 3 2 2 3" xfId="837"/>
    <cellStyle name="常规 2 2 3 3 2 2 3 2" xfId="3973"/>
    <cellStyle name="常规 2 2 3 3 2 2 3 2 2" xfId="13393"/>
    <cellStyle name="常规 2 2 3 3 2 2 3 2 2 2" xfId="32241"/>
    <cellStyle name="常规 2 2 3 3 2 2 3 2 3" xfId="22817"/>
    <cellStyle name="常规 2 2 3 3 2 2 3 3" xfId="7109"/>
    <cellStyle name="常规 2 2 3 3 2 2 3 3 2" xfId="16529"/>
    <cellStyle name="常规 2 2 3 3 2 2 3 3 2 2" xfId="35377"/>
    <cellStyle name="常规 2 2 3 3 2 2 3 3 3" xfId="25953"/>
    <cellStyle name="常规 2 2 3 3 2 2 3 4" xfId="10257"/>
    <cellStyle name="常规 2 2 3 3 2 2 3 4 2" xfId="29105"/>
    <cellStyle name="常规 2 2 3 3 2 2 3 5" xfId="19681"/>
    <cellStyle name="常规 2 2 3 3 2 2 4" xfId="1621"/>
    <cellStyle name="常规 2 2 3 3 2 2 4 2" xfId="4757"/>
    <cellStyle name="常规 2 2 3 3 2 2 4 2 2" xfId="14177"/>
    <cellStyle name="常规 2 2 3 3 2 2 4 2 2 2" xfId="33025"/>
    <cellStyle name="常规 2 2 3 3 2 2 4 2 3" xfId="23601"/>
    <cellStyle name="常规 2 2 3 3 2 2 4 3" xfId="7893"/>
    <cellStyle name="常规 2 2 3 3 2 2 4 3 2" xfId="17313"/>
    <cellStyle name="常规 2 2 3 3 2 2 4 3 2 2" xfId="36161"/>
    <cellStyle name="常规 2 2 3 3 2 2 4 3 3" xfId="26737"/>
    <cellStyle name="常规 2 2 3 3 2 2 4 4" xfId="11041"/>
    <cellStyle name="常规 2 2 3 3 2 2 4 4 2" xfId="29889"/>
    <cellStyle name="常规 2 2 3 3 2 2 4 5" xfId="20465"/>
    <cellStyle name="常规 2 2 3 3 2 2 5" xfId="2405"/>
    <cellStyle name="常规 2 2 3 3 2 2 5 2" xfId="5541"/>
    <cellStyle name="常规 2 2 3 3 2 2 5 2 2" xfId="14961"/>
    <cellStyle name="常规 2 2 3 3 2 2 5 2 2 2" xfId="33809"/>
    <cellStyle name="常规 2 2 3 3 2 2 5 2 3" xfId="24385"/>
    <cellStyle name="常规 2 2 3 3 2 2 5 3" xfId="8677"/>
    <cellStyle name="常规 2 2 3 3 2 2 5 3 2" xfId="18097"/>
    <cellStyle name="常规 2 2 3 3 2 2 5 3 2 2" xfId="36945"/>
    <cellStyle name="常规 2 2 3 3 2 2 5 3 3" xfId="27521"/>
    <cellStyle name="常规 2 2 3 3 2 2 5 4" xfId="11825"/>
    <cellStyle name="常规 2 2 3 3 2 2 5 4 2" xfId="30673"/>
    <cellStyle name="常规 2 2 3 3 2 2 5 5" xfId="21249"/>
    <cellStyle name="常规 2 2 3 3 2 2 6" xfId="3258"/>
    <cellStyle name="常规 2 2 3 3 2 2 6 2" xfId="12678"/>
    <cellStyle name="常规 2 2 3 3 2 2 6 2 2" xfId="31526"/>
    <cellStyle name="常规 2 2 3 3 2 2 6 3" xfId="22102"/>
    <cellStyle name="常规 2 2 3 3 2 2 7" xfId="6325"/>
    <cellStyle name="常规 2 2 3 3 2 2 7 2" xfId="15745"/>
    <cellStyle name="常规 2 2 3 3 2 2 7 2 2" xfId="34593"/>
    <cellStyle name="常规 2 2 3 3 2 2 7 3" xfId="25169"/>
    <cellStyle name="常规 2 2 3 3 2 2 8" xfId="9472"/>
    <cellStyle name="常规 2 2 3 3 2 2 8 2" xfId="28317"/>
    <cellStyle name="常规 2 2 3 3 2 2 9" xfId="18895"/>
    <cellStyle name="常规 2 2 3 3 2 3" xfId="447"/>
    <cellStyle name="常规 2 2 3 3 2 3 2" xfId="1231"/>
    <cellStyle name="常规 2 2 3 3 2 3 2 2" xfId="4367"/>
    <cellStyle name="常规 2 2 3 3 2 3 2 2 2" xfId="13787"/>
    <cellStyle name="常规 2 2 3 3 2 3 2 2 2 2" xfId="32635"/>
    <cellStyle name="常规 2 2 3 3 2 3 2 2 3" xfId="23211"/>
    <cellStyle name="常规 2 2 3 3 2 3 2 3" xfId="7503"/>
    <cellStyle name="常规 2 2 3 3 2 3 2 3 2" xfId="16923"/>
    <cellStyle name="常规 2 2 3 3 2 3 2 3 2 2" xfId="35771"/>
    <cellStyle name="常规 2 2 3 3 2 3 2 3 3" xfId="26347"/>
    <cellStyle name="常规 2 2 3 3 2 3 2 4" xfId="10651"/>
    <cellStyle name="常规 2 2 3 3 2 3 2 4 2" xfId="29499"/>
    <cellStyle name="常规 2 2 3 3 2 3 2 5" xfId="20075"/>
    <cellStyle name="常规 2 2 3 3 2 3 3" xfId="2015"/>
    <cellStyle name="常规 2 2 3 3 2 3 3 2" xfId="5151"/>
    <cellStyle name="常规 2 2 3 3 2 3 3 2 2" xfId="14571"/>
    <cellStyle name="常规 2 2 3 3 2 3 3 2 2 2" xfId="33419"/>
    <cellStyle name="常规 2 2 3 3 2 3 3 2 3" xfId="23995"/>
    <cellStyle name="常规 2 2 3 3 2 3 3 3" xfId="8287"/>
    <cellStyle name="常规 2 2 3 3 2 3 3 3 2" xfId="17707"/>
    <cellStyle name="常规 2 2 3 3 2 3 3 3 2 2" xfId="36555"/>
    <cellStyle name="常规 2 2 3 3 2 3 3 3 3" xfId="27131"/>
    <cellStyle name="常规 2 2 3 3 2 3 3 4" xfId="11435"/>
    <cellStyle name="常规 2 2 3 3 2 3 3 4 2" xfId="30283"/>
    <cellStyle name="常规 2 2 3 3 2 3 3 5" xfId="20859"/>
    <cellStyle name="常规 2 2 3 3 2 3 4" xfId="2799"/>
    <cellStyle name="常规 2 2 3 3 2 3 4 2" xfId="5935"/>
    <cellStyle name="常规 2 2 3 3 2 3 4 2 2" xfId="15355"/>
    <cellStyle name="常规 2 2 3 3 2 3 4 2 2 2" xfId="34203"/>
    <cellStyle name="常规 2 2 3 3 2 3 4 2 3" xfId="24779"/>
    <cellStyle name="常规 2 2 3 3 2 3 4 3" xfId="9071"/>
    <cellStyle name="常规 2 2 3 3 2 3 4 3 2" xfId="18491"/>
    <cellStyle name="常规 2 2 3 3 2 3 4 3 2 2" xfId="37339"/>
    <cellStyle name="常规 2 2 3 3 2 3 4 3 3" xfId="27915"/>
    <cellStyle name="常规 2 2 3 3 2 3 4 4" xfId="12219"/>
    <cellStyle name="常规 2 2 3 3 2 3 4 4 2" xfId="31067"/>
    <cellStyle name="常规 2 2 3 3 2 3 4 5" xfId="21643"/>
    <cellStyle name="常规 2 2 3 3 2 3 5" xfId="3583"/>
    <cellStyle name="常规 2 2 3 3 2 3 5 2" xfId="13003"/>
    <cellStyle name="常规 2 2 3 3 2 3 5 2 2" xfId="31851"/>
    <cellStyle name="常规 2 2 3 3 2 3 5 3" xfId="22427"/>
    <cellStyle name="常规 2 2 3 3 2 3 6" xfId="6719"/>
    <cellStyle name="常规 2 2 3 3 2 3 6 2" xfId="16139"/>
    <cellStyle name="常规 2 2 3 3 2 3 6 2 2" xfId="34987"/>
    <cellStyle name="常规 2 2 3 3 2 3 6 3" xfId="25563"/>
    <cellStyle name="常规 2 2 3 3 2 3 7" xfId="9867"/>
    <cellStyle name="常规 2 2 3 3 2 3 7 2" xfId="28715"/>
    <cellStyle name="常规 2 2 3 3 2 3 8" xfId="19291"/>
    <cellStyle name="常规 2 2 3 3 2 4" xfId="836"/>
    <cellStyle name="常规 2 2 3 3 2 4 2" xfId="3972"/>
    <cellStyle name="常规 2 2 3 3 2 4 2 2" xfId="13392"/>
    <cellStyle name="常规 2 2 3 3 2 4 2 2 2" xfId="32240"/>
    <cellStyle name="常规 2 2 3 3 2 4 2 3" xfId="22816"/>
    <cellStyle name="常规 2 2 3 3 2 4 3" xfId="7108"/>
    <cellStyle name="常规 2 2 3 3 2 4 3 2" xfId="16528"/>
    <cellStyle name="常规 2 2 3 3 2 4 3 2 2" xfId="35376"/>
    <cellStyle name="常规 2 2 3 3 2 4 3 3" xfId="25952"/>
    <cellStyle name="常规 2 2 3 3 2 4 4" xfId="10256"/>
    <cellStyle name="常规 2 2 3 3 2 4 4 2" xfId="29104"/>
    <cellStyle name="常规 2 2 3 3 2 4 5" xfId="19680"/>
    <cellStyle name="常规 2 2 3 3 2 5" xfId="1620"/>
    <cellStyle name="常规 2 2 3 3 2 5 2" xfId="4756"/>
    <cellStyle name="常规 2 2 3 3 2 5 2 2" xfId="14176"/>
    <cellStyle name="常规 2 2 3 3 2 5 2 2 2" xfId="33024"/>
    <cellStyle name="常规 2 2 3 3 2 5 2 3" xfId="23600"/>
    <cellStyle name="常规 2 2 3 3 2 5 3" xfId="7892"/>
    <cellStyle name="常规 2 2 3 3 2 5 3 2" xfId="17312"/>
    <cellStyle name="常规 2 2 3 3 2 5 3 2 2" xfId="36160"/>
    <cellStyle name="常规 2 2 3 3 2 5 3 3" xfId="26736"/>
    <cellStyle name="常规 2 2 3 3 2 5 4" xfId="11040"/>
    <cellStyle name="常规 2 2 3 3 2 5 4 2" xfId="29888"/>
    <cellStyle name="常规 2 2 3 3 2 5 5" xfId="20464"/>
    <cellStyle name="常规 2 2 3 3 2 6" xfId="2404"/>
    <cellStyle name="常规 2 2 3 3 2 6 2" xfId="5540"/>
    <cellStyle name="常规 2 2 3 3 2 6 2 2" xfId="14960"/>
    <cellStyle name="常规 2 2 3 3 2 6 2 2 2" xfId="33808"/>
    <cellStyle name="常规 2 2 3 3 2 6 2 3" xfId="24384"/>
    <cellStyle name="常规 2 2 3 3 2 6 3" xfId="8676"/>
    <cellStyle name="常规 2 2 3 3 2 6 3 2" xfId="18096"/>
    <cellStyle name="常规 2 2 3 3 2 6 3 2 2" xfId="36944"/>
    <cellStyle name="常规 2 2 3 3 2 6 3 3" xfId="27520"/>
    <cellStyle name="常规 2 2 3 3 2 6 4" xfId="11824"/>
    <cellStyle name="常规 2 2 3 3 2 6 4 2" xfId="30672"/>
    <cellStyle name="常规 2 2 3 3 2 6 5" xfId="21248"/>
    <cellStyle name="常规 2 2 3 3 2 7" xfId="3259"/>
    <cellStyle name="常规 2 2 3 3 2 7 2" xfId="12679"/>
    <cellStyle name="常规 2 2 3 3 2 7 2 2" xfId="31527"/>
    <cellStyle name="常规 2 2 3 3 2 7 3" xfId="22103"/>
    <cellStyle name="常规 2 2 3 3 2 8" xfId="6324"/>
    <cellStyle name="常规 2 2 3 3 2 8 2" xfId="15744"/>
    <cellStyle name="常规 2 2 3 3 2 8 2 2" xfId="34592"/>
    <cellStyle name="常规 2 2 3 3 2 8 3" xfId="25168"/>
    <cellStyle name="常规 2 2 3 3 2 9" xfId="9471"/>
    <cellStyle name="常规 2 2 3 3 2 9 2" xfId="28316"/>
    <cellStyle name="常规 2 2 3 3 3" xfId="50"/>
    <cellStyle name="常规 2 2 3 3 3 2" xfId="449"/>
    <cellStyle name="常规 2 2 3 3 3 2 2" xfId="1233"/>
    <cellStyle name="常规 2 2 3 3 3 2 2 2" xfId="4369"/>
    <cellStyle name="常规 2 2 3 3 3 2 2 2 2" xfId="13789"/>
    <cellStyle name="常规 2 2 3 3 3 2 2 2 2 2" xfId="32637"/>
    <cellStyle name="常规 2 2 3 3 3 2 2 2 3" xfId="23213"/>
    <cellStyle name="常规 2 2 3 3 3 2 2 3" xfId="7505"/>
    <cellStyle name="常规 2 2 3 3 3 2 2 3 2" xfId="16925"/>
    <cellStyle name="常规 2 2 3 3 3 2 2 3 2 2" xfId="35773"/>
    <cellStyle name="常规 2 2 3 3 3 2 2 3 3" xfId="26349"/>
    <cellStyle name="常规 2 2 3 3 3 2 2 4" xfId="10653"/>
    <cellStyle name="常规 2 2 3 3 3 2 2 4 2" xfId="29501"/>
    <cellStyle name="常规 2 2 3 3 3 2 2 5" xfId="20077"/>
    <cellStyle name="常规 2 2 3 3 3 2 3" xfId="2017"/>
    <cellStyle name="常规 2 2 3 3 3 2 3 2" xfId="5153"/>
    <cellStyle name="常规 2 2 3 3 3 2 3 2 2" xfId="14573"/>
    <cellStyle name="常规 2 2 3 3 3 2 3 2 2 2" xfId="33421"/>
    <cellStyle name="常规 2 2 3 3 3 2 3 2 3" xfId="23997"/>
    <cellStyle name="常规 2 2 3 3 3 2 3 3" xfId="8289"/>
    <cellStyle name="常规 2 2 3 3 3 2 3 3 2" xfId="17709"/>
    <cellStyle name="常规 2 2 3 3 3 2 3 3 2 2" xfId="36557"/>
    <cellStyle name="常规 2 2 3 3 3 2 3 3 3" xfId="27133"/>
    <cellStyle name="常规 2 2 3 3 3 2 3 4" xfId="11437"/>
    <cellStyle name="常规 2 2 3 3 3 2 3 4 2" xfId="30285"/>
    <cellStyle name="常规 2 2 3 3 3 2 3 5" xfId="20861"/>
    <cellStyle name="常规 2 2 3 3 3 2 4" xfId="2801"/>
    <cellStyle name="常规 2 2 3 3 3 2 4 2" xfId="5937"/>
    <cellStyle name="常规 2 2 3 3 3 2 4 2 2" xfId="15357"/>
    <cellStyle name="常规 2 2 3 3 3 2 4 2 2 2" xfId="34205"/>
    <cellStyle name="常规 2 2 3 3 3 2 4 2 3" xfId="24781"/>
    <cellStyle name="常规 2 2 3 3 3 2 4 3" xfId="9073"/>
    <cellStyle name="常规 2 2 3 3 3 2 4 3 2" xfId="18493"/>
    <cellStyle name="常规 2 2 3 3 3 2 4 3 2 2" xfId="37341"/>
    <cellStyle name="常规 2 2 3 3 3 2 4 3 3" xfId="27917"/>
    <cellStyle name="常规 2 2 3 3 3 2 4 4" xfId="12221"/>
    <cellStyle name="常规 2 2 3 3 3 2 4 4 2" xfId="31069"/>
    <cellStyle name="常规 2 2 3 3 3 2 4 5" xfId="21645"/>
    <cellStyle name="常规 2 2 3 3 3 2 5" xfId="3585"/>
    <cellStyle name="常规 2 2 3 3 3 2 5 2" xfId="13005"/>
    <cellStyle name="常规 2 2 3 3 3 2 5 2 2" xfId="31853"/>
    <cellStyle name="常规 2 2 3 3 3 2 5 3" xfId="22429"/>
    <cellStyle name="常规 2 2 3 3 3 2 6" xfId="6721"/>
    <cellStyle name="常规 2 2 3 3 3 2 6 2" xfId="16141"/>
    <cellStyle name="常规 2 2 3 3 3 2 6 2 2" xfId="34989"/>
    <cellStyle name="常规 2 2 3 3 3 2 6 3" xfId="25565"/>
    <cellStyle name="常规 2 2 3 3 3 2 7" xfId="9869"/>
    <cellStyle name="常规 2 2 3 3 3 2 7 2" xfId="28717"/>
    <cellStyle name="常规 2 2 3 3 3 2 8" xfId="19293"/>
    <cellStyle name="常规 2 2 3 3 3 3" xfId="838"/>
    <cellStyle name="常规 2 2 3 3 3 3 2" xfId="3974"/>
    <cellStyle name="常规 2 2 3 3 3 3 2 2" xfId="13394"/>
    <cellStyle name="常规 2 2 3 3 3 3 2 2 2" xfId="32242"/>
    <cellStyle name="常规 2 2 3 3 3 3 2 3" xfId="22818"/>
    <cellStyle name="常规 2 2 3 3 3 3 3" xfId="7110"/>
    <cellStyle name="常规 2 2 3 3 3 3 3 2" xfId="16530"/>
    <cellStyle name="常规 2 2 3 3 3 3 3 2 2" xfId="35378"/>
    <cellStyle name="常规 2 2 3 3 3 3 3 3" xfId="25954"/>
    <cellStyle name="常规 2 2 3 3 3 3 4" xfId="10258"/>
    <cellStyle name="常规 2 2 3 3 3 3 4 2" xfId="29106"/>
    <cellStyle name="常规 2 2 3 3 3 3 5" xfId="19682"/>
    <cellStyle name="常规 2 2 3 3 3 4" xfId="1622"/>
    <cellStyle name="常规 2 2 3 3 3 4 2" xfId="4758"/>
    <cellStyle name="常规 2 2 3 3 3 4 2 2" xfId="14178"/>
    <cellStyle name="常规 2 2 3 3 3 4 2 2 2" xfId="33026"/>
    <cellStyle name="常规 2 2 3 3 3 4 2 3" xfId="23602"/>
    <cellStyle name="常规 2 2 3 3 3 4 3" xfId="7894"/>
    <cellStyle name="常规 2 2 3 3 3 4 3 2" xfId="17314"/>
    <cellStyle name="常规 2 2 3 3 3 4 3 2 2" xfId="36162"/>
    <cellStyle name="常规 2 2 3 3 3 4 3 3" xfId="26738"/>
    <cellStyle name="常规 2 2 3 3 3 4 4" xfId="11042"/>
    <cellStyle name="常规 2 2 3 3 3 4 4 2" xfId="29890"/>
    <cellStyle name="常规 2 2 3 3 3 4 5" xfId="20466"/>
    <cellStyle name="常规 2 2 3 3 3 5" xfId="2406"/>
    <cellStyle name="常规 2 2 3 3 3 5 2" xfId="5542"/>
    <cellStyle name="常规 2 2 3 3 3 5 2 2" xfId="14962"/>
    <cellStyle name="常规 2 2 3 3 3 5 2 2 2" xfId="33810"/>
    <cellStyle name="常规 2 2 3 3 3 5 2 3" xfId="24386"/>
    <cellStyle name="常规 2 2 3 3 3 5 3" xfId="8678"/>
    <cellStyle name="常规 2 2 3 3 3 5 3 2" xfId="18098"/>
    <cellStyle name="常规 2 2 3 3 3 5 3 2 2" xfId="36946"/>
    <cellStyle name="常规 2 2 3 3 3 5 3 3" xfId="27522"/>
    <cellStyle name="常规 2 2 3 3 3 5 4" xfId="11826"/>
    <cellStyle name="常规 2 2 3 3 3 5 4 2" xfId="30674"/>
    <cellStyle name="常规 2 2 3 3 3 5 5" xfId="21250"/>
    <cellStyle name="常规 2 2 3 3 3 6" xfId="3273"/>
    <cellStyle name="常规 2 2 3 3 3 6 2" xfId="12693"/>
    <cellStyle name="常规 2 2 3 3 3 6 2 2" xfId="31541"/>
    <cellStyle name="常规 2 2 3 3 3 6 3" xfId="22117"/>
    <cellStyle name="常规 2 2 3 3 3 7" xfId="6326"/>
    <cellStyle name="常规 2 2 3 3 3 7 2" xfId="15746"/>
    <cellStyle name="常规 2 2 3 3 3 7 2 2" xfId="34594"/>
    <cellStyle name="常规 2 2 3 3 3 7 3" xfId="25170"/>
    <cellStyle name="常规 2 2 3 3 3 8" xfId="9473"/>
    <cellStyle name="常规 2 2 3 3 3 8 2" xfId="28318"/>
    <cellStyle name="常规 2 2 3 3 3 9" xfId="18896"/>
    <cellStyle name="常规 2 2 3 3 4" xfId="446"/>
    <cellStyle name="常规 2 2 3 3 4 2" xfId="1230"/>
    <cellStyle name="常规 2 2 3 3 4 2 2" xfId="4366"/>
    <cellStyle name="常规 2 2 3 3 4 2 2 2" xfId="13786"/>
    <cellStyle name="常规 2 2 3 3 4 2 2 2 2" xfId="32634"/>
    <cellStyle name="常规 2 2 3 3 4 2 2 3" xfId="23210"/>
    <cellStyle name="常规 2 2 3 3 4 2 3" xfId="7502"/>
    <cellStyle name="常规 2 2 3 3 4 2 3 2" xfId="16922"/>
    <cellStyle name="常规 2 2 3 3 4 2 3 2 2" xfId="35770"/>
    <cellStyle name="常规 2 2 3 3 4 2 3 3" xfId="26346"/>
    <cellStyle name="常规 2 2 3 3 4 2 4" xfId="10650"/>
    <cellStyle name="常规 2 2 3 3 4 2 4 2" xfId="29498"/>
    <cellStyle name="常规 2 2 3 3 4 2 5" xfId="20074"/>
    <cellStyle name="常规 2 2 3 3 4 3" xfId="2014"/>
    <cellStyle name="常规 2 2 3 3 4 3 2" xfId="5150"/>
    <cellStyle name="常规 2 2 3 3 4 3 2 2" xfId="14570"/>
    <cellStyle name="常规 2 2 3 3 4 3 2 2 2" xfId="33418"/>
    <cellStyle name="常规 2 2 3 3 4 3 2 3" xfId="23994"/>
    <cellStyle name="常规 2 2 3 3 4 3 3" xfId="8286"/>
    <cellStyle name="常规 2 2 3 3 4 3 3 2" xfId="17706"/>
    <cellStyle name="常规 2 2 3 3 4 3 3 2 2" xfId="36554"/>
    <cellStyle name="常规 2 2 3 3 4 3 3 3" xfId="27130"/>
    <cellStyle name="常规 2 2 3 3 4 3 4" xfId="11434"/>
    <cellStyle name="常规 2 2 3 3 4 3 4 2" xfId="30282"/>
    <cellStyle name="常规 2 2 3 3 4 3 5" xfId="20858"/>
    <cellStyle name="常规 2 2 3 3 4 4" xfId="2798"/>
    <cellStyle name="常规 2 2 3 3 4 4 2" xfId="5934"/>
    <cellStyle name="常规 2 2 3 3 4 4 2 2" xfId="15354"/>
    <cellStyle name="常规 2 2 3 3 4 4 2 2 2" xfId="34202"/>
    <cellStyle name="常规 2 2 3 3 4 4 2 3" xfId="24778"/>
    <cellStyle name="常规 2 2 3 3 4 4 3" xfId="9070"/>
    <cellStyle name="常规 2 2 3 3 4 4 3 2" xfId="18490"/>
    <cellStyle name="常规 2 2 3 3 4 4 3 2 2" xfId="37338"/>
    <cellStyle name="常规 2 2 3 3 4 4 3 3" xfId="27914"/>
    <cellStyle name="常规 2 2 3 3 4 4 4" xfId="12218"/>
    <cellStyle name="常规 2 2 3 3 4 4 4 2" xfId="31066"/>
    <cellStyle name="常规 2 2 3 3 4 4 5" xfId="21642"/>
    <cellStyle name="常规 2 2 3 3 4 5" xfId="3582"/>
    <cellStyle name="常规 2 2 3 3 4 5 2" xfId="13002"/>
    <cellStyle name="常规 2 2 3 3 4 5 2 2" xfId="31850"/>
    <cellStyle name="常规 2 2 3 3 4 5 3" xfId="22426"/>
    <cellStyle name="常规 2 2 3 3 4 6" xfId="6718"/>
    <cellStyle name="常规 2 2 3 3 4 6 2" xfId="16138"/>
    <cellStyle name="常规 2 2 3 3 4 6 2 2" xfId="34986"/>
    <cellStyle name="常规 2 2 3 3 4 6 3" xfId="25562"/>
    <cellStyle name="常规 2 2 3 3 4 7" xfId="9866"/>
    <cellStyle name="常规 2 2 3 3 4 7 2" xfId="28714"/>
    <cellStyle name="常规 2 2 3 3 4 8" xfId="19290"/>
    <cellStyle name="常规 2 2 3 3 5" xfId="835"/>
    <cellStyle name="常规 2 2 3 3 5 2" xfId="3971"/>
    <cellStyle name="常规 2 2 3 3 5 2 2" xfId="13391"/>
    <cellStyle name="常规 2 2 3 3 5 2 2 2" xfId="32239"/>
    <cellStyle name="常规 2 2 3 3 5 2 3" xfId="22815"/>
    <cellStyle name="常规 2 2 3 3 5 3" xfId="7107"/>
    <cellStyle name="常规 2 2 3 3 5 3 2" xfId="16527"/>
    <cellStyle name="常规 2 2 3 3 5 3 2 2" xfId="35375"/>
    <cellStyle name="常规 2 2 3 3 5 3 3" xfId="25951"/>
    <cellStyle name="常规 2 2 3 3 5 4" xfId="10255"/>
    <cellStyle name="常规 2 2 3 3 5 4 2" xfId="29103"/>
    <cellStyle name="常规 2 2 3 3 5 5" xfId="19679"/>
    <cellStyle name="常规 2 2 3 3 6" xfId="1619"/>
    <cellStyle name="常规 2 2 3 3 6 2" xfId="4755"/>
    <cellStyle name="常规 2 2 3 3 6 2 2" xfId="14175"/>
    <cellStyle name="常规 2 2 3 3 6 2 2 2" xfId="33023"/>
    <cellStyle name="常规 2 2 3 3 6 2 3" xfId="23599"/>
    <cellStyle name="常规 2 2 3 3 6 3" xfId="7891"/>
    <cellStyle name="常规 2 2 3 3 6 3 2" xfId="17311"/>
    <cellStyle name="常规 2 2 3 3 6 3 2 2" xfId="36159"/>
    <cellStyle name="常规 2 2 3 3 6 3 3" xfId="26735"/>
    <cellStyle name="常规 2 2 3 3 6 4" xfId="11039"/>
    <cellStyle name="常规 2 2 3 3 6 4 2" xfId="29887"/>
    <cellStyle name="常规 2 2 3 3 6 5" xfId="20463"/>
    <cellStyle name="常规 2 2 3 3 7" xfId="2403"/>
    <cellStyle name="常规 2 2 3 3 7 2" xfId="5539"/>
    <cellStyle name="常规 2 2 3 3 7 2 2" xfId="14959"/>
    <cellStyle name="常规 2 2 3 3 7 2 2 2" xfId="33807"/>
    <cellStyle name="常规 2 2 3 3 7 2 3" xfId="24383"/>
    <cellStyle name="常规 2 2 3 3 7 3" xfId="8675"/>
    <cellStyle name="常规 2 2 3 3 7 3 2" xfId="18095"/>
    <cellStyle name="常规 2 2 3 3 7 3 2 2" xfId="36943"/>
    <cellStyle name="常规 2 2 3 3 7 3 3" xfId="27519"/>
    <cellStyle name="常规 2 2 3 3 7 4" xfId="11823"/>
    <cellStyle name="常规 2 2 3 3 7 4 2" xfId="30671"/>
    <cellStyle name="常规 2 2 3 3 7 5" xfId="21247"/>
    <cellStyle name="常规 2 2 3 3 8" xfId="3198"/>
    <cellStyle name="常规 2 2 3 3 8 2" xfId="12618"/>
    <cellStyle name="常规 2 2 3 3 8 2 2" xfId="31466"/>
    <cellStyle name="常规 2 2 3 3 8 3" xfId="22042"/>
    <cellStyle name="常规 2 2 3 3 9" xfId="6323"/>
    <cellStyle name="常规 2 2 3 3 9 2" xfId="15743"/>
    <cellStyle name="常规 2 2 3 3 9 2 2" xfId="34591"/>
    <cellStyle name="常规 2 2 3 3 9 3" xfId="25167"/>
    <cellStyle name="常规 2 2 3 4" xfId="51"/>
    <cellStyle name="常规 2 2 3 4 10" xfId="18897"/>
    <cellStyle name="常规 2 2 3 4 2" xfId="52"/>
    <cellStyle name="常规 2 2 3 4 2 2" xfId="451"/>
    <cellStyle name="常规 2 2 3 4 2 2 2" xfId="1235"/>
    <cellStyle name="常规 2 2 3 4 2 2 2 2" xfId="4371"/>
    <cellStyle name="常规 2 2 3 4 2 2 2 2 2" xfId="13791"/>
    <cellStyle name="常规 2 2 3 4 2 2 2 2 2 2" xfId="32639"/>
    <cellStyle name="常规 2 2 3 4 2 2 2 2 3" xfId="23215"/>
    <cellStyle name="常规 2 2 3 4 2 2 2 3" xfId="7507"/>
    <cellStyle name="常规 2 2 3 4 2 2 2 3 2" xfId="16927"/>
    <cellStyle name="常规 2 2 3 4 2 2 2 3 2 2" xfId="35775"/>
    <cellStyle name="常规 2 2 3 4 2 2 2 3 3" xfId="26351"/>
    <cellStyle name="常规 2 2 3 4 2 2 2 4" xfId="10655"/>
    <cellStyle name="常规 2 2 3 4 2 2 2 4 2" xfId="29503"/>
    <cellStyle name="常规 2 2 3 4 2 2 2 5" xfId="20079"/>
    <cellStyle name="常规 2 2 3 4 2 2 3" xfId="2019"/>
    <cellStyle name="常规 2 2 3 4 2 2 3 2" xfId="5155"/>
    <cellStyle name="常规 2 2 3 4 2 2 3 2 2" xfId="14575"/>
    <cellStyle name="常规 2 2 3 4 2 2 3 2 2 2" xfId="33423"/>
    <cellStyle name="常规 2 2 3 4 2 2 3 2 3" xfId="23999"/>
    <cellStyle name="常规 2 2 3 4 2 2 3 3" xfId="8291"/>
    <cellStyle name="常规 2 2 3 4 2 2 3 3 2" xfId="17711"/>
    <cellStyle name="常规 2 2 3 4 2 2 3 3 2 2" xfId="36559"/>
    <cellStyle name="常规 2 2 3 4 2 2 3 3 3" xfId="27135"/>
    <cellStyle name="常规 2 2 3 4 2 2 3 4" xfId="11439"/>
    <cellStyle name="常规 2 2 3 4 2 2 3 4 2" xfId="30287"/>
    <cellStyle name="常规 2 2 3 4 2 2 3 5" xfId="20863"/>
    <cellStyle name="常规 2 2 3 4 2 2 4" xfId="2803"/>
    <cellStyle name="常规 2 2 3 4 2 2 4 2" xfId="5939"/>
    <cellStyle name="常规 2 2 3 4 2 2 4 2 2" xfId="15359"/>
    <cellStyle name="常规 2 2 3 4 2 2 4 2 2 2" xfId="34207"/>
    <cellStyle name="常规 2 2 3 4 2 2 4 2 3" xfId="24783"/>
    <cellStyle name="常规 2 2 3 4 2 2 4 3" xfId="9075"/>
    <cellStyle name="常规 2 2 3 4 2 2 4 3 2" xfId="18495"/>
    <cellStyle name="常规 2 2 3 4 2 2 4 3 2 2" xfId="37343"/>
    <cellStyle name="常规 2 2 3 4 2 2 4 3 3" xfId="27919"/>
    <cellStyle name="常规 2 2 3 4 2 2 4 4" xfId="12223"/>
    <cellStyle name="常规 2 2 3 4 2 2 4 4 2" xfId="31071"/>
    <cellStyle name="常规 2 2 3 4 2 2 4 5" xfId="21647"/>
    <cellStyle name="常规 2 2 3 4 2 2 5" xfId="3587"/>
    <cellStyle name="常规 2 2 3 4 2 2 5 2" xfId="13007"/>
    <cellStyle name="常规 2 2 3 4 2 2 5 2 2" xfId="31855"/>
    <cellStyle name="常规 2 2 3 4 2 2 5 3" xfId="22431"/>
    <cellStyle name="常规 2 2 3 4 2 2 6" xfId="6723"/>
    <cellStyle name="常规 2 2 3 4 2 2 6 2" xfId="16143"/>
    <cellStyle name="常规 2 2 3 4 2 2 6 2 2" xfId="34991"/>
    <cellStyle name="常规 2 2 3 4 2 2 6 3" xfId="25567"/>
    <cellStyle name="常规 2 2 3 4 2 2 7" xfId="9871"/>
    <cellStyle name="常规 2 2 3 4 2 2 7 2" xfId="28719"/>
    <cellStyle name="常规 2 2 3 4 2 2 8" xfId="19295"/>
    <cellStyle name="常规 2 2 3 4 2 3" xfId="840"/>
    <cellStyle name="常规 2 2 3 4 2 3 2" xfId="3976"/>
    <cellStyle name="常规 2 2 3 4 2 3 2 2" xfId="13396"/>
    <cellStyle name="常规 2 2 3 4 2 3 2 2 2" xfId="32244"/>
    <cellStyle name="常规 2 2 3 4 2 3 2 3" xfId="22820"/>
    <cellStyle name="常规 2 2 3 4 2 3 3" xfId="7112"/>
    <cellStyle name="常规 2 2 3 4 2 3 3 2" xfId="16532"/>
    <cellStyle name="常规 2 2 3 4 2 3 3 2 2" xfId="35380"/>
    <cellStyle name="常规 2 2 3 4 2 3 3 3" xfId="25956"/>
    <cellStyle name="常规 2 2 3 4 2 3 4" xfId="10260"/>
    <cellStyle name="常规 2 2 3 4 2 3 4 2" xfId="29108"/>
    <cellStyle name="常规 2 2 3 4 2 3 5" xfId="19684"/>
    <cellStyle name="常规 2 2 3 4 2 4" xfId="1624"/>
    <cellStyle name="常规 2 2 3 4 2 4 2" xfId="4760"/>
    <cellStyle name="常规 2 2 3 4 2 4 2 2" xfId="14180"/>
    <cellStyle name="常规 2 2 3 4 2 4 2 2 2" xfId="33028"/>
    <cellStyle name="常规 2 2 3 4 2 4 2 3" xfId="23604"/>
    <cellStyle name="常规 2 2 3 4 2 4 3" xfId="7896"/>
    <cellStyle name="常规 2 2 3 4 2 4 3 2" xfId="17316"/>
    <cellStyle name="常规 2 2 3 4 2 4 3 2 2" xfId="36164"/>
    <cellStyle name="常规 2 2 3 4 2 4 3 3" xfId="26740"/>
    <cellStyle name="常规 2 2 3 4 2 4 4" xfId="11044"/>
    <cellStyle name="常规 2 2 3 4 2 4 4 2" xfId="29892"/>
    <cellStyle name="常规 2 2 3 4 2 4 5" xfId="20468"/>
    <cellStyle name="常规 2 2 3 4 2 5" xfId="2408"/>
    <cellStyle name="常规 2 2 3 4 2 5 2" xfId="5544"/>
    <cellStyle name="常规 2 2 3 4 2 5 2 2" xfId="14964"/>
    <cellStyle name="常规 2 2 3 4 2 5 2 2 2" xfId="33812"/>
    <cellStyle name="常规 2 2 3 4 2 5 2 3" xfId="24388"/>
    <cellStyle name="常规 2 2 3 4 2 5 3" xfId="8680"/>
    <cellStyle name="常规 2 2 3 4 2 5 3 2" xfId="18100"/>
    <cellStyle name="常规 2 2 3 4 2 5 3 2 2" xfId="36948"/>
    <cellStyle name="常规 2 2 3 4 2 5 3 3" xfId="27524"/>
    <cellStyle name="常规 2 2 3 4 2 5 4" xfId="11828"/>
    <cellStyle name="常规 2 2 3 4 2 5 4 2" xfId="30676"/>
    <cellStyle name="常规 2 2 3 4 2 5 5" xfId="21252"/>
    <cellStyle name="常规 2 2 3 4 2 6" xfId="3280"/>
    <cellStyle name="常规 2 2 3 4 2 6 2" xfId="12700"/>
    <cellStyle name="常规 2 2 3 4 2 6 2 2" xfId="31548"/>
    <cellStyle name="常规 2 2 3 4 2 6 3" xfId="22124"/>
    <cellStyle name="常规 2 2 3 4 2 7" xfId="6328"/>
    <cellStyle name="常规 2 2 3 4 2 7 2" xfId="15748"/>
    <cellStyle name="常规 2 2 3 4 2 7 2 2" xfId="34596"/>
    <cellStyle name="常规 2 2 3 4 2 7 3" xfId="25172"/>
    <cellStyle name="常规 2 2 3 4 2 8" xfId="9475"/>
    <cellStyle name="常规 2 2 3 4 2 8 2" xfId="28320"/>
    <cellStyle name="常规 2 2 3 4 2 9" xfId="18898"/>
    <cellStyle name="常规 2 2 3 4 3" xfId="450"/>
    <cellStyle name="常规 2 2 3 4 3 2" xfId="1234"/>
    <cellStyle name="常规 2 2 3 4 3 2 2" xfId="4370"/>
    <cellStyle name="常规 2 2 3 4 3 2 2 2" xfId="13790"/>
    <cellStyle name="常规 2 2 3 4 3 2 2 2 2" xfId="32638"/>
    <cellStyle name="常规 2 2 3 4 3 2 2 3" xfId="23214"/>
    <cellStyle name="常规 2 2 3 4 3 2 3" xfId="7506"/>
    <cellStyle name="常规 2 2 3 4 3 2 3 2" xfId="16926"/>
    <cellStyle name="常规 2 2 3 4 3 2 3 2 2" xfId="35774"/>
    <cellStyle name="常规 2 2 3 4 3 2 3 3" xfId="26350"/>
    <cellStyle name="常规 2 2 3 4 3 2 4" xfId="10654"/>
    <cellStyle name="常规 2 2 3 4 3 2 4 2" xfId="29502"/>
    <cellStyle name="常规 2 2 3 4 3 2 5" xfId="20078"/>
    <cellStyle name="常规 2 2 3 4 3 3" xfId="2018"/>
    <cellStyle name="常规 2 2 3 4 3 3 2" xfId="5154"/>
    <cellStyle name="常规 2 2 3 4 3 3 2 2" xfId="14574"/>
    <cellStyle name="常规 2 2 3 4 3 3 2 2 2" xfId="33422"/>
    <cellStyle name="常规 2 2 3 4 3 3 2 3" xfId="23998"/>
    <cellStyle name="常规 2 2 3 4 3 3 3" xfId="8290"/>
    <cellStyle name="常规 2 2 3 4 3 3 3 2" xfId="17710"/>
    <cellStyle name="常规 2 2 3 4 3 3 3 2 2" xfId="36558"/>
    <cellStyle name="常规 2 2 3 4 3 3 3 3" xfId="27134"/>
    <cellStyle name="常规 2 2 3 4 3 3 4" xfId="11438"/>
    <cellStyle name="常规 2 2 3 4 3 3 4 2" xfId="30286"/>
    <cellStyle name="常规 2 2 3 4 3 3 5" xfId="20862"/>
    <cellStyle name="常规 2 2 3 4 3 4" xfId="2802"/>
    <cellStyle name="常规 2 2 3 4 3 4 2" xfId="5938"/>
    <cellStyle name="常规 2 2 3 4 3 4 2 2" xfId="15358"/>
    <cellStyle name="常规 2 2 3 4 3 4 2 2 2" xfId="34206"/>
    <cellStyle name="常规 2 2 3 4 3 4 2 3" xfId="24782"/>
    <cellStyle name="常规 2 2 3 4 3 4 3" xfId="9074"/>
    <cellStyle name="常规 2 2 3 4 3 4 3 2" xfId="18494"/>
    <cellStyle name="常规 2 2 3 4 3 4 3 2 2" xfId="37342"/>
    <cellStyle name="常规 2 2 3 4 3 4 3 3" xfId="27918"/>
    <cellStyle name="常规 2 2 3 4 3 4 4" xfId="12222"/>
    <cellStyle name="常规 2 2 3 4 3 4 4 2" xfId="31070"/>
    <cellStyle name="常规 2 2 3 4 3 4 5" xfId="21646"/>
    <cellStyle name="常规 2 2 3 4 3 5" xfId="3586"/>
    <cellStyle name="常规 2 2 3 4 3 5 2" xfId="13006"/>
    <cellStyle name="常规 2 2 3 4 3 5 2 2" xfId="31854"/>
    <cellStyle name="常规 2 2 3 4 3 5 3" xfId="22430"/>
    <cellStyle name="常规 2 2 3 4 3 6" xfId="6722"/>
    <cellStyle name="常规 2 2 3 4 3 6 2" xfId="16142"/>
    <cellStyle name="常规 2 2 3 4 3 6 2 2" xfId="34990"/>
    <cellStyle name="常规 2 2 3 4 3 6 3" xfId="25566"/>
    <cellStyle name="常规 2 2 3 4 3 7" xfId="9870"/>
    <cellStyle name="常规 2 2 3 4 3 7 2" xfId="28718"/>
    <cellStyle name="常规 2 2 3 4 3 8" xfId="19294"/>
    <cellStyle name="常规 2 2 3 4 4" xfId="839"/>
    <cellStyle name="常规 2 2 3 4 4 2" xfId="3975"/>
    <cellStyle name="常规 2 2 3 4 4 2 2" xfId="13395"/>
    <cellStyle name="常规 2 2 3 4 4 2 2 2" xfId="32243"/>
    <cellStyle name="常规 2 2 3 4 4 2 3" xfId="22819"/>
    <cellStyle name="常规 2 2 3 4 4 3" xfId="7111"/>
    <cellStyle name="常规 2 2 3 4 4 3 2" xfId="16531"/>
    <cellStyle name="常规 2 2 3 4 4 3 2 2" xfId="35379"/>
    <cellStyle name="常规 2 2 3 4 4 3 3" xfId="25955"/>
    <cellStyle name="常规 2 2 3 4 4 4" xfId="10259"/>
    <cellStyle name="常规 2 2 3 4 4 4 2" xfId="29107"/>
    <cellStyle name="常规 2 2 3 4 4 5" xfId="19683"/>
    <cellStyle name="常规 2 2 3 4 5" xfId="1623"/>
    <cellStyle name="常规 2 2 3 4 5 2" xfId="4759"/>
    <cellStyle name="常规 2 2 3 4 5 2 2" xfId="14179"/>
    <cellStyle name="常规 2 2 3 4 5 2 2 2" xfId="33027"/>
    <cellStyle name="常规 2 2 3 4 5 2 3" xfId="23603"/>
    <cellStyle name="常规 2 2 3 4 5 3" xfId="7895"/>
    <cellStyle name="常规 2 2 3 4 5 3 2" xfId="17315"/>
    <cellStyle name="常规 2 2 3 4 5 3 2 2" xfId="36163"/>
    <cellStyle name="常规 2 2 3 4 5 3 3" xfId="26739"/>
    <cellStyle name="常规 2 2 3 4 5 4" xfId="11043"/>
    <cellStyle name="常规 2 2 3 4 5 4 2" xfId="29891"/>
    <cellStyle name="常规 2 2 3 4 5 5" xfId="20467"/>
    <cellStyle name="常规 2 2 3 4 6" xfId="2407"/>
    <cellStyle name="常规 2 2 3 4 6 2" xfId="5543"/>
    <cellStyle name="常规 2 2 3 4 6 2 2" xfId="14963"/>
    <cellStyle name="常规 2 2 3 4 6 2 2 2" xfId="33811"/>
    <cellStyle name="常规 2 2 3 4 6 2 3" xfId="24387"/>
    <cellStyle name="常规 2 2 3 4 6 3" xfId="8679"/>
    <cellStyle name="常规 2 2 3 4 6 3 2" xfId="18099"/>
    <cellStyle name="常规 2 2 3 4 6 3 2 2" xfId="36947"/>
    <cellStyle name="常规 2 2 3 4 6 3 3" xfId="27523"/>
    <cellStyle name="常规 2 2 3 4 6 4" xfId="11827"/>
    <cellStyle name="常规 2 2 3 4 6 4 2" xfId="30675"/>
    <cellStyle name="常规 2 2 3 4 6 5" xfId="21251"/>
    <cellStyle name="常规 2 2 3 4 7" xfId="3245"/>
    <cellStyle name="常规 2 2 3 4 7 2" xfId="12665"/>
    <cellStyle name="常规 2 2 3 4 7 2 2" xfId="31513"/>
    <cellStyle name="常规 2 2 3 4 7 3" xfId="22089"/>
    <cellStyle name="常规 2 2 3 4 8" xfId="6327"/>
    <cellStyle name="常规 2 2 3 4 8 2" xfId="15747"/>
    <cellStyle name="常规 2 2 3 4 8 2 2" xfId="34595"/>
    <cellStyle name="常规 2 2 3 4 8 3" xfId="25171"/>
    <cellStyle name="常规 2 2 3 4 9" xfId="9474"/>
    <cellStyle name="常规 2 2 3 4 9 2" xfId="28319"/>
    <cellStyle name="常规 2 2 3 5" xfId="53"/>
    <cellStyle name="常规 2 2 3 5 2" xfId="452"/>
    <cellStyle name="常规 2 2 3 5 2 2" xfId="1236"/>
    <cellStyle name="常规 2 2 3 5 2 2 2" xfId="4372"/>
    <cellStyle name="常规 2 2 3 5 2 2 2 2" xfId="13792"/>
    <cellStyle name="常规 2 2 3 5 2 2 2 2 2" xfId="32640"/>
    <cellStyle name="常规 2 2 3 5 2 2 2 3" xfId="23216"/>
    <cellStyle name="常规 2 2 3 5 2 2 3" xfId="7508"/>
    <cellStyle name="常规 2 2 3 5 2 2 3 2" xfId="16928"/>
    <cellStyle name="常规 2 2 3 5 2 2 3 2 2" xfId="35776"/>
    <cellStyle name="常规 2 2 3 5 2 2 3 3" xfId="26352"/>
    <cellStyle name="常规 2 2 3 5 2 2 4" xfId="10656"/>
    <cellStyle name="常规 2 2 3 5 2 2 4 2" xfId="29504"/>
    <cellStyle name="常规 2 2 3 5 2 2 5" xfId="20080"/>
    <cellStyle name="常规 2 2 3 5 2 3" xfId="2020"/>
    <cellStyle name="常规 2 2 3 5 2 3 2" xfId="5156"/>
    <cellStyle name="常规 2 2 3 5 2 3 2 2" xfId="14576"/>
    <cellStyle name="常规 2 2 3 5 2 3 2 2 2" xfId="33424"/>
    <cellStyle name="常规 2 2 3 5 2 3 2 3" xfId="24000"/>
    <cellStyle name="常规 2 2 3 5 2 3 3" xfId="8292"/>
    <cellStyle name="常规 2 2 3 5 2 3 3 2" xfId="17712"/>
    <cellStyle name="常规 2 2 3 5 2 3 3 2 2" xfId="36560"/>
    <cellStyle name="常规 2 2 3 5 2 3 3 3" xfId="27136"/>
    <cellStyle name="常规 2 2 3 5 2 3 4" xfId="11440"/>
    <cellStyle name="常规 2 2 3 5 2 3 4 2" xfId="30288"/>
    <cellStyle name="常规 2 2 3 5 2 3 5" xfId="20864"/>
    <cellStyle name="常规 2 2 3 5 2 4" xfId="2804"/>
    <cellStyle name="常规 2 2 3 5 2 4 2" xfId="5940"/>
    <cellStyle name="常规 2 2 3 5 2 4 2 2" xfId="15360"/>
    <cellStyle name="常规 2 2 3 5 2 4 2 2 2" xfId="34208"/>
    <cellStyle name="常规 2 2 3 5 2 4 2 3" xfId="24784"/>
    <cellStyle name="常规 2 2 3 5 2 4 3" xfId="9076"/>
    <cellStyle name="常规 2 2 3 5 2 4 3 2" xfId="18496"/>
    <cellStyle name="常规 2 2 3 5 2 4 3 2 2" xfId="37344"/>
    <cellStyle name="常规 2 2 3 5 2 4 3 3" xfId="27920"/>
    <cellStyle name="常规 2 2 3 5 2 4 4" xfId="12224"/>
    <cellStyle name="常规 2 2 3 5 2 4 4 2" xfId="31072"/>
    <cellStyle name="常规 2 2 3 5 2 4 5" xfId="21648"/>
    <cellStyle name="常规 2 2 3 5 2 5" xfId="3588"/>
    <cellStyle name="常规 2 2 3 5 2 5 2" xfId="13008"/>
    <cellStyle name="常规 2 2 3 5 2 5 2 2" xfId="31856"/>
    <cellStyle name="常规 2 2 3 5 2 5 3" xfId="22432"/>
    <cellStyle name="常规 2 2 3 5 2 6" xfId="6724"/>
    <cellStyle name="常规 2 2 3 5 2 6 2" xfId="16144"/>
    <cellStyle name="常规 2 2 3 5 2 6 2 2" xfId="34992"/>
    <cellStyle name="常规 2 2 3 5 2 6 3" xfId="25568"/>
    <cellStyle name="常规 2 2 3 5 2 7" xfId="9872"/>
    <cellStyle name="常规 2 2 3 5 2 7 2" xfId="28720"/>
    <cellStyle name="常规 2 2 3 5 2 8" xfId="19296"/>
    <cellStyle name="常规 2 2 3 5 3" xfId="841"/>
    <cellStyle name="常规 2 2 3 5 3 2" xfId="3977"/>
    <cellStyle name="常规 2 2 3 5 3 2 2" xfId="13397"/>
    <cellStyle name="常规 2 2 3 5 3 2 2 2" xfId="32245"/>
    <cellStyle name="常规 2 2 3 5 3 2 3" xfId="22821"/>
    <cellStyle name="常规 2 2 3 5 3 3" xfId="7113"/>
    <cellStyle name="常规 2 2 3 5 3 3 2" xfId="16533"/>
    <cellStyle name="常规 2 2 3 5 3 3 2 2" xfId="35381"/>
    <cellStyle name="常规 2 2 3 5 3 3 3" xfId="25957"/>
    <cellStyle name="常规 2 2 3 5 3 4" xfId="10261"/>
    <cellStyle name="常规 2 2 3 5 3 4 2" xfId="29109"/>
    <cellStyle name="常规 2 2 3 5 3 5" xfId="19685"/>
    <cellStyle name="常规 2 2 3 5 4" xfId="1625"/>
    <cellStyle name="常规 2 2 3 5 4 2" xfId="4761"/>
    <cellStyle name="常规 2 2 3 5 4 2 2" xfId="14181"/>
    <cellStyle name="常规 2 2 3 5 4 2 2 2" xfId="33029"/>
    <cellStyle name="常规 2 2 3 5 4 2 3" xfId="23605"/>
    <cellStyle name="常规 2 2 3 5 4 3" xfId="7897"/>
    <cellStyle name="常规 2 2 3 5 4 3 2" xfId="17317"/>
    <cellStyle name="常规 2 2 3 5 4 3 2 2" xfId="36165"/>
    <cellStyle name="常规 2 2 3 5 4 3 3" xfId="26741"/>
    <cellStyle name="常规 2 2 3 5 4 4" xfId="11045"/>
    <cellStyle name="常规 2 2 3 5 4 4 2" xfId="29893"/>
    <cellStyle name="常规 2 2 3 5 4 5" xfId="20469"/>
    <cellStyle name="常规 2 2 3 5 5" xfId="2409"/>
    <cellStyle name="常规 2 2 3 5 5 2" xfId="5545"/>
    <cellStyle name="常规 2 2 3 5 5 2 2" xfId="14965"/>
    <cellStyle name="常规 2 2 3 5 5 2 2 2" xfId="33813"/>
    <cellStyle name="常规 2 2 3 5 5 2 3" xfId="24389"/>
    <cellStyle name="常规 2 2 3 5 5 3" xfId="8681"/>
    <cellStyle name="常规 2 2 3 5 5 3 2" xfId="18101"/>
    <cellStyle name="常规 2 2 3 5 5 3 2 2" xfId="36949"/>
    <cellStyle name="常规 2 2 3 5 5 3 3" xfId="27525"/>
    <cellStyle name="常规 2 2 3 5 5 4" xfId="11829"/>
    <cellStyle name="常规 2 2 3 5 5 4 2" xfId="30677"/>
    <cellStyle name="常规 2 2 3 5 5 5" xfId="21253"/>
    <cellStyle name="常规 2 2 3 5 6" xfId="3293"/>
    <cellStyle name="常规 2 2 3 5 6 2" xfId="12713"/>
    <cellStyle name="常规 2 2 3 5 6 2 2" xfId="31561"/>
    <cellStyle name="常规 2 2 3 5 6 3" xfId="22137"/>
    <cellStyle name="常规 2 2 3 5 7" xfId="6329"/>
    <cellStyle name="常规 2 2 3 5 7 2" xfId="15749"/>
    <cellStyle name="常规 2 2 3 5 7 2 2" xfId="34597"/>
    <cellStyle name="常规 2 2 3 5 7 3" xfId="25173"/>
    <cellStyle name="常规 2 2 3 5 8" xfId="9476"/>
    <cellStyle name="常规 2 2 3 5 8 2" xfId="28321"/>
    <cellStyle name="常规 2 2 3 5 9" xfId="18899"/>
    <cellStyle name="常规 2 2 3 6" xfId="437"/>
    <cellStyle name="常规 2 2 3 6 2" xfId="1221"/>
    <cellStyle name="常规 2 2 3 6 2 2" xfId="4357"/>
    <cellStyle name="常规 2 2 3 6 2 2 2" xfId="13777"/>
    <cellStyle name="常规 2 2 3 6 2 2 2 2" xfId="32625"/>
    <cellStyle name="常规 2 2 3 6 2 2 3" xfId="23201"/>
    <cellStyle name="常规 2 2 3 6 2 3" xfId="7493"/>
    <cellStyle name="常规 2 2 3 6 2 3 2" xfId="16913"/>
    <cellStyle name="常规 2 2 3 6 2 3 2 2" xfId="35761"/>
    <cellStyle name="常规 2 2 3 6 2 3 3" xfId="26337"/>
    <cellStyle name="常规 2 2 3 6 2 4" xfId="10641"/>
    <cellStyle name="常规 2 2 3 6 2 4 2" xfId="29489"/>
    <cellStyle name="常规 2 2 3 6 2 5" xfId="20065"/>
    <cellStyle name="常规 2 2 3 6 3" xfId="2005"/>
    <cellStyle name="常规 2 2 3 6 3 2" xfId="5141"/>
    <cellStyle name="常规 2 2 3 6 3 2 2" xfId="14561"/>
    <cellStyle name="常规 2 2 3 6 3 2 2 2" xfId="33409"/>
    <cellStyle name="常规 2 2 3 6 3 2 3" xfId="23985"/>
    <cellStyle name="常规 2 2 3 6 3 3" xfId="8277"/>
    <cellStyle name="常规 2 2 3 6 3 3 2" xfId="17697"/>
    <cellStyle name="常规 2 2 3 6 3 3 2 2" xfId="36545"/>
    <cellStyle name="常规 2 2 3 6 3 3 3" xfId="27121"/>
    <cellStyle name="常规 2 2 3 6 3 4" xfId="11425"/>
    <cellStyle name="常规 2 2 3 6 3 4 2" xfId="30273"/>
    <cellStyle name="常规 2 2 3 6 3 5" xfId="20849"/>
    <cellStyle name="常规 2 2 3 6 4" xfId="2789"/>
    <cellStyle name="常规 2 2 3 6 4 2" xfId="5925"/>
    <cellStyle name="常规 2 2 3 6 4 2 2" xfId="15345"/>
    <cellStyle name="常规 2 2 3 6 4 2 2 2" xfId="34193"/>
    <cellStyle name="常规 2 2 3 6 4 2 3" xfId="24769"/>
    <cellStyle name="常规 2 2 3 6 4 3" xfId="9061"/>
    <cellStyle name="常规 2 2 3 6 4 3 2" xfId="18481"/>
    <cellStyle name="常规 2 2 3 6 4 3 2 2" xfId="37329"/>
    <cellStyle name="常规 2 2 3 6 4 3 3" xfId="27905"/>
    <cellStyle name="常规 2 2 3 6 4 4" xfId="12209"/>
    <cellStyle name="常规 2 2 3 6 4 4 2" xfId="31057"/>
    <cellStyle name="常规 2 2 3 6 4 5" xfId="21633"/>
    <cellStyle name="常规 2 2 3 6 5" xfId="3573"/>
    <cellStyle name="常规 2 2 3 6 5 2" xfId="12993"/>
    <cellStyle name="常规 2 2 3 6 5 2 2" xfId="31841"/>
    <cellStyle name="常规 2 2 3 6 5 3" xfId="22417"/>
    <cellStyle name="常规 2 2 3 6 6" xfId="6709"/>
    <cellStyle name="常规 2 2 3 6 6 2" xfId="16129"/>
    <cellStyle name="常规 2 2 3 6 6 2 2" xfId="34977"/>
    <cellStyle name="常规 2 2 3 6 6 3" xfId="25553"/>
    <cellStyle name="常规 2 2 3 6 7" xfId="9857"/>
    <cellStyle name="常规 2 2 3 6 7 2" xfId="28705"/>
    <cellStyle name="常规 2 2 3 6 8" xfId="19281"/>
    <cellStyle name="常规 2 2 3 7" xfId="826"/>
    <cellStyle name="常规 2 2 3 7 2" xfId="3962"/>
    <cellStyle name="常规 2 2 3 7 2 2" xfId="13382"/>
    <cellStyle name="常规 2 2 3 7 2 2 2" xfId="32230"/>
    <cellStyle name="常规 2 2 3 7 2 3" xfId="22806"/>
    <cellStyle name="常规 2 2 3 7 3" xfId="7098"/>
    <cellStyle name="常规 2 2 3 7 3 2" xfId="16518"/>
    <cellStyle name="常规 2 2 3 7 3 2 2" xfId="35366"/>
    <cellStyle name="常规 2 2 3 7 3 3" xfId="25942"/>
    <cellStyle name="常规 2 2 3 7 4" xfId="10246"/>
    <cellStyle name="常规 2 2 3 7 4 2" xfId="29094"/>
    <cellStyle name="常规 2 2 3 7 5" xfId="19670"/>
    <cellStyle name="常规 2 2 3 8" xfId="1610"/>
    <cellStyle name="常规 2 2 3 8 2" xfId="4746"/>
    <cellStyle name="常规 2 2 3 8 2 2" xfId="14166"/>
    <cellStyle name="常规 2 2 3 8 2 2 2" xfId="33014"/>
    <cellStyle name="常规 2 2 3 8 2 3" xfId="23590"/>
    <cellStyle name="常规 2 2 3 8 3" xfId="7882"/>
    <cellStyle name="常规 2 2 3 8 3 2" xfId="17302"/>
    <cellStyle name="常规 2 2 3 8 3 2 2" xfId="36150"/>
    <cellStyle name="常规 2 2 3 8 3 3" xfId="26726"/>
    <cellStyle name="常规 2 2 3 8 4" xfId="11030"/>
    <cellStyle name="常规 2 2 3 8 4 2" xfId="29878"/>
    <cellStyle name="常规 2 2 3 8 5" xfId="20454"/>
    <cellStyle name="常规 2 2 3 9" xfId="2394"/>
    <cellStyle name="常规 2 2 3 9 2" xfId="5530"/>
    <cellStyle name="常规 2 2 3 9 2 2" xfId="14950"/>
    <cellStyle name="常规 2 2 3 9 2 2 2" xfId="33798"/>
    <cellStyle name="常规 2 2 3 9 2 3" xfId="24374"/>
    <cellStyle name="常规 2 2 3 9 3" xfId="8666"/>
    <cellStyle name="常规 2 2 3 9 3 2" xfId="18086"/>
    <cellStyle name="常规 2 2 3 9 3 2 2" xfId="36934"/>
    <cellStyle name="常规 2 2 3 9 3 3" xfId="27510"/>
    <cellStyle name="常规 2 2 3 9 4" xfId="11814"/>
    <cellStyle name="常规 2 2 3 9 4 2" xfId="30662"/>
    <cellStyle name="常规 2 2 3 9 5" xfId="21238"/>
    <cellStyle name="常规 2 2 4" xfId="54"/>
    <cellStyle name="常规 2 2 4 10" xfId="6330"/>
    <cellStyle name="常规 2 2 4 10 2" xfId="15750"/>
    <cellStyle name="常规 2 2 4 10 2 2" xfId="34598"/>
    <cellStyle name="常规 2 2 4 10 3" xfId="25174"/>
    <cellStyle name="常规 2 2 4 11" xfId="9477"/>
    <cellStyle name="常规 2 2 4 11 2" xfId="28322"/>
    <cellStyle name="常规 2 2 4 12" xfId="18900"/>
    <cellStyle name="常规 2 2 4 2" xfId="55"/>
    <cellStyle name="常规 2 2 4 2 10" xfId="9478"/>
    <cellStyle name="常规 2 2 4 2 10 2" xfId="28323"/>
    <cellStyle name="常规 2 2 4 2 11" xfId="18901"/>
    <cellStyle name="常规 2 2 4 2 2" xfId="56"/>
    <cellStyle name="常规 2 2 4 2 2 10" xfId="18902"/>
    <cellStyle name="常规 2 2 4 2 2 2" xfId="57"/>
    <cellStyle name="常规 2 2 4 2 2 2 2" xfId="456"/>
    <cellStyle name="常规 2 2 4 2 2 2 2 2" xfId="1240"/>
    <cellStyle name="常规 2 2 4 2 2 2 2 2 2" xfId="4376"/>
    <cellStyle name="常规 2 2 4 2 2 2 2 2 2 2" xfId="13796"/>
    <cellStyle name="常规 2 2 4 2 2 2 2 2 2 2 2" xfId="32644"/>
    <cellStyle name="常规 2 2 4 2 2 2 2 2 2 3" xfId="23220"/>
    <cellStyle name="常规 2 2 4 2 2 2 2 2 3" xfId="7512"/>
    <cellStyle name="常规 2 2 4 2 2 2 2 2 3 2" xfId="16932"/>
    <cellStyle name="常规 2 2 4 2 2 2 2 2 3 2 2" xfId="35780"/>
    <cellStyle name="常规 2 2 4 2 2 2 2 2 3 3" xfId="26356"/>
    <cellStyle name="常规 2 2 4 2 2 2 2 2 4" xfId="10660"/>
    <cellStyle name="常规 2 2 4 2 2 2 2 2 4 2" xfId="29508"/>
    <cellStyle name="常规 2 2 4 2 2 2 2 2 5" xfId="20084"/>
    <cellStyle name="常规 2 2 4 2 2 2 2 3" xfId="2024"/>
    <cellStyle name="常规 2 2 4 2 2 2 2 3 2" xfId="5160"/>
    <cellStyle name="常规 2 2 4 2 2 2 2 3 2 2" xfId="14580"/>
    <cellStyle name="常规 2 2 4 2 2 2 2 3 2 2 2" xfId="33428"/>
    <cellStyle name="常规 2 2 4 2 2 2 2 3 2 3" xfId="24004"/>
    <cellStyle name="常规 2 2 4 2 2 2 2 3 3" xfId="8296"/>
    <cellStyle name="常规 2 2 4 2 2 2 2 3 3 2" xfId="17716"/>
    <cellStyle name="常规 2 2 4 2 2 2 2 3 3 2 2" xfId="36564"/>
    <cellStyle name="常规 2 2 4 2 2 2 2 3 3 3" xfId="27140"/>
    <cellStyle name="常规 2 2 4 2 2 2 2 3 4" xfId="11444"/>
    <cellStyle name="常规 2 2 4 2 2 2 2 3 4 2" xfId="30292"/>
    <cellStyle name="常规 2 2 4 2 2 2 2 3 5" xfId="20868"/>
    <cellStyle name="常规 2 2 4 2 2 2 2 4" xfId="2808"/>
    <cellStyle name="常规 2 2 4 2 2 2 2 4 2" xfId="5944"/>
    <cellStyle name="常规 2 2 4 2 2 2 2 4 2 2" xfId="15364"/>
    <cellStyle name="常规 2 2 4 2 2 2 2 4 2 2 2" xfId="34212"/>
    <cellStyle name="常规 2 2 4 2 2 2 2 4 2 3" xfId="24788"/>
    <cellStyle name="常规 2 2 4 2 2 2 2 4 3" xfId="9080"/>
    <cellStyle name="常规 2 2 4 2 2 2 2 4 3 2" xfId="18500"/>
    <cellStyle name="常规 2 2 4 2 2 2 2 4 3 2 2" xfId="37348"/>
    <cellStyle name="常规 2 2 4 2 2 2 2 4 3 3" xfId="27924"/>
    <cellStyle name="常规 2 2 4 2 2 2 2 4 4" xfId="12228"/>
    <cellStyle name="常规 2 2 4 2 2 2 2 4 4 2" xfId="31076"/>
    <cellStyle name="常规 2 2 4 2 2 2 2 4 5" xfId="21652"/>
    <cellStyle name="常规 2 2 4 2 2 2 2 5" xfId="3592"/>
    <cellStyle name="常规 2 2 4 2 2 2 2 5 2" xfId="13012"/>
    <cellStyle name="常规 2 2 4 2 2 2 2 5 2 2" xfId="31860"/>
    <cellStyle name="常规 2 2 4 2 2 2 2 5 3" xfId="22436"/>
    <cellStyle name="常规 2 2 4 2 2 2 2 6" xfId="6728"/>
    <cellStyle name="常规 2 2 4 2 2 2 2 6 2" xfId="16148"/>
    <cellStyle name="常规 2 2 4 2 2 2 2 6 2 2" xfId="34996"/>
    <cellStyle name="常规 2 2 4 2 2 2 2 6 3" xfId="25572"/>
    <cellStyle name="常规 2 2 4 2 2 2 2 7" xfId="9876"/>
    <cellStyle name="常规 2 2 4 2 2 2 2 7 2" xfId="28724"/>
    <cellStyle name="常规 2 2 4 2 2 2 2 8" xfId="19300"/>
    <cellStyle name="常规 2 2 4 2 2 2 3" xfId="845"/>
    <cellStyle name="常规 2 2 4 2 2 2 3 2" xfId="3981"/>
    <cellStyle name="常规 2 2 4 2 2 2 3 2 2" xfId="13401"/>
    <cellStyle name="常规 2 2 4 2 2 2 3 2 2 2" xfId="32249"/>
    <cellStyle name="常规 2 2 4 2 2 2 3 2 3" xfId="22825"/>
    <cellStyle name="常规 2 2 4 2 2 2 3 3" xfId="7117"/>
    <cellStyle name="常规 2 2 4 2 2 2 3 3 2" xfId="16537"/>
    <cellStyle name="常规 2 2 4 2 2 2 3 3 2 2" xfId="35385"/>
    <cellStyle name="常规 2 2 4 2 2 2 3 3 3" xfId="25961"/>
    <cellStyle name="常规 2 2 4 2 2 2 3 4" xfId="10265"/>
    <cellStyle name="常规 2 2 4 2 2 2 3 4 2" xfId="29113"/>
    <cellStyle name="常规 2 2 4 2 2 2 3 5" xfId="19689"/>
    <cellStyle name="常规 2 2 4 2 2 2 4" xfId="1629"/>
    <cellStyle name="常规 2 2 4 2 2 2 4 2" xfId="4765"/>
    <cellStyle name="常规 2 2 4 2 2 2 4 2 2" xfId="14185"/>
    <cellStyle name="常规 2 2 4 2 2 2 4 2 2 2" xfId="33033"/>
    <cellStyle name="常规 2 2 4 2 2 2 4 2 3" xfId="23609"/>
    <cellStyle name="常规 2 2 4 2 2 2 4 3" xfId="7901"/>
    <cellStyle name="常规 2 2 4 2 2 2 4 3 2" xfId="17321"/>
    <cellStyle name="常规 2 2 4 2 2 2 4 3 2 2" xfId="36169"/>
    <cellStyle name="常规 2 2 4 2 2 2 4 3 3" xfId="26745"/>
    <cellStyle name="常规 2 2 4 2 2 2 4 4" xfId="11049"/>
    <cellStyle name="常规 2 2 4 2 2 2 4 4 2" xfId="29897"/>
    <cellStyle name="常规 2 2 4 2 2 2 4 5" xfId="20473"/>
    <cellStyle name="常规 2 2 4 2 2 2 5" xfId="2413"/>
    <cellStyle name="常规 2 2 4 2 2 2 5 2" xfId="5549"/>
    <cellStyle name="常规 2 2 4 2 2 2 5 2 2" xfId="14969"/>
    <cellStyle name="常规 2 2 4 2 2 2 5 2 2 2" xfId="33817"/>
    <cellStyle name="常规 2 2 4 2 2 2 5 2 3" xfId="24393"/>
    <cellStyle name="常规 2 2 4 2 2 2 5 3" xfId="8685"/>
    <cellStyle name="常规 2 2 4 2 2 2 5 3 2" xfId="18105"/>
    <cellStyle name="常规 2 2 4 2 2 2 5 3 2 2" xfId="36953"/>
    <cellStyle name="常规 2 2 4 2 2 2 5 3 3" xfId="27529"/>
    <cellStyle name="常规 2 2 4 2 2 2 5 4" xfId="11833"/>
    <cellStyle name="常规 2 2 4 2 2 2 5 4 2" xfId="30681"/>
    <cellStyle name="常规 2 2 4 2 2 2 5 5" xfId="21257"/>
    <cellStyle name="常规 2 2 4 2 2 2 6" xfId="3268"/>
    <cellStyle name="常规 2 2 4 2 2 2 6 2" xfId="12688"/>
    <cellStyle name="常规 2 2 4 2 2 2 6 2 2" xfId="31536"/>
    <cellStyle name="常规 2 2 4 2 2 2 6 3" xfId="22112"/>
    <cellStyle name="常规 2 2 4 2 2 2 7" xfId="6333"/>
    <cellStyle name="常规 2 2 4 2 2 2 7 2" xfId="15753"/>
    <cellStyle name="常规 2 2 4 2 2 2 7 2 2" xfId="34601"/>
    <cellStyle name="常规 2 2 4 2 2 2 7 3" xfId="25177"/>
    <cellStyle name="常规 2 2 4 2 2 2 8" xfId="9480"/>
    <cellStyle name="常规 2 2 4 2 2 2 8 2" xfId="28325"/>
    <cellStyle name="常规 2 2 4 2 2 2 9" xfId="18903"/>
    <cellStyle name="常规 2 2 4 2 2 3" xfId="455"/>
    <cellStyle name="常规 2 2 4 2 2 3 2" xfId="1239"/>
    <cellStyle name="常规 2 2 4 2 2 3 2 2" xfId="4375"/>
    <cellStyle name="常规 2 2 4 2 2 3 2 2 2" xfId="13795"/>
    <cellStyle name="常规 2 2 4 2 2 3 2 2 2 2" xfId="32643"/>
    <cellStyle name="常规 2 2 4 2 2 3 2 2 3" xfId="23219"/>
    <cellStyle name="常规 2 2 4 2 2 3 2 3" xfId="7511"/>
    <cellStyle name="常规 2 2 4 2 2 3 2 3 2" xfId="16931"/>
    <cellStyle name="常规 2 2 4 2 2 3 2 3 2 2" xfId="35779"/>
    <cellStyle name="常规 2 2 4 2 2 3 2 3 3" xfId="26355"/>
    <cellStyle name="常规 2 2 4 2 2 3 2 4" xfId="10659"/>
    <cellStyle name="常规 2 2 4 2 2 3 2 4 2" xfId="29507"/>
    <cellStyle name="常规 2 2 4 2 2 3 2 5" xfId="20083"/>
    <cellStyle name="常规 2 2 4 2 2 3 3" xfId="2023"/>
    <cellStyle name="常规 2 2 4 2 2 3 3 2" xfId="5159"/>
    <cellStyle name="常规 2 2 4 2 2 3 3 2 2" xfId="14579"/>
    <cellStyle name="常规 2 2 4 2 2 3 3 2 2 2" xfId="33427"/>
    <cellStyle name="常规 2 2 4 2 2 3 3 2 3" xfId="24003"/>
    <cellStyle name="常规 2 2 4 2 2 3 3 3" xfId="8295"/>
    <cellStyle name="常规 2 2 4 2 2 3 3 3 2" xfId="17715"/>
    <cellStyle name="常规 2 2 4 2 2 3 3 3 2 2" xfId="36563"/>
    <cellStyle name="常规 2 2 4 2 2 3 3 3 3" xfId="27139"/>
    <cellStyle name="常规 2 2 4 2 2 3 3 4" xfId="11443"/>
    <cellStyle name="常规 2 2 4 2 2 3 3 4 2" xfId="30291"/>
    <cellStyle name="常规 2 2 4 2 2 3 3 5" xfId="20867"/>
    <cellStyle name="常规 2 2 4 2 2 3 4" xfId="2807"/>
    <cellStyle name="常规 2 2 4 2 2 3 4 2" xfId="5943"/>
    <cellStyle name="常规 2 2 4 2 2 3 4 2 2" xfId="15363"/>
    <cellStyle name="常规 2 2 4 2 2 3 4 2 2 2" xfId="34211"/>
    <cellStyle name="常规 2 2 4 2 2 3 4 2 3" xfId="24787"/>
    <cellStyle name="常规 2 2 4 2 2 3 4 3" xfId="9079"/>
    <cellStyle name="常规 2 2 4 2 2 3 4 3 2" xfId="18499"/>
    <cellStyle name="常规 2 2 4 2 2 3 4 3 2 2" xfId="37347"/>
    <cellStyle name="常规 2 2 4 2 2 3 4 3 3" xfId="27923"/>
    <cellStyle name="常规 2 2 4 2 2 3 4 4" xfId="12227"/>
    <cellStyle name="常规 2 2 4 2 2 3 4 4 2" xfId="31075"/>
    <cellStyle name="常规 2 2 4 2 2 3 4 5" xfId="21651"/>
    <cellStyle name="常规 2 2 4 2 2 3 5" xfId="3591"/>
    <cellStyle name="常规 2 2 4 2 2 3 5 2" xfId="13011"/>
    <cellStyle name="常规 2 2 4 2 2 3 5 2 2" xfId="31859"/>
    <cellStyle name="常规 2 2 4 2 2 3 5 3" xfId="22435"/>
    <cellStyle name="常规 2 2 4 2 2 3 6" xfId="6727"/>
    <cellStyle name="常规 2 2 4 2 2 3 6 2" xfId="16147"/>
    <cellStyle name="常规 2 2 4 2 2 3 6 2 2" xfId="34995"/>
    <cellStyle name="常规 2 2 4 2 2 3 6 3" xfId="25571"/>
    <cellStyle name="常规 2 2 4 2 2 3 7" xfId="9875"/>
    <cellStyle name="常规 2 2 4 2 2 3 7 2" xfId="28723"/>
    <cellStyle name="常规 2 2 4 2 2 3 8" xfId="19299"/>
    <cellStyle name="常规 2 2 4 2 2 4" xfId="844"/>
    <cellStyle name="常规 2 2 4 2 2 4 2" xfId="3980"/>
    <cellStyle name="常规 2 2 4 2 2 4 2 2" xfId="13400"/>
    <cellStyle name="常规 2 2 4 2 2 4 2 2 2" xfId="32248"/>
    <cellStyle name="常规 2 2 4 2 2 4 2 3" xfId="22824"/>
    <cellStyle name="常规 2 2 4 2 2 4 3" xfId="7116"/>
    <cellStyle name="常规 2 2 4 2 2 4 3 2" xfId="16536"/>
    <cellStyle name="常规 2 2 4 2 2 4 3 2 2" xfId="35384"/>
    <cellStyle name="常规 2 2 4 2 2 4 3 3" xfId="25960"/>
    <cellStyle name="常规 2 2 4 2 2 4 4" xfId="10264"/>
    <cellStyle name="常规 2 2 4 2 2 4 4 2" xfId="29112"/>
    <cellStyle name="常规 2 2 4 2 2 4 5" xfId="19688"/>
    <cellStyle name="常规 2 2 4 2 2 5" xfId="1628"/>
    <cellStyle name="常规 2 2 4 2 2 5 2" xfId="4764"/>
    <cellStyle name="常规 2 2 4 2 2 5 2 2" xfId="14184"/>
    <cellStyle name="常规 2 2 4 2 2 5 2 2 2" xfId="33032"/>
    <cellStyle name="常规 2 2 4 2 2 5 2 3" xfId="23608"/>
    <cellStyle name="常规 2 2 4 2 2 5 3" xfId="7900"/>
    <cellStyle name="常规 2 2 4 2 2 5 3 2" xfId="17320"/>
    <cellStyle name="常规 2 2 4 2 2 5 3 2 2" xfId="36168"/>
    <cellStyle name="常规 2 2 4 2 2 5 3 3" xfId="26744"/>
    <cellStyle name="常规 2 2 4 2 2 5 4" xfId="11048"/>
    <cellStyle name="常规 2 2 4 2 2 5 4 2" xfId="29896"/>
    <cellStyle name="常规 2 2 4 2 2 5 5" xfId="20472"/>
    <cellStyle name="常规 2 2 4 2 2 6" xfId="2412"/>
    <cellStyle name="常规 2 2 4 2 2 6 2" xfId="5548"/>
    <cellStyle name="常规 2 2 4 2 2 6 2 2" xfId="14968"/>
    <cellStyle name="常规 2 2 4 2 2 6 2 2 2" xfId="33816"/>
    <cellStyle name="常规 2 2 4 2 2 6 2 3" xfId="24392"/>
    <cellStyle name="常规 2 2 4 2 2 6 3" xfId="8684"/>
    <cellStyle name="常规 2 2 4 2 2 6 3 2" xfId="18104"/>
    <cellStyle name="常规 2 2 4 2 2 6 3 2 2" xfId="36952"/>
    <cellStyle name="常规 2 2 4 2 2 6 3 3" xfId="27528"/>
    <cellStyle name="常规 2 2 4 2 2 6 4" xfId="11832"/>
    <cellStyle name="常规 2 2 4 2 2 6 4 2" xfId="30680"/>
    <cellStyle name="常规 2 2 4 2 2 6 5" xfId="21256"/>
    <cellStyle name="常规 2 2 4 2 2 7" xfId="3298"/>
    <cellStyle name="常规 2 2 4 2 2 7 2" xfId="12718"/>
    <cellStyle name="常规 2 2 4 2 2 7 2 2" xfId="31566"/>
    <cellStyle name="常规 2 2 4 2 2 7 3" xfId="22142"/>
    <cellStyle name="常规 2 2 4 2 2 8" xfId="6332"/>
    <cellStyle name="常规 2 2 4 2 2 8 2" xfId="15752"/>
    <cellStyle name="常规 2 2 4 2 2 8 2 2" xfId="34600"/>
    <cellStyle name="常规 2 2 4 2 2 8 3" xfId="25176"/>
    <cellStyle name="常规 2 2 4 2 2 9" xfId="9479"/>
    <cellStyle name="常规 2 2 4 2 2 9 2" xfId="28324"/>
    <cellStyle name="常规 2 2 4 2 3" xfId="58"/>
    <cellStyle name="常规 2 2 4 2 3 2" xfId="457"/>
    <cellStyle name="常规 2 2 4 2 3 2 2" xfId="1241"/>
    <cellStyle name="常规 2 2 4 2 3 2 2 2" xfId="4377"/>
    <cellStyle name="常规 2 2 4 2 3 2 2 2 2" xfId="13797"/>
    <cellStyle name="常规 2 2 4 2 3 2 2 2 2 2" xfId="32645"/>
    <cellStyle name="常规 2 2 4 2 3 2 2 2 3" xfId="23221"/>
    <cellStyle name="常规 2 2 4 2 3 2 2 3" xfId="7513"/>
    <cellStyle name="常规 2 2 4 2 3 2 2 3 2" xfId="16933"/>
    <cellStyle name="常规 2 2 4 2 3 2 2 3 2 2" xfId="35781"/>
    <cellStyle name="常规 2 2 4 2 3 2 2 3 3" xfId="26357"/>
    <cellStyle name="常规 2 2 4 2 3 2 2 4" xfId="10661"/>
    <cellStyle name="常规 2 2 4 2 3 2 2 4 2" xfId="29509"/>
    <cellStyle name="常规 2 2 4 2 3 2 2 5" xfId="20085"/>
    <cellStyle name="常规 2 2 4 2 3 2 3" xfId="2025"/>
    <cellStyle name="常规 2 2 4 2 3 2 3 2" xfId="5161"/>
    <cellStyle name="常规 2 2 4 2 3 2 3 2 2" xfId="14581"/>
    <cellStyle name="常规 2 2 4 2 3 2 3 2 2 2" xfId="33429"/>
    <cellStyle name="常规 2 2 4 2 3 2 3 2 3" xfId="24005"/>
    <cellStyle name="常规 2 2 4 2 3 2 3 3" xfId="8297"/>
    <cellStyle name="常规 2 2 4 2 3 2 3 3 2" xfId="17717"/>
    <cellStyle name="常规 2 2 4 2 3 2 3 3 2 2" xfId="36565"/>
    <cellStyle name="常规 2 2 4 2 3 2 3 3 3" xfId="27141"/>
    <cellStyle name="常规 2 2 4 2 3 2 3 4" xfId="11445"/>
    <cellStyle name="常规 2 2 4 2 3 2 3 4 2" xfId="30293"/>
    <cellStyle name="常规 2 2 4 2 3 2 3 5" xfId="20869"/>
    <cellStyle name="常规 2 2 4 2 3 2 4" xfId="2809"/>
    <cellStyle name="常规 2 2 4 2 3 2 4 2" xfId="5945"/>
    <cellStyle name="常规 2 2 4 2 3 2 4 2 2" xfId="15365"/>
    <cellStyle name="常规 2 2 4 2 3 2 4 2 2 2" xfId="34213"/>
    <cellStyle name="常规 2 2 4 2 3 2 4 2 3" xfId="24789"/>
    <cellStyle name="常规 2 2 4 2 3 2 4 3" xfId="9081"/>
    <cellStyle name="常规 2 2 4 2 3 2 4 3 2" xfId="18501"/>
    <cellStyle name="常规 2 2 4 2 3 2 4 3 2 2" xfId="37349"/>
    <cellStyle name="常规 2 2 4 2 3 2 4 3 3" xfId="27925"/>
    <cellStyle name="常规 2 2 4 2 3 2 4 4" xfId="12229"/>
    <cellStyle name="常规 2 2 4 2 3 2 4 4 2" xfId="31077"/>
    <cellStyle name="常规 2 2 4 2 3 2 4 5" xfId="21653"/>
    <cellStyle name="常规 2 2 4 2 3 2 5" xfId="3593"/>
    <cellStyle name="常规 2 2 4 2 3 2 5 2" xfId="13013"/>
    <cellStyle name="常规 2 2 4 2 3 2 5 2 2" xfId="31861"/>
    <cellStyle name="常规 2 2 4 2 3 2 5 3" xfId="22437"/>
    <cellStyle name="常规 2 2 4 2 3 2 6" xfId="6729"/>
    <cellStyle name="常规 2 2 4 2 3 2 6 2" xfId="16149"/>
    <cellStyle name="常规 2 2 4 2 3 2 6 2 2" xfId="34997"/>
    <cellStyle name="常规 2 2 4 2 3 2 6 3" xfId="25573"/>
    <cellStyle name="常规 2 2 4 2 3 2 7" xfId="9877"/>
    <cellStyle name="常规 2 2 4 2 3 2 7 2" xfId="28725"/>
    <cellStyle name="常规 2 2 4 2 3 2 8" xfId="19301"/>
    <cellStyle name="常规 2 2 4 2 3 3" xfId="846"/>
    <cellStyle name="常规 2 2 4 2 3 3 2" xfId="3982"/>
    <cellStyle name="常规 2 2 4 2 3 3 2 2" xfId="13402"/>
    <cellStyle name="常规 2 2 4 2 3 3 2 2 2" xfId="32250"/>
    <cellStyle name="常规 2 2 4 2 3 3 2 3" xfId="22826"/>
    <cellStyle name="常规 2 2 4 2 3 3 3" xfId="7118"/>
    <cellStyle name="常规 2 2 4 2 3 3 3 2" xfId="16538"/>
    <cellStyle name="常规 2 2 4 2 3 3 3 2 2" xfId="35386"/>
    <cellStyle name="常规 2 2 4 2 3 3 3 3" xfId="25962"/>
    <cellStyle name="常规 2 2 4 2 3 3 4" xfId="10266"/>
    <cellStyle name="常规 2 2 4 2 3 3 4 2" xfId="29114"/>
    <cellStyle name="常规 2 2 4 2 3 3 5" xfId="19690"/>
    <cellStyle name="常规 2 2 4 2 3 4" xfId="1630"/>
    <cellStyle name="常规 2 2 4 2 3 4 2" xfId="4766"/>
    <cellStyle name="常规 2 2 4 2 3 4 2 2" xfId="14186"/>
    <cellStyle name="常规 2 2 4 2 3 4 2 2 2" xfId="33034"/>
    <cellStyle name="常规 2 2 4 2 3 4 2 3" xfId="23610"/>
    <cellStyle name="常规 2 2 4 2 3 4 3" xfId="7902"/>
    <cellStyle name="常规 2 2 4 2 3 4 3 2" xfId="17322"/>
    <cellStyle name="常规 2 2 4 2 3 4 3 2 2" xfId="36170"/>
    <cellStyle name="常规 2 2 4 2 3 4 3 3" xfId="26746"/>
    <cellStyle name="常规 2 2 4 2 3 4 4" xfId="11050"/>
    <cellStyle name="常规 2 2 4 2 3 4 4 2" xfId="29898"/>
    <cellStyle name="常规 2 2 4 2 3 4 5" xfId="20474"/>
    <cellStyle name="常规 2 2 4 2 3 5" xfId="2414"/>
    <cellStyle name="常规 2 2 4 2 3 5 2" xfId="5550"/>
    <cellStyle name="常规 2 2 4 2 3 5 2 2" xfId="14970"/>
    <cellStyle name="常规 2 2 4 2 3 5 2 2 2" xfId="33818"/>
    <cellStyle name="常规 2 2 4 2 3 5 2 3" xfId="24394"/>
    <cellStyle name="常规 2 2 4 2 3 5 3" xfId="8686"/>
    <cellStyle name="常规 2 2 4 2 3 5 3 2" xfId="18106"/>
    <cellStyle name="常规 2 2 4 2 3 5 3 2 2" xfId="36954"/>
    <cellStyle name="常规 2 2 4 2 3 5 3 3" xfId="27530"/>
    <cellStyle name="常规 2 2 4 2 3 5 4" xfId="11834"/>
    <cellStyle name="常规 2 2 4 2 3 5 4 2" xfId="30682"/>
    <cellStyle name="常规 2 2 4 2 3 5 5" xfId="21258"/>
    <cellStyle name="常规 2 2 4 2 3 6" xfId="3285"/>
    <cellStyle name="常规 2 2 4 2 3 6 2" xfId="12705"/>
    <cellStyle name="常规 2 2 4 2 3 6 2 2" xfId="31553"/>
    <cellStyle name="常规 2 2 4 2 3 6 3" xfId="22129"/>
    <cellStyle name="常规 2 2 4 2 3 7" xfId="6334"/>
    <cellStyle name="常规 2 2 4 2 3 7 2" xfId="15754"/>
    <cellStyle name="常规 2 2 4 2 3 7 2 2" xfId="34602"/>
    <cellStyle name="常规 2 2 4 2 3 7 3" xfId="25178"/>
    <cellStyle name="常规 2 2 4 2 3 8" xfId="9481"/>
    <cellStyle name="常规 2 2 4 2 3 8 2" xfId="28326"/>
    <cellStyle name="常规 2 2 4 2 3 9" xfId="18904"/>
    <cellStyle name="常规 2 2 4 2 4" xfId="454"/>
    <cellStyle name="常规 2 2 4 2 4 2" xfId="1238"/>
    <cellStyle name="常规 2 2 4 2 4 2 2" xfId="4374"/>
    <cellStyle name="常规 2 2 4 2 4 2 2 2" xfId="13794"/>
    <cellStyle name="常规 2 2 4 2 4 2 2 2 2" xfId="32642"/>
    <cellStyle name="常规 2 2 4 2 4 2 2 3" xfId="23218"/>
    <cellStyle name="常规 2 2 4 2 4 2 3" xfId="7510"/>
    <cellStyle name="常规 2 2 4 2 4 2 3 2" xfId="16930"/>
    <cellStyle name="常规 2 2 4 2 4 2 3 2 2" xfId="35778"/>
    <cellStyle name="常规 2 2 4 2 4 2 3 3" xfId="26354"/>
    <cellStyle name="常规 2 2 4 2 4 2 4" xfId="10658"/>
    <cellStyle name="常规 2 2 4 2 4 2 4 2" xfId="29506"/>
    <cellStyle name="常规 2 2 4 2 4 2 5" xfId="20082"/>
    <cellStyle name="常规 2 2 4 2 4 3" xfId="2022"/>
    <cellStyle name="常规 2 2 4 2 4 3 2" xfId="5158"/>
    <cellStyle name="常规 2 2 4 2 4 3 2 2" xfId="14578"/>
    <cellStyle name="常规 2 2 4 2 4 3 2 2 2" xfId="33426"/>
    <cellStyle name="常规 2 2 4 2 4 3 2 3" xfId="24002"/>
    <cellStyle name="常规 2 2 4 2 4 3 3" xfId="8294"/>
    <cellStyle name="常规 2 2 4 2 4 3 3 2" xfId="17714"/>
    <cellStyle name="常规 2 2 4 2 4 3 3 2 2" xfId="36562"/>
    <cellStyle name="常规 2 2 4 2 4 3 3 3" xfId="27138"/>
    <cellStyle name="常规 2 2 4 2 4 3 4" xfId="11442"/>
    <cellStyle name="常规 2 2 4 2 4 3 4 2" xfId="30290"/>
    <cellStyle name="常规 2 2 4 2 4 3 5" xfId="20866"/>
    <cellStyle name="常规 2 2 4 2 4 4" xfId="2806"/>
    <cellStyle name="常规 2 2 4 2 4 4 2" xfId="5942"/>
    <cellStyle name="常规 2 2 4 2 4 4 2 2" xfId="15362"/>
    <cellStyle name="常规 2 2 4 2 4 4 2 2 2" xfId="34210"/>
    <cellStyle name="常规 2 2 4 2 4 4 2 3" xfId="24786"/>
    <cellStyle name="常规 2 2 4 2 4 4 3" xfId="9078"/>
    <cellStyle name="常规 2 2 4 2 4 4 3 2" xfId="18498"/>
    <cellStyle name="常规 2 2 4 2 4 4 3 2 2" xfId="37346"/>
    <cellStyle name="常规 2 2 4 2 4 4 3 3" xfId="27922"/>
    <cellStyle name="常规 2 2 4 2 4 4 4" xfId="12226"/>
    <cellStyle name="常规 2 2 4 2 4 4 4 2" xfId="31074"/>
    <cellStyle name="常规 2 2 4 2 4 4 5" xfId="21650"/>
    <cellStyle name="常规 2 2 4 2 4 5" xfId="3590"/>
    <cellStyle name="常规 2 2 4 2 4 5 2" xfId="13010"/>
    <cellStyle name="常规 2 2 4 2 4 5 2 2" xfId="31858"/>
    <cellStyle name="常规 2 2 4 2 4 5 3" xfId="22434"/>
    <cellStyle name="常规 2 2 4 2 4 6" xfId="6726"/>
    <cellStyle name="常规 2 2 4 2 4 6 2" xfId="16146"/>
    <cellStyle name="常规 2 2 4 2 4 6 2 2" xfId="34994"/>
    <cellStyle name="常规 2 2 4 2 4 6 3" xfId="25570"/>
    <cellStyle name="常规 2 2 4 2 4 7" xfId="9874"/>
    <cellStyle name="常规 2 2 4 2 4 7 2" xfId="28722"/>
    <cellStyle name="常规 2 2 4 2 4 8" xfId="19298"/>
    <cellStyle name="常规 2 2 4 2 5" xfId="843"/>
    <cellStyle name="常规 2 2 4 2 5 2" xfId="3979"/>
    <cellStyle name="常规 2 2 4 2 5 2 2" xfId="13399"/>
    <cellStyle name="常规 2 2 4 2 5 2 2 2" xfId="32247"/>
    <cellStyle name="常规 2 2 4 2 5 2 3" xfId="22823"/>
    <cellStyle name="常规 2 2 4 2 5 3" xfId="7115"/>
    <cellStyle name="常规 2 2 4 2 5 3 2" xfId="16535"/>
    <cellStyle name="常规 2 2 4 2 5 3 2 2" xfId="35383"/>
    <cellStyle name="常规 2 2 4 2 5 3 3" xfId="25959"/>
    <cellStyle name="常规 2 2 4 2 5 4" xfId="10263"/>
    <cellStyle name="常规 2 2 4 2 5 4 2" xfId="29111"/>
    <cellStyle name="常规 2 2 4 2 5 5" xfId="19687"/>
    <cellStyle name="常规 2 2 4 2 6" xfId="1627"/>
    <cellStyle name="常规 2 2 4 2 6 2" xfId="4763"/>
    <cellStyle name="常规 2 2 4 2 6 2 2" xfId="14183"/>
    <cellStyle name="常规 2 2 4 2 6 2 2 2" xfId="33031"/>
    <cellStyle name="常规 2 2 4 2 6 2 3" xfId="23607"/>
    <cellStyle name="常规 2 2 4 2 6 3" xfId="7899"/>
    <cellStyle name="常规 2 2 4 2 6 3 2" xfId="17319"/>
    <cellStyle name="常规 2 2 4 2 6 3 2 2" xfId="36167"/>
    <cellStyle name="常规 2 2 4 2 6 3 3" xfId="26743"/>
    <cellStyle name="常规 2 2 4 2 6 4" xfId="11047"/>
    <cellStyle name="常规 2 2 4 2 6 4 2" xfId="29895"/>
    <cellStyle name="常规 2 2 4 2 6 5" xfId="20471"/>
    <cellStyle name="常规 2 2 4 2 7" xfId="2411"/>
    <cellStyle name="常规 2 2 4 2 7 2" xfId="5547"/>
    <cellStyle name="常规 2 2 4 2 7 2 2" xfId="14967"/>
    <cellStyle name="常规 2 2 4 2 7 2 2 2" xfId="33815"/>
    <cellStyle name="常规 2 2 4 2 7 2 3" xfId="24391"/>
    <cellStyle name="常规 2 2 4 2 7 3" xfId="8683"/>
    <cellStyle name="常规 2 2 4 2 7 3 2" xfId="18103"/>
    <cellStyle name="常规 2 2 4 2 7 3 2 2" xfId="36951"/>
    <cellStyle name="常规 2 2 4 2 7 3 3" xfId="27527"/>
    <cellStyle name="常规 2 2 4 2 7 4" xfId="11831"/>
    <cellStyle name="常规 2 2 4 2 7 4 2" xfId="30679"/>
    <cellStyle name="常规 2 2 4 2 7 5" xfId="21255"/>
    <cellStyle name="常规 2 2 4 2 8" xfId="3200"/>
    <cellStyle name="常规 2 2 4 2 8 2" xfId="12620"/>
    <cellStyle name="常规 2 2 4 2 8 2 2" xfId="31468"/>
    <cellStyle name="常规 2 2 4 2 8 3" xfId="22044"/>
    <cellStyle name="常规 2 2 4 2 9" xfId="6331"/>
    <cellStyle name="常规 2 2 4 2 9 2" xfId="15751"/>
    <cellStyle name="常规 2 2 4 2 9 2 2" xfId="34599"/>
    <cellStyle name="常规 2 2 4 2 9 3" xfId="25175"/>
    <cellStyle name="常规 2 2 4 3" xfId="59"/>
    <cellStyle name="常规 2 2 4 3 10" xfId="18905"/>
    <cellStyle name="常规 2 2 4 3 2" xfId="60"/>
    <cellStyle name="常规 2 2 4 3 2 2" xfId="459"/>
    <cellStyle name="常规 2 2 4 3 2 2 2" xfId="1243"/>
    <cellStyle name="常规 2 2 4 3 2 2 2 2" xfId="4379"/>
    <cellStyle name="常规 2 2 4 3 2 2 2 2 2" xfId="13799"/>
    <cellStyle name="常规 2 2 4 3 2 2 2 2 2 2" xfId="32647"/>
    <cellStyle name="常规 2 2 4 3 2 2 2 2 3" xfId="23223"/>
    <cellStyle name="常规 2 2 4 3 2 2 2 3" xfId="7515"/>
    <cellStyle name="常规 2 2 4 3 2 2 2 3 2" xfId="16935"/>
    <cellStyle name="常规 2 2 4 3 2 2 2 3 2 2" xfId="35783"/>
    <cellStyle name="常规 2 2 4 3 2 2 2 3 3" xfId="26359"/>
    <cellStyle name="常规 2 2 4 3 2 2 2 4" xfId="10663"/>
    <cellStyle name="常规 2 2 4 3 2 2 2 4 2" xfId="29511"/>
    <cellStyle name="常规 2 2 4 3 2 2 2 5" xfId="20087"/>
    <cellStyle name="常规 2 2 4 3 2 2 3" xfId="2027"/>
    <cellStyle name="常规 2 2 4 3 2 2 3 2" xfId="5163"/>
    <cellStyle name="常规 2 2 4 3 2 2 3 2 2" xfId="14583"/>
    <cellStyle name="常规 2 2 4 3 2 2 3 2 2 2" xfId="33431"/>
    <cellStyle name="常规 2 2 4 3 2 2 3 2 3" xfId="24007"/>
    <cellStyle name="常规 2 2 4 3 2 2 3 3" xfId="8299"/>
    <cellStyle name="常规 2 2 4 3 2 2 3 3 2" xfId="17719"/>
    <cellStyle name="常规 2 2 4 3 2 2 3 3 2 2" xfId="36567"/>
    <cellStyle name="常规 2 2 4 3 2 2 3 3 3" xfId="27143"/>
    <cellStyle name="常规 2 2 4 3 2 2 3 4" xfId="11447"/>
    <cellStyle name="常规 2 2 4 3 2 2 3 4 2" xfId="30295"/>
    <cellStyle name="常规 2 2 4 3 2 2 3 5" xfId="20871"/>
    <cellStyle name="常规 2 2 4 3 2 2 4" xfId="2811"/>
    <cellStyle name="常规 2 2 4 3 2 2 4 2" xfId="5947"/>
    <cellStyle name="常规 2 2 4 3 2 2 4 2 2" xfId="15367"/>
    <cellStyle name="常规 2 2 4 3 2 2 4 2 2 2" xfId="34215"/>
    <cellStyle name="常规 2 2 4 3 2 2 4 2 3" xfId="24791"/>
    <cellStyle name="常规 2 2 4 3 2 2 4 3" xfId="9083"/>
    <cellStyle name="常规 2 2 4 3 2 2 4 3 2" xfId="18503"/>
    <cellStyle name="常规 2 2 4 3 2 2 4 3 2 2" xfId="37351"/>
    <cellStyle name="常规 2 2 4 3 2 2 4 3 3" xfId="27927"/>
    <cellStyle name="常规 2 2 4 3 2 2 4 4" xfId="12231"/>
    <cellStyle name="常规 2 2 4 3 2 2 4 4 2" xfId="31079"/>
    <cellStyle name="常规 2 2 4 3 2 2 4 5" xfId="21655"/>
    <cellStyle name="常规 2 2 4 3 2 2 5" xfId="3595"/>
    <cellStyle name="常规 2 2 4 3 2 2 5 2" xfId="13015"/>
    <cellStyle name="常规 2 2 4 3 2 2 5 2 2" xfId="31863"/>
    <cellStyle name="常规 2 2 4 3 2 2 5 3" xfId="22439"/>
    <cellStyle name="常规 2 2 4 3 2 2 6" xfId="6731"/>
    <cellStyle name="常规 2 2 4 3 2 2 6 2" xfId="16151"/>
    <cellStyle name="常规 2 2 4 3 2 2 6 2 2" xfId="34999"/>
    <cellStyle name="常规 2 2 4 3 2 2 6 3" xfId="25575"/>
    <cellStyle name="常规 2 2 4 3 2 2 7" xfId="9879"/>
    <cellStyle name="常规 2 2 4 3 2 2 7 2" xfId="28727"/>
    <cellStyle name="常规 2 2 4 3 2 2 8" xfId="19303"/>
    <cellStyle name="常规 2 2 4 3 2 3" xfId="848"/>
    <cellStyle name="常规 2 2 4 3 2 3 2" xfId="3984"/>
    <cellStyle name="常规 2 2 4 3 2 3 2 2" xfId="13404"/>
    <cellStyle name="常规 2 2 4 3 2 3 2 2 2" xfId="32252"/>
    <cellStyle name="常规 2 2 4 3 2 3 2 3" xfId="22828"/>
    <cellStyle name="常规 2 2 4 3 2 3 3" xfId="7120"/>
    <cellStyle name="常规 2 2 4 3 2 3 3 2" xfId="16540"/>
    <cellStyle name="常规 2 2 4 3 2 3 3 2 2" xfId="35388"/>
    <cellStyle name="常规 2 2 4 3 2 3 3 3" xfId="25964"/>
    <cellStyle name="常规 2 2 4 3 2 3 4" xfId="10268"/>
    <cellStyle name="常规 2 2 4 3 2 3 4 2" xfId="29116"/>
    <cellStyle name="常规 2 2 4 3 2 3 5" xfId="19692"/>
    <cellStyle name="常规 2 2 4 3 2 4" xfId="1632"/>
    <cellStyle name="常规 2 2 4 3 2 4 2" xfId="4768"/>
    <cellStyle name="常规 2 2 4 3 2 4 2 2" xfId="14188"/>
    <cellStyle name="常规 2 2 4 3 2 4 2 2 2" xfId="33036"/>
    <cellStyle name="常规 2 2 4 3 2 4 2 3" xfId="23612"/>
    <cellStyle name="常规 2 2 4 3 2 4 3" xfId="7904"/>
    <cellStyle name="常规 2 2 4 3 2 4 3 2" xfId="17324"/>
    <cellStyle name="常规 2 2 4 3 2 4 3 2 2" xfId="36172"/>
    <cellStyle name="常规 2 2 4 3 2 4 3 3" xfId="26748"/>
    <cellStyle name="常规 2 2 4 3 2 4 4" xfId="11052"/>
    <cellStyle name="常规 2 2 4 3 2 4 4 2" xfId="29900"/>
    <cellStyle name="常规 2 2 4 3 2 4 5" xfId="20476"/>
    <cellStyle name="常规 2 2 4 3 2 5" xfId="2416"/>
    <cellStyle name="常规 2 2 4 3 2 5 2" xfId="5552"/>
    <cellStyle name="常规 2 2 4 3 2 5 2 2" xfId="14972"/>
    <cellStyle name="常规 2 2 4 3 2 5 2 2 2" xfId="33820"/>
    <cellStyle name="常规 2 2 4 3 2 5 2 3" xfId="24396"/>
    <cellStyle name="常规 2 2 4 3 2 5 3" xfId="8688"/>
    <cellStyle name="常规 2 2 4 3 2 5 3 2" xfId="18108"/>
    <cellStyle name="常规 2 2 4 3 2 5 3 2 2" xfId="36956"/>
    <cellStyle name="常规 2 2 4 3 2 5 3 3" xfId="27532"/>
    <cellStyle name="常规 2 2 4 3 2 5 4" xfId="11836"/>
    <cellStyle name="常规 2 2 4 3 2 5 4 2" xfId="30684"/>
    <cellStyle name="常规 2 2 4 3 2 5 5" xfId="21260"/>
    <cellStyle name="常规 2 2 4 3 2 6" xfId="3251"/>
    <cellStyle name="常规 2 2 4 3 2 6 2" xfId="12671"/>
    <cellStyle name="常规 2 2 4 3 2 6 2 2" xfId="31519"/>
    <cellStyle name="常规 2 2 4 3 2 6 3" xfId="22095"/>
    <cellStyle name="常规 2 2 4 3 2 7" xfId="6336"/>
    <cellStyle name="常规 2 2 4 3 2 7 2" xfId="15756"/>
    <cellStyle name="常规 2 2 4 3 2 7 2 2" xfId="34604"/>
    <cellStyle name="常规 2 2 4 3 2 7 3" xfId="25180"/>
    <cellStyle name="常规 2 2 4 3 2 8" xfId="9483"/>
    <cellStyle name="常规 2 2 4 3 2 8 2" xfId="28328"/>
    <cellStyle name="常规 2 2 4 3 2 9" xfId="18906"/>
    <cellStyle name="常规 2 2 4 3 3" xfId="458"/>
    <cellStyle name="常规 2 2 4 3 3 2" xfId="1242"/>
    <cellStyle name="常规 2 2 4 3 3 2 2" xfId="4378"/>
    <cellStyle name="常规 2 2 4 3 3 2 2 2" xfId="13798"/>
    <cellStyle name="常规 2 2 4 3 3 2 2 2 2" xfId="32646"/>
    <cellStyle name="常规 2 2 4 3 3 2 2 3" xfId="23222"/>
    <cellStyle name="常规 2 2 4 3 3 2 3" xfId="7514"/>
    <cellStyle name="常规 2 2 4 3 3 2 3 2" xfId="16934"/>
    <cellStyle name="常规 2 2 4 3 3 2 3 2 2" xfId="35782"/>
    <cellStyle name="常规 2 2 4 3 3 2 3 3" xfId="26358"/>
    <cellStyle name="常规 2 2 4 3 3 2 4" xfId="10662"/>
    <cellStyle name="常规 2 2 4 3 3 2 4 2" xfId="29510"/>
    <cellStyle name="常规 2 2 4 3 3 2 5" xfId="20086"/>
    <cellStyle name="常规 2 2 4 3 3 3" xfId="2026"/>
    <cellStyle name="常规 2 2 4 3 3 3 2" xfId="5162"/>
    <cellStyle name="常规 2 2 4 3 3 3 2 2" xfId="14582"/>
    <cellStyle name="常规 2 2 4 3 3 3 2 2 2" xfId="33430"/>
    <cellStyle name="常规 2 2 4 3 3 3 2 3" xfId="24006"/>
    <cellStyle name="常规 2 2 4 3 3 3 3" xfId="8298"/>
    <cellStyle name="常规 2 2 4 3 3 3 3 2" xfId="17718"/>
    <cellStyle name="常规 2 2 4 3 3 3 3 2 2" xfId="36566"/>
    <cellStyle name="常规 2 2 4 3 3 3 3 3" xfId="27142"/>
    <cellStyle name="常规 2 2 4 3 3 3 4" xfId="11446"/>
    <cellStyle name="常规 2 2 4 3 3 3 4 2" xfId="30294"/>
    <cellStyle name="常规 2 2 4 3 3 3 5" xfId="20870"/>
    <cellStyle name="常规 2 2 4 3 3 4" xfId="2810"/>
    <cellStyle name="常规 2 2 4 3 3 4 2" xfId="5946"/>
    <cellStyle name="常规 2 2 4 3 3 4 2 2" xfId="15366"/>
    <cellStyle name="常规 2 2 4 3 3 4 2 2 2" xfId="34214"/>
    <cellStyle name="常规 2 2 4 3 3 4 2 3" xfId="24790"/>
    <cellStyle name="常规 2 2 4 3 3 4 3" xfId="9082"/>
    <cellStyle name="常规 2 2 4 3 3 4 3 2" xfId="18502"/>
    <cellStyle name="常规 2 2 4 3 3 4 3 2 2" xfId="37350"/>
    <cellStyle name="常规 2 2 4 3 3 4 3 3" xfId="27926"/>
    <cellStyle name="常规 2 2 4 3 3 4 4" xfId="12230"/>
    <cellStyle name="常规 2 2 4 3 3 4 4 2" xfId="31078"/>
    <cellStyle name="常规 2 2 4 3 3 4 5" xfId="21654"/>
    <cellStyle name="常规 2 2 4 3 3 5" xfId="3594"/>
    <cellStyle name="常规 2 2 4 3 3 5 2" xfId="13014"/>
    <cellStyle name="常规 2 2 4 3 3 5 2 2" xfId="31862"/>
    <cellStyle name="常规 2 2 4 3 3 5 3" xfId="22438"/>
    <cellStyle name="常规 2 2 4 3 3 6" xfId="6730"/>
    <cellStyle name="常规 2 2 4 3 3 6 2" xfId="16150"/>
    <cellStyle name="常规 2 2 4 3 3 6 2 2" xfId="34998"/>
    <cellStyle name="常规 2 2 4 3 3 6 3" xfId="25574"/>
    <cellStyle name="常规 2 2 4 3 3 7" xfId="9878"/>
    <cellStyle name="常规 2 2 4 3 3 7 2" xfId="28726"/>
    <cellStyle name="常规 2 2 4 3 3 8" xfId="19302"/>
    <cellStyle name="常规 2 2 4 3 4" xfId="847"/>
    <cellStyle name="常规 2 2 4 3 4 2" xfId="3983"/>
    <cellStyle name="常规 2 2 4 3 4 2 2" xfId="13403"/>
    <cellStyle name="常规 2 2 4 3 4 2 2 2" xfId="32251"/>
    <cellStyle name="常规 2 2 4 3 4 2 3" xfId="22827"/>
    <cellStyle name="常规 2 2 4 3 4 3" xfId="7119"/>
    <cellStyle name="常规 2 2 4 3 4 3 2" xfId="16539"/>
    <cellStyle name="常规 2 2 4 3 4 3 2 2" xfId="35387"/>
    <cellStyle name="常规 2 2 4 3 4 3 3" xfId="25963"/>
    <cellStyle name="常规 2 2 4 3 4 4" xfId="10267"/>
    <cellStyle name="常规 2 2 4 3 4 4 2" xfId="29115"/>
    <cellStyle name="常规 2 2 4 3 4 5" xfId="19691"/>
    <cellStyle name="常规 2 2 4 3 5" xfId="1631"/>
    <cellStyle name="常规 2 2 4 3 5 2" xfId="4767"/>
    <cellStyle name="常规 2 2 4 3 5 2 2" xfId="14187"/>
    <cellStyle name="常规 2 2 4 3 5 2 2 2" xfId="33035"/>
    <cellStyle name="常规 2 2 4 3 5 2 3" xfId="23611"/>
    <cellStyle name="常规 2 2 4 3 5 3" xfId="7903"/>
    <cellStyle name="常规 2 2 4 3 5 3 2" xfId="17323"/>
    <cellStyle name="常规 2 2 4 3 5 3 2 2" xfId="36171"/>
    <cellStyle name="常规 2 2 4 3 5 3 3" xfId="26747"/>
    <cellStyle name="常规 2 2 4 3 5 4" xfId="11051"/>
    <cellStyle name="常规 2 2 4 3 5 4 2" xfId="29899"/>
    <cellStyle name="常规 2 2 4 3 5 5" xfId="20475"/>
    <cellStyle name="常规 2 2 4 3 6" xfId="2415"/>
    <cellStyle name="常规 2 2 4 3 6 2" xfId="5551"/>
    <cellStyle name="常规 2 2 4 3 6 2 2" xfId="14971"/>
    <cellStyle name="常规 2 2 4 3 6 2 2 2" xfId="33819"/>
    <cellStyle name="常规 2 2 4 3 6 2 3" xfId="24395"/>
    <cellStyle name="常规 2 2 4 3 6 3" xfId="8687"/>
    <cellStyle name="常规 2 2 4 3 6 3 2" xfId="18107"/>
    <cellStyle name="常规 2 2 4 3 6 3 2 2" xfId="36955"/>
    <cellStyle name="常规 2 2 4 3 6 3 3" xfId="27531"/>
    <cellStyle name="常规 2 2 4 3 6 4" xfId="11835"/>
    <cellStyle name="常规 2 2 4 3 6 4 2" xfId="30683"/>
    <cellStyle name="常规 2 2 4 3 6 5" xfId="21259"/>
    <cellStyle name="常规 2 2 4 3 7" xfId="3247"/>
    <cellStyle name="常规 2 2 4 3 7 2" xfId="12667"/>
    <cellStyle name="常规 2 2 4 3 7 2 2" xfId="31515"/>
    <cellStyle name="常规 2 2 4 3 7 3" xfId="22091"/>
    <cellStyle name="常规 2 2 4 3 8" xfId="6335"/>
    <cellStyle name="常规 2 2 4 3 8 2" xfId="15755"/>
    <cellStyle name="常规 2 2 4 3 8 2 2" xfId="34603"/>
    <cellStyle name="常规 2 2 4 3 8 3" xfId="25179"/>
    <cellStyle name="常规 2 2 4 3 9" xfId="9482"/>
    <cellStyle name="常规 2 2 4 3 9 2" xfId="28327"/>
    <cellStyle name="常规 2 2 4 4" xfId="61"/>
    <cellStyle name="常规 2 2 4 4 2" xfId="460"/>
    <cellStyle name="常规 2 2 4 4 2 2" xfId="1244"/>
    <cellStyle name="常规 2 2 4 4 2 2 2" xfId="4380"/>
    <cellStyle name="常规 2 2 4 4 2 2 2 2" xfId="13800"/>
    <cellStyle name="常规 2 2 4 4 2 2 2 2 2" xfId="32648"/>
    <cellStyle name="常规 2 2 4 4 2 2 2 3" xfId="23224"/>
    <cellStyle name="常规 2 2 4 4 2 2 3" xfId="7516"/>
    <cellStyle name="常规 2 2 4 4 2 2 3 2" xfId="16936"/>
    <cellStyle name="常规 2 2 4 4 2 2 3 2 2" xfId="35784"/>
    <cellStyle name="常规 2 2 4 4 2 2 3 3" xfId="26360"/>
    <cellStyle name="常规 2 2 4 4 2 2 4" xfId="10664"/>
    <cellStyle name="常规 2 2 4 4 2 2 4 2" xfId="29512"/>
    <cellStyle name="常规 2 2 4 4 2 2 5" xfId="20088"/>
    <cellStyle name="常规 2 2 4 4 2 3" xfId="2028"/>
    <cellStyle name="常规 2 2 4 4 2 3 2" xfId="5164"/>
    <cellStyle name="常规 2 2 4 4 2 3 2 2" xfId="14584"/>
    <cellStyle name="常规 2 2 4 4 2 3 2 2 2" xfId="33432"/>
    <cellStyle name="常规 2 2 4 4 2 3 2 3" xfId="24008"/>
    <cellStyle name="常规 2 2 4 4 2 3 3" xfId="8300"/>
    <cellStyle name="常规 2 2 4 4 2 3 3 2" xfId="17720"/>
    <cellStyle name="常规 2 2 4 4 2 3 3 2 2" xfId="36568"/>
    <cellStyle name="常规 2 2 4 4 2 3 3 3" xfId="27144"/>
    <cellStyle name="常规 2 2 4 4 2 3 4" xfId="11448"/>
    <cellStyle name="常规 2 2 4 4 2 3 4 2" xfId="30296"/>
    <cellStyle name="常规 2 2 4 4 2 3 5" xfId="20872"/>
    <cellStyle name="常规 2 2 4 4 2 4" xfId="2812"/>
    <cellStyle name="常规 2 2 4 4 2 4 2" xfId="5948"/>
    <cellStyle name="常规 2 2 4 4 2 4 2 2" xfId="15368"/>
    <cellStyle name="常规 2 2 4 4 2 4 2 2 2" xfId="34216"/>
    <cellStyle name="常规 2 2 4 4 2 4 2 3" xfId="24792"/>
    <cellStyle name="常规 2 2 4 4 2 4 3" xfId="9084"/>
    <cellStyle name="常规 2 2 4 4 2 4 3 2" xfId="18504"/>
    <cellStyle name="常规 2 2 4 4 2 4 3 2 2" xfId="37352"/>
    <cellStyle name="常规 2 2 4 4 2 4 3 3" xfId="27928"/>
    <cellStyle name="常规 2 2 4 4 2 4 4" xfId="12232"/>
    <cellStyle name="常规 2 2 4 4 2 4 4 2" xfId="31080"/>
    <cellStyle name="常规 2 2 4 4 2 4 5" xfId="21656"/>
    <cellStyle name="常规 2 2 4 4 2 5" xfId="3596"/>
    <cellStyle name="常规 2 2 4 4 2 5 2" xfId="13016"/>
    <cellStyle name="常规 2 2 4 4 2 5 2 2" xfId="31864"/>
    <cellStyle name="常规 2 2 4 4 2 5 3" xfId="22440"/>
    <cellStyle name="常规 2 2 4 4 2 6" xfId="6732"/>
    <cellStyle name="常规 2 2 4 4 2 6 2" xfId="16152"/>
    <cellStyle name="常规 2 2 4 4 2 6 2 2" xfId="35000"/>
    <cellStyle name="常规 2 2 4 4 2 6 3" xfId="25576"/>
    <cellStyle name="常规 2 2 4 4 2 7" xfId="9880"/>
    <cellStyle name="常规 2 2 4 4 2 7 2" xfId="28728"/>
    <cellStyle name="常规 2 2 4 4 2 8" xfId="19304"/>
    <cellStyle name="常规 2 2 4 4 3" xfId="849"/>
    <cellStyle name="常规 2 2 4 4 3 2" xfId="3985"/>
    <cellStyle name="常规 2 2 4 4 3 2 2" xfId="13405"/>
    <cellStyle name="常规 2 2 4 4 3 2 2 2" xfId="32253"/>
    <cellStyle name="常规 2 2 4 4 3 2 3" xfId="22829"/>
    <cellStyle name="常规 2 2 4 4 3 3" xfId="7121"/>
    <cellStyle name="常规 2 2 4 4 3 3 2" xfId="16541"/>
    <cellStyle name="常规 2 2 4 4 3 3 2 2" xfId="35389"/>
    <cellStyle name="常规 2 2 4 4 3 3 3" xfId="25965"/>
    <cellStyle name="常规 2 2 4 4 3 4" xfId="10269"/>
    <cellStyle name="常规 2 2 4 4 3 4 2" xfId="29117"/>
    <cellStyle name="常规 2 2 4 4 3 5" xfId="19693"/>
    <cellStyle name="常规 2 2 4 4 4" xfId="1633"/>
    <cellStyle name="常规 2 2 4 4 4 2" xfId="4769"/>
    <cellStyle name="常规 2 2 4 4 4 2 2" xfId="14189"/>
    <cellStyle name="常规 2 2 4 4 4 2 2 2" xfId="33037"/>
    <cellStyle name="常规 2 2 4 4 4 2 3" xfId="23613"/>
    <cellStyle name="常规 2 2 4 4 4 3" xfId="7905"/>
    <cellStyle name="常规 2 2 4 4 4 3 2" xfId="17325"/>
    <cellStyle name="常规 2 2 4 4 4 3 2 2" xfId="36173"/>
    <cellStyle name="常规 2 2 4 4 4 3 3" xfId="26749"/>
    <cellStyle name="常规 2 2 4 4 4 4" xfId="11053"/>
    <cellStyle name="常规 2 2 4 4 4 4 2" xfId="29901"/>
    <cellStyle name="常规 2 2 4 4 4 5" xfId="20477"/>
    <cellStyle name="常规 2 2 4 4 5" xfId="2417"/>
    <cellStyle name="常规 2 2 4 4 5 2" xfId="5553"/>
    <cellStyle name="常规 2 2 4 4 5 2 2" xfId="14973"/>
    <cellStyle name="常规 2 2 4 4 5 2 2 2" xfId="33821"/>
    <cellStyle name="常规 2 2 4 4 5 2 3" xfId="24397"/>
    <cellStyle name="常规 2 2 4 4 5 3" xfId="8689"/>
    <cellStyle name="常规 2 2 4 4 5 3 2" xfId="18109"/>
    <cellStyle name="常规 2 2 4 4 5 3 2 2" xfId="36957"/>
    <cellStyle name="常规 2 2 4 4 5 3 3" xfId="27533"/>
    <cellStyle name="常规 2 2 4 4 5 4" xfId="11837"/>
    <cellStyle name="常规 2 2 4 4 5 4 2" xfId="30685"/>
    <cellStyle name="常规 2 2 4 4 5 5" xfId="21261"/>
    <cellStyle name="常规 2 2 4 4 6" xfId="3295"/>
    <cellStyle name="常规 2 2 4 4 6 2" xfId="12715"/>
    <cellStyle name="常规 2 2 4 4 6 2 2" xfId="31563"/>
    <cellStyle name="常规 2 2 4 4 6 3" xfId="22139"/>
    <cellStyle name="常规 2 2 4 4 7" xfId="6337"/>
    <cellStyle name="常规 2 2 4 4 7 2" xfId="15757"/>
    <cellStyle name="常规 2 2 4 4 7 2 2" xfId="34605"/>
    <cellStyle name="常规 2 2 4 4 7 3" xfId="25181"/>
    <cellStyle name="常规 2 2 4 4 8" xfId="9484"/>
    <cellStyle name="常规 2 2 4 4 8 2" xfId="28329"/>
    <cellStyle name="常规 2 2 4 4 9" xfId="18907"/>
    <cellStyle name="常规 2 2 4 5" xfId="453"/>
    <cellStyle name="常规 2 2 4 5 2" xfId="1237"/>
    <cellStyle name="常规 2 2 4 5 2 2" xfId="4373"/>
    <cellStyle name="常规 2 2 4 5 2 2 2" xfId="13793"/>
    <cellStyle name="常规 2 2 4 5 2 2 2 2" xfId="32641"/>
    <cellStyle name="常规 2 2 4 5 2 2 3" xfId="23217"/>
    <cellStyle name="常规 2 2 4 5 2 3" xfId="7509"/>
    <cellStyle name="常规 2 2 4 5 2 3 2" xfId="16929"/>
    <cellStyle name="常规 2 2 4 5 2 3 2 2" xfId="35777"/>
    <cellStyle name="常规 2 2 4 5 2 3 3" xfId="26353"/>
    <cellStyle name="常规 2 2 4 5 2 4" xfId="10657"/>
    <cellStyle name="常规 2 2 4 5 2 4 2" xfId="29505"/>
    <cellStyle name="常规 2 2 4 5 2 5" xfId="20081"/>
    <cellStyle name="常规 2 2 4 5 3" xfId="2021"/>
    <cellStyle name="常规 2 2 4 5 3 2" xfId="5157"/>
    <cellStyle name="常规 2 2 4 5 3 2 2" xfId="14577"/>
    <cellStyle name="常规 2 2 4 5 3 2 2 2" xfId="33425"/>
    <cellStyle name="常规 2 2 4 5 3 2 3" xfId="24001"/>
    <cellStyle name="常规 2 2 4 5 3 3" xfId="8293"/>
    <cellStyle name="常规 2 2 4 5 3 3 2" xfId="17713"/>
    <cellStyle name="常规 2 2 4 5 3 3 2 2" xfId="36561"/>
    <cellStyle name="常规 2 2 4 5 3 3 3" xfId="27137"/>
    <cellStyle name="常规 2 2 4 5 3 4" xfId="11441"/>
    <cellStyle name="常规 2 2 4 5 3 4 2" xfId="30289"/>
    <cellStyle name="常规 2 2 4 5 3 5" xfId="20865"/>
    <cellStyle name="常规 2 2 4 5 4" xfId="2805"/>
    <cellStyle name="常规 2 2 4 5 4 2" xfId="5941"/>
    <cellStyle name="常规 2 2 4 5 4 2 2" xfId="15361"/>
    <cellStyle name="常规 2 2 4 5 4 2 2 2" xfId="34209"/>
    <cellStyle name="常规 2 2 4 5 4 2 3" xfId="24785"/>
    <cellStyle name="常规 2 2 4 5 4 3" xfId="9077"/>
    <cellStyle name="常规 2 2 4 5 4 3 2" xfId="18497"/>
    <cellStyle name="常规 2 2 4 5 4 3 2 2" xfId="37345"/>
    <cellStyle name="常规 2 2 4 5 4 3 3" xfId="27921"/>
    <cellStyle name="常规 2 2 4 5 4 4" xfId="12225"/>
    <cellStyle name="常规 2 2 4 5 4 4 2" xfId="31073"/>
    <cellStyle name="常规 2 2 4 5 4 5" xfId="21649"/>
    <cellStyle name="常规 2 2 4 5 5" xfId="3589"/>
    <cellStyle name="常规 2 2 4 5 5 2" xfId="13009"/>
    <cellStyle name="常规 2 2 4 5 5 2 2" xfId="31857"/>
    <cellStyle name="常规 2 2 4 5 5 3" xfId="22433"/>
    <cellStyle name="常规 2 2 4 5 6" xfId="6725"/>
    <cellStyle name="常规 2 2 4 5 6 2" xfId="16145"/>
    <cellStyle name="常规 2 2 4 5 6 2 2" xfId="34993"/>
    <cellStyle name="常规 2 2 4 5 6 3" xfId="25569"/>
    <cellStyle name="常规 2 2 4 5 7" xfId="9873"/>
    <cellStyle name="常规 2 2 4 5 7 2" xfId="28721"/>
    <cellStyle name="常规 2 2 4 5 8" xfId="19297"/>
    <cellStyle name="常规 2 2 4 6" xfId="842"/>
    <cellStyle name="常规 2 2 4 6 2" xfId="3978"/>
    <cellStyle name="常规 2 2 4 6 2 2" xfId="13398"/>
    <cellStyle name="常规 2 2 4 6 2 2 2" xfId="32246"/>
    <cellStyle name="常规 2 2 4 6 2 3" xfId="22822"/>
    <cellStyle name="常规 2 2 4 6 3" xfId="7114"/>
    <cellStyle name="常规 2 2 4 6 3 2" xfId="16534"/>
    <cellStyle name="常规 2 2 4 6 3 2 2" xfId="35382"/>
    <cellStyle name="常规 2 2 4 6 3 3" xfId="25958"/>
    <cellStyle name="常规 2 2 4 6 4" xfId="10262"/>
    <cellStyle name="常规 2 2 4 6 4 2" xfId="29110"/>
    <cellStyle name="常规 2 2 4 6 5" xfId="19686"/>
    <cellStyle name="常规 2 2 4 7" xfId="1626"/>
    <cellStyle name="常规 2 2 4 7 2" xfId="4762"/>
    <cellStyle name="常规 2 2 4 7 2 2" xfId="14182"/>
    <cellStyle name="常规 2 2 4 7 2 2 2" xfId="33030"/>
    <cellStyle name="常规 2 2 4 7 2 3" xfId="23606"/>
    <cellStyle name="常规 2 2 4 7 3" xfId="7898"/>
    <cellStyle name="常规 2 2 4 7 3 2" xfId="17318"/>
    <cellStyle name="常规 2 2 4 7 3 2 2" xfId="36166"/>
    <cellStyle name="常规 2 2 4 7 3 3" xfId="26742"/>
    <cellStyle name="常规 2 2 4 7 4" xfId="11046"/>
    <cellStyle name="常规 2 2 4 7 4 2" xfId="29894"/>
    <cellStyle name="常规 2 2 4 7 5" xfId="20470"/>
    <cellStyle name="常规 2 2 4 8" xfId="2410"/>
    <cellStyle name="常规 2 2 4 8 2" xfId="5546"/>
    <cellStyle name="常规 2 2 4 8 2 2" xfId="14966"/>
    <cellStyle name="常规 2 2 4 8 2 2 2" xfId="33814"/>
    <cellStyle name="常规 2 2 4 8 2 3" xfId="24390"/>
    <cellStyle name="常规 2 2 4 8 3" xfId="8682"/>
    <cellStyle name="常规 2 2 4 8 3 2" xfId="18102"/>
    <cellStyle name="常规 2 2 4 8 3 2 2" xfId="36950"/>
    <cellStyle name="常规 2 2 4 8 3 3" xfId="27526"/>
    <cellStyle name="常规 2 2 4 8 4" xfId="11830"/>
    <cellStyle name="常规 2 2 4 8 4 2" xfId="30678"/>
    <cellStyle name="常规 2 2 4 8 5" xfId="21254"/>
    <cellStyle name="常规 2 2 4 9" xfId="3154"/>
    <cellStyle name="常规 2 2 4 9 2" xfId="12574"/>
    <cellStyle name="常规 2 2 4 9 2 2" xfId="31422"/>
    <cellStyle name="常规 2 2 4 9 3" xfId="21998"/>
    <cellStyle name="常规 2 2 5" xfId="62"/>
    <cellStyle name="常规 2 2 5 10" xfId="9485"/>
    <cellStyle name="常规 2 2 5 10 2" xfId="28330"/>
    <cellStyle name="常规 2 2 5 11" xfId="18908"/>
    <cellStyle name="常规 2 2 5 2" xfId="63"/>
    <cellStyle name="常规 2 2 5 2 10" xfId="18909"/>
    <cellStyle name="常规 2 2 5 2 2" xfId="64"/>
    <cellStyle name="常规 2 2 5 2 2 2" xfId="463"/>
    <cellStyle name="常规 2 2 5 2 2 2 2" xfId="1247"/>
    <cellStyle name="常规 2 2 5 2 2 2 2 2" xfId="4383"/>
    <cellStyle name="常规 2 2 5 2 2 2 2 2 2" xfId="13803"/>
    <cellStyle name="常规 2 2 5 2 2 2 2 2 2 2" xfId="32651"/>
    <cellStyle name="常规 2 2 5 2 2 2 2 2 3" xfId="23227"/>
    <cellStyle name="常规 2 2 5 2 2 2 2 3" xfId="7519"/>
    <cellStyle name="常规 2 2 5 2 2 2 2 3 2" xfId="16939"/>
    <cellStyle name="常规 2 2 5 2 2 2 2 3 2 2" xfId="35787"/>
    <cellStyle name="常规 2 2 5 2 2 2 2 3 3" xfId="26363"/>
    <cellStyle name="常规 2 2 5 2 2 2 2 4" xfId="10667"/>
    <cellStyle name="常规 2 2 5 2 2 2 2 4 2" xfId="29515"/>
    <cellStyle name="常规 2 2 5 2 2 2 2 5" xfId="20091"/>
    <cellStyle name="常规 2 2 5 2 2 2 3" xfId="2031"/>
    <cellStyle name="常规 2 2 5 2 2 2 3 2" xfId="5167"/>
    <cellStyle name="常规 2 2 5 2 2 2 3 2 2" xfId="14587"/>
    <cellStyle name="常规 2 2 5 2 2 2 3 2 2 2" xfId="33435"/>
    <cellStyle name="常规 2 2 5 2 2 2 3 2 3" xfId="24011"/>
    <cellStyle name="常规 2 2 5 2 2 2 3 3" xfId="8303"/>
    <cellStyle name="常规 2 2 5 2 2 2 3 3 2" xfId="17723"/>
    <cellStyle name="常规 2 2 5 2 2 2 3 3 2 2" xfId="36571"/>
    <cellStyle name="常规 2 2 5 2 2 2 3 3 3" xfId="27147"/>
    <cellStyle name="常规 2 2 5 2 2 2 3 4" xfId="11451"/>
    <cellStyle name="常规 2 2 5 2 2 2 3 4 2" xfId="30299"/>
    <cellStyle name="常规 2 2 5 2 2 2 3 5" xfId="20875"/>
    <cellStyle name="常规 2 2 5 2 2 2 4" xfId="2815"/>
    <cellStyle name="常规 2 2 5 2 2 2 4 2" xfId="5951"/>
    <cellStyle name="常规 2 2 5 2 2 2 4 2 2" xfId="15371"/>
    <cellStyle name="常规 2 2 5 2 2 2 4 2 2 2" xfId="34219"/>
    <cellStyle name="常规 2 2 5 2 2 2 4 2 3" xfId="24795"/>
    <cellStyle name="常规 2 2 5 2 2 2 4 3" xfId="9087"/>
    <cellStyle name="常规 2 2 5 2 2 2 4 3 2" xfId="18507"/>
    <cellStyle name="常规 2 2 5 2 2 2 4 3 2 2" xfId="37355"/>
    <cellStyle name="常规 2 2 5 2 2 2 4 3 3" xfId="27931"/>
    <cellStyle name="常规 2 2 5 2 2 2 4 4" xfId="12235"/>
    <cellStyle name="常规 2 2 5 2 2 2 4 4 2" xfId="31083"/>
    <cellStyle name="常规 2 2 5 2 2 2 4 5" xfId="21659"/>
    <cellStyle name="常规 2 2 5 2 2 2 5" xfId="3599"/>
    <cellStyle name="常规 2 2 5 2 2 2 5 2" xfId="13019"/>
    <cellStyle name="常规 2 2 5 2 2 2 5 2 2" xfId="31867"/>
    <cellStyle name="常规 2 2 5 2 2 2 5 3" xfId="22443"/>
    <cellStyle name="常规 2 2 5 2 2 2 6" xfId="6735"/>
    <cellStyle name="常规 2 2 5 2 2 2 6 2" xfId="16155"/>
    <cellStyle name="常规 2 2 5 2 2 2 6 2 2" xfId="35003"/>
    <cellStyle name="常规 2 2 5 2 2 2 6 3" xfId="25579"/>
    <cellStyle name="常规 2 2 5 2 2 2 7" xfId="9883"/>
    <cellStyle name="常规 2 2 5 2 2 2 7 2" xfId="28731"/>
    <cellStyle name="常规 2 2 5 2 2 2 8" xfId="19307"/>
    <cellStyle name="常规 2 2 5 2 2 3" xfId="852"/>
    <cellStyle name="常规 2 2 5 2 2 3 2" xfId="3988"/>
    <cellStyle name="常规 2 2 5 2 2 3 2 2" xfId="13408"/>
    <cellStyle name="常规 2 2 5 2 2 3 2 2 2" xfId="32256"/>
    <cellStyle name="常规 2 2 5 2 2 3 2 3" xfId="22832"/>
    <cellStyle name="常规 2 2 5 2 2 3 3" xfId="7124"/>
    <cellStyle name="常规 2 2 5 2 2 3 3 2" xfId="16544"/>
    <cellStyle name="常规 2 2 5 2 2 3 3 2 2" xfId="35392"/>
    <cellStyle name="常规 2 2 5 2 2 3 3 3" xfId="25968"/>
    <cellStyle name="常规 2 2 5 2 2 3 4" xfId="10272"/>
    <cellStyle name="常规 2 2 5 2 2 3 4 2" xfId="29120"/>
    <cellStyle name="常规 2 2 5 2 2 3 5" xfId="19696"/>
    <cellStyle name="常规 2 2 5 2 2 4" xfId="1636"/>
    <cellStyle name="常规 2 2 5 2 2 4 2" xfId="4772"/>
    <cellStyle name="常规 2 2 5 2 2 4 2 2" xfId="14192"/>
    <cellStyle name="常规 2 2 5 2 2 4 2 2 2" xfId="33040"/>
    <cellStyle name="常规 2 2 5 2 2 4 2 3" xfId="23616"/>
    <cellStyle name="常规 2 2 5 2 2 4 3" xfId="7908"/>
    <cellStyle name="常规 2 2 5 2 2 4 3 2" xfId="17328"/>
    <cellStyle name="常规 2 2 5 2 2 4 3 2 2" xfId="36176"/>
    <cellStyle name="常规 2 2 5 2 2 4 3 3" xfId="26752"/>
    <cellStyle name="常规 2 2 5 2 2 4 4" xfId="11056"/>
    <cellStyle name="常规 2 2 5 2 2 4 4 2" xfId="29904"/>
    <cellStyle name="常规 2 2 5 2 2 4 5" xfId="20480"/>
    <cellStyle name="常规 2 2 5 2 2 5" xfId="2420"/>
    <cellStyle name="常规 2 2 5 2 2 5 2" xfId="5556"/>
    <cellStyle name="常规 2 2 5 2 2 5 2 2" xfId="14976"/>
    <cellStyle name="常规 2 2 5 2 2 5 2 2 2" xfId="33824"/>
    <cellStyle name="常规 2 2 5 2 2 5 2 3" xfId="24400"/>
    <cellStyle name="常规 2 2 5 2 2 5 3" xfId="8692"/>
    <cellStyle name="常规 2 2 5 2 2 5 3 2" xfId="18112"/>
    <cellStyle name="常规 2 2 5 2 2 5 3 2 2" xfId="36960"/>
    <cellStyle name="常规 2 2 5 2 2 5 3 3" xfId="27536"/>
    <cellStyle name="常规 2 2 5 2 2 5 4" xfId="11840"/>
    <cellStyle name="常规 2 2 5 2 2 5 4 2" xfId="30688"/>
    <cellStyle name="常规 2 2 5 2 2 5 5" xfId="21264"/>
    <cellStyle name="常规 2 2 5 2 2 6" xfId="3264"/>
    <cellStyle name="常规 2 2 5 2 2 6 2" xfId="12684"/>
    <cellStyle name="常规 2 2 5 2 2 6 2 2" xfId="31532"/>
    <cellStyle name="常规 2 2 5 2 2 6 3" xfId="22108"/>
    <cellStyle name="常规 2 2 5 2 2 7" xfId="6340"/>
    <cellStyle name="常规 2 2 5 2 2 7 2" xfId="15760"/>
    <cellStyle name="常规 2 2 5 2 2 7 2 2" xfId="34608"/>
    <cellStyle name="常规 2 2 5 2 2 7 3" xfId="25184"/>
    <cellStyle name="常规 2 2 5 2 2 8" xfId="9487"/>
    <cellStyle name="常规 2 2 5 2 2 8 2" xfId="28332"/>
    <cellStyle name="常规 2 2 5 2 2 9" xfId="18910"/>
    <cellStyle name="常规 2 2 5 2 3" xfId="462"/>
    <cellStyle name="常规 2 2 5 2 3 2" xfId="1246"/>
    <cellStyle name="常规 2 2 5 2 3 2 2" xfId="4382"/>
    <cellStyle name="常规 2 2 5 2 3 2 2 2" xfId="13802"/>
    <cellStyle name="常规 2 2 5 2 3 2 2 2 2" xfId="32650"/>
    <cellStyle name="常规 2 2 5 2 3 2 2 3" xfId="23226"/>
    <cellStyle name="常规 2 2 5 2 3 2 3" xfId="7518"/>
    <cellStyle name="常规 2 2 5 2 3 2 3 2" xfId="16938"/>
    <cellStyle name="常规 2 2 5 2 3 2 3 2 2" xfId="35786"/>
    <cellStyle name="常规 2 2 5 2 3 2 3 3" xfId="26362"/>
    <cellStyle name="常规 2 2 5 2 3 2 4" xfId="10666"/>
    <cellStyle name="常规 2 2 5 2 3 2 4 2" xfId="29514"/>
    <cellStyle name="常规 2 2 5 2 3 2 5" xfId="20090"/>
    <cellStyle name="常规 2 2 5 2 3 3" xfId="2030"/>
    <cellStyle name="常规 2 2 5 2 3 3 2" xfId="5166"/>
    <cellStyle name="常规 2 2 5 2 3 3 2 2" xfId="14586"/>
    <cellStyle name="常规 2 2 5 2 3 3 2 2 2" xfId="33434"/>
    <cellStyle name="常规 2 2 5 2 3 3 2 3" xfId="24010"/>
    <cellStyle name="常规 2 2 5 2 3 3 3" xfId="8302"/>
    <cellStyle name="常规 2 2 5 2 3 3 3 2" xfId="17722"/>
    <cellStyle name="常规 2 2 5 2 3 3 3 2 2" xfId="36570"/>
    <cellStyle name="常规 2 2 5 2 3 3 3 3" xfId="27146"/>
    <cellStyle name="常规 2 2 5 2 3 3 4" xfId="11450"/>
    <cellStyle name="常规 2 2 5 2 3 3 4 2" xfId="30298"/>
    <cellStyle name="常规 2 2 5 2 3 3 5" xfId="20874"/>
    <cellStyle name="常规 2 2 5 2 3 4" xfId="2814"/>
    <cellStyle name="常规 2 2 5 2 3 4 2" xfId="5950"/>
    <cellStyle name="常规 2 2 5 2 3 4 2 2" xfId="15370"/>
    <cellStyle name="常规 2 2 5 2 3 4 2 2 2" xfId="34218"/>
    <cellStyle name="常规 2 2 5 2 3 4 2 3" xfId="24794"/>
    <cellStyle name="常规 2 2 5 2 3 4 3" xfId="9086"/>
    <cellStyle name="常规 2 2 5 2 3 4 3 2" xfId="18506"/>
    <cellStyle name="常规 2 2 5 2 3 4 3 2 2" xfId="37354"/>
    <cellStyle name="常规 2 2 5 2 3 4 3 3" xfId="27930"/>
    <cellStyle name="常规 2 2 5 2 3 4 4" xfId="12234"/>
    <cellStyle name="常规 2 2 5 2 3 4 4 2" xfId="31082"/>
    <cellStyle name="常规 2 2 5 2 3 4 5" xfId="21658"/>
    <cellStyle name="常规 2 2 5 2 3 5" xfId="3598"/>
    <cellStyle name="常规 2 2 5 2 3 5 2" xfId="13018"/>
    <cellStyle name="常规 2 2 5 2 3 5 2 2" xfId="31866"/>
    <cellStyle name="常规 2 2 5 2 3 5 3" xfId="22442"/>
    <cellStyle name="常规 2 2 5 2 3 6" xfId="6734"/>
    <cellStyle name="常规 2 2 5 2 3 6 2" xfId="16154"/>
    <cellStyle name="常规 2 2 5 2 3 6 2 2" xfId="35002"/>
    <cellStyle name="常规 2 2 5 2 3 6 3" xfId="25578"/>
    <cellStyle name="常规 2 2 5 2 3 7" xfId="9882"/>
    <cellStyle name="常规 2 2 5 2 3 7 2" xfId="28730"/>
    <cellStyle name="常规 2 2 5 2 3 8" xfId="19306"/>
    <cellStyle name="常规 2 2 5 2 4" xfId="851"/>
    <cellStyle name="常规 2 2 5 2 4 2" xfId="3987"/>
    <cellStyle name="常规 2 2 5 2 4 2 2" xfId="13407"/>
    <cellStyle name="常规 2 2 5 2 4 2 2 2" xfId="32255"/>
    <cellStyle name="常规 2 2 5 2 4 2 3" xfId="22831"/>
    <cellStyle name="常规 2 2 5 2 4 3" xfId="7123"/>
    <cellStyle name="常规 2 2 5 2 4 3 2" xfId="16543"/>
    <cellStyle name="常规 2 2 5 2 4 3 2 2" xfId="35391"/>
    <cellStyle name="常规 2 2 5 2 4 3 3" xfId="25967"/>
    <cellStyle name="常规 2 2 5 2 4 4" xfId="10271"/>
    <cellStyle name="常规 2 2 5 2 4 4 2" xfId="29119"/>
    <cellStyle name="常规 2 2 5 2 4 5" xfId="19695"/>
    <cellStyle name="常规 2 2 5 2 5" xfId="1635"/>
    <cellStyle name="常规 2 2 5 2 5 2" xfId="4771"/>
    <cellStyle name="常规 2 2 5 2 5 2 2" xfId="14191"/>
    <cellStyle name="常规 2 2 5 2 5 2 2 2" xfId="33039"/>
    <cellStyle name="常规 2 2 5 2 5 2 3" xfId="23615"/>
    <cellStyle name="常规 2 2 5 2 5 3" xfId="7907"/>
    <cellStyle name="常规 2 2 5 2 5 3 2" xfId="17327"/>
    <cellStyle name="常规 2 2 5 2 5 3 2 2" xfId="36175"/>
    <cellStyle name="常规 2 2 5 2 5 3 3" xfId="26751"/>
    <cellStyle name="常规 2 2 5 2 5 4" xfId="11055"/>
    <cellStyle name="常规 2 2 5 2 5 4 2" xfId="29903"/>
    <cellStyle name="常规 2 2 5 2 5 5" xfId="20479"/>
    <cellStyle name="常规 2 2 5 2 6" xfId="2419"/>
    <cellStyle name="常规 2 2 5 2 6 2" xfId="5555"/>
    <cellStyle name="常规 2 2 5 2 6 2 2" xfId="14975"/>
    <cellStyle name="常规 2 2 5 2 6 2 2 2" xfId="33823"/>
    <cellStyle name="常规 2 2 5 2 6 2 3" xfId="24399"/>
    <cellStyle name="常规 2 2 5 2 6 3" xfId="8691"/>
    <cellStyle name="常规 2 2 5 2 6 3 2" xfId="18111"/>
    <cellStyle name="常规 2 2 5 2 6 3 2 2" xfId="36959"/>
    <cellStyle name="常规 2 2 5 2 6 3 3" xfId="27535"/>
    <cellStyle name="常规 2 2 5 2 6 4" xfId="11839"/>
    <cellStyle name="常规 2 2 5 2 6 4 2" xfId="30687"/>
    <cellStyle name="常规 2 2 5 2 6 5" xfId="21263"/>
    <cellStyle name="常规 2 2 5 2 7" xfId="3263"/>
    <cellStyle name="常规 2 2 5 2 7 2" xfId="12683"/>
    <cellStyle name="常规 2 2 5 2 7 2 2" xfId="31531"/>
    <cellStyle name="常规 2 2 5 2 7 3" xfId="22107"/>
    <cellStyle name="常规 2 2 5 2 8" xfId="6339"/>
    <cellStyle name="常规 2 2 5 2 8 2" xfId="15759"/>
    <cellStyle name="常规 2 2 5 2 8 2 2" xfId="34607"/>
    <cellStyle name="常规 2 2 5 2 8 3" xfId="25183"/>
    <cellStyle name="常规 2 2 5 2 9" xfId="9486"/>
    <cellStyle name="常规 2 2 5 2 9 2" xfId="28331"/>
    <cellStyle name="常规 2 2 5 3" xfId="65"/>
    <cellStyle name="常规 2 2 5 3 2" xfId="464"/>
    <cellStyle name="常规 2 2 5 3 2 2" xfId="1248"/>
    <cellStyle name="常规 2 2 5 3 2 2 2" xfId="4384"/>
    <cellStyle name="常规 2 2 5 3 2 2 2 2" xfId="13804"/>
    <cellStyle name="常规 2 2 5 3 2 2 2 2 2" xfId="32652"/>
    <cellStyle name="常规 2 2 5 3 2 2 2 3" xfId="23228"/>
    <cellStyle name="常规 2 2 5 3 2 2 3" xfId="7520"/>
    <cellStyle name="常规 2 2 5 3 2 2 3 2" xfId="16940"/>
    <cellStyle name="常规 2 2 5 3 2 2 3 2 2" xfId="35788"/>
    <cellStyle name="常规 2 2 5 3 2 2 3 3" xfId="26364"/>
    <cellStyle name="常规 2 2 5 3 2 2 4" xfId="10668"/>
    <cellStyle name="常规 2 2 5 3 2 2 4 2" xfId="29516"/>
    <cellStyle name="常规 2 2 5 3 2 2 5" xfId="20092"/>
    <cellStyle name="常规 2 2 5 3 2 3" xfId="2032"/>
    <cellStyle name="常规 2 2 5 3 2 3 2" xfId="5168"/>
    <cellStyle name="常规 2 2 5 3 2 3 2 2" xfId="14588"/>
    <cellStyle name="常规 2 2 5 3 2 3 2 2 2" xfId="33436"/>
    <cellStyle name="常规 2 2 5 3 2 3 2 3" xfId="24012"/>
    <cellStyle name="常规 2 2 5 3 2 3 3" xfId="8304"/>
    <cellStyle name="常规 2 2 5 3 2 3 3 2" xfId="17724"/>
    <cellStyle name="常规 2 2 5 3 2 3 3 2 2" xfId="36572"/>
    <cellStyle name="常规 2 2 5 3 2 3 3 3" xfId="27148"/>
    <cellStyle name="常规 2 2 5 3 2 3 4" xfId="11452"/>
    <cellStyle name="常规 2 2 5 3 2 3 4 2" xfId="30300"/>
    <cellStyle name="常规 2 2 5 3 2 3 5" xfId="20876"/>
    <cellStyle name="常规 2 2 5 3 2 4" xfId="2816"/>
    <cellStyle name="常规 2 2 5 3 2 4 2" xfId="5952"/>
    <cellStyle name="常规 2 2 5 3 2 4 2 2" xfId="15372"/>
    <cellStyle name="常规 2 2 5 3 2 4 2 2 2" xfId="34220"/>
    <cellStyle name="常规 2 2 5 3 2 4 2 3" xfId="24796"/>
    <cellStyle name="常规 2 2 5 3 2 4 3" xfId="9088"/>
    <cellStyle name="常规 2 2 5 3 2 4 3 2" xfId="18508"/>
    <cellStyle name="常规 2 2 5 3 2 4 3 2 2" xfId="37356"/>
    <cellStyle name="常规 2 2 5 3 2 4 3 3" xfId="27932"/>
    <cellStyle name="常规 2 2 5 3 2 4 4" xfId="12236"/>
    <cellStyle name="常规 2 2 5 3 2 4 4 2" xfId="31084"/>
    <cellStyle name="常规 2 2 5 3 2 4 5" xfId="21660"/>
    <cellStyle name="常规 2 2 5 3 2 5" xfId="3600"/>
    <cellStyle name="常规 2 2 5 3 2 5 2" xfId="13020"/>
    <cellStyle name="常规 2 2 5 3 2 5 2 2" xfId="31868"/>
    <cellStyle name="常规 2 2 5 3 2 5 3" xfId="22444"/>
    <cellStyle name="常规 2 2 5 3 2 6" xfId="6736"/>
    <cellStyle name="常规 2 2 5 3 2 6 2" xfId="16156"/>
    <cellStyle name="常规 2 2 5 3 2 6 2 2" xfId="35004"/>
    <cellStyle name="常规 2 2 5 3 2 6 3" xfId="25580"/>
    <cellStyle name="常规 2 2 5 3 2 7" xfId="9884"/>
    <cellStyle name="常规 2 2 5 3 2 7 2" xfId="28732"/>
    <cellStyle name="常规 2 2 5 3 2 8" xfId="19308"/>
    <cellStyle name="常规 2 2 5 3 3" xfId="853"/>
    <cellStyle name="常规 2 2 5 3 3 2" xfId="3989"/>
    <cellStyle name="常规 2 2 5 3 3 2 2" xfId="13409"/>
    <cellStyle name="常规 2 2 5 3 3 2 2 2" xfId="32257"/>
    <cellStyle name="常规 2 2 5 3 3 2 3" xfId="22833"/>
    <cellStyle name="常规 2 2 5 3 3 3" xfId="7125"/>
    <cellStyle name="常规 2 2 5 3 3 3 2" xfId="16545"/>
    <cellStyle name="常规 2 2 5 3 3 3 2 2" xfId="35393"/>
    <cellStyle name="常规 2 2 5 3 3 3 3" xfId="25969"/>
    <cellStyle name="常规 2 2 5 3 3 4" xfId="10273"/>
    <cellStyle name="常规 2 2 5 3 3 4 2" xfId="29121"/>
    <cellStyle name="常规 2 2 5 3 3 5" xfId="19697"/>
    <cellStyle name="常规 2 2 5 3 4" xfId="1637"/>
    <cellStyle name="常规 2 2 5 3 4 2" xfId="4773"/>
    <cellStyle name="常规 2 2 5 3 4 2 2" xfId="14193"/>
    <cellStyle name="常规 2 2 5 3 4 2 2 2" xfId="33041"/>
    <cellStyle name="常规 2 2 5 3 4 2 3" xfId="23617"/>
    <cellStyle name="常规 2 2 5 3 4 3" xfId="7909"/>
    <cellStyle name="常规 2 2 5 3 4 3 2" xfId="17329"/>
    <cellStyle name="常规 2 2 5 3 4 3 2 2" xfId="36177"/>
    <cellStyle name="常规 2 2 5 3 4 3 3" xfId="26753"/>
    <cellStyle name="常规 2 2 5 3 4 4" xfId="11057"/>
    <cellStyle name="常规 2 2 5 3 4 4 2" xfId="29905"/>
    <cellStyle name="常规 2 2 5 3 4 5" xfId="20481"/>
    <cellStyle name="常规 2 2 5 3 5" xfId="2421"/>
    <cellStyle name="常规 2 2 5 3 5 2" xfId="5557"/>
    <cellStyle name="常规 2 2 5 3 5 2 2" xfId="14977"/>
    <cellStyle name="常规 2 2 5 3 5 2 2 2" xfId="33825"/>
    <cellStyle name="常规 2 2 5 3 5 2 3" xfId="24401"/>
    <cellStyle name="常规 2 2 5 3 5 3" xfId="8693"/>
    <cellStyle name="常规 2 2 5 3 5 3 2" xfId="18113"/>
    <cellStyle name="常规 2 2 5 3 5 3 2 2" xfId="36961"/>
    <cellStyle name="常规 2 2 5 3 5 3 3" xfId="27537"/>
    <cellStyle name="常规 2 2 5 3 5 4" xfId="11841"/>
    <cellStyle name="常规 2 2 5 3 5 4 2" xfId="30689"/>
    <cellStyle name="常规 2 2 5 3 5 5" xfId="21265"/>
    <cellStyle name="常规 2 2 5 3 6" xfId="3288"/>
    <cellStyle name="常规 2 2 5 3 6 2" xfId="12708"/>
    <cellStyle name="常规 2 2 5 3 6 2 2" xfId="31556"/>
    <cellStyle name="常规 2 2 5 3 6 3" xfId="22132"/>
    <cellStyle name="常规 2 2 5 3 7" xfId="6341"/>
    <cellStyle name="常规 2 2 5 3 7 2" xfId="15761"/>
    <cellStyle name="常规 2 2 5 3 7 2 2" xfId="34609"/>
    <cellStyle name="常规 2 2 5 3 7 3" xfId="25185"/>
    <cellStyle name="常规 2 2 5 3 8" xfId="9488"/>
    <cellStyle name="常规 2 2 5 3 8 2" xfId="28333"/>
    <cellStyle name="常规 2 2 5 3 9" xfId="18911"/>
    <cellStyle name="常规 2 2 5 4" xfId="461"/>
    <cellStyle name="常规 2 2 5 4 2" xfId="1245"/>
    <cellStyle name="常规 2 2 5 4 2 2" xfId="4381"/>
    <cellStyle name="常规 2 2 5 4 2 2 2" xfId="13801"/>
    <cellStyle name="常规 2 2 5 4 2 2 2 2" xfId="32649"/>
    <cellStyle name="常规 2 2 5 4 2 2 3" xfId="23225"/>
    <cellStyle name="常规 2 2 5 4 2 3" xfId="7517"/>
    <cellStyle name="常规 2 2 5 4 2 3 2" xfId="16937"/>
    <cellStyle name="常规 2 2 5 4 2 3 2 2" xfId="35785"/>
    <cellStyle name="常规 2 2 5 4 2 3 3" xfId="26361"/>
    <cellStyle name="常规 2 2 5 4 2 4" xfId="10665"/>
    <cellStyle name="常规 2 2 5 4 2 4 2" xfId="29513"/>
    <cellStyle name="常规 2 2 5 4 2 5" xfId="20089"/>
    <cellStyle name="常规 2 2 5 4 3" xfId="2029"/>
    <cellStyle name="常规 2 2 5 4 3 2" xfId="5165"/>
    <cellStyle name="常规 2 2 5 4 3 2 2" xfId="14585"/>
    <cellStyle name="常规 2 2 5 4 3 2 2 2" xfId="33433"/>
    <cellStyle name="常规 2 2 5 4 3 2 3" xfId="24009"/>
    <cellStyle name="常规 2 2 5 4 3 3" xfId="8301"/>
    <cellStyle name="常规 2 2 5 4 3 3 2" xfId="17721"/>
    <cellStyle name="常规 2 2 5 4 3 3 2 2" xfId="36569"/>
    <cellStyle name="常规 2 2 5 4 3 3 3" xfId="27145"/>
    <cellStyle name="常规 2 2 5 4 3 4" xfId="11449"/>
    <cellStyle name="常规 2 2 5 4 3 4 2" xfId="30297"/>
    <cellStyle name="常规 2 2 5 4 3 5" xfId="20873"/>
    <cellStyle name="常规 2 2 5 4 4" xfId="2813"/>
    <cellStyle name="常规 2 2 5 4 4 2" xfId="5949"/>
    <cellStyle name="常规 2 2 5 4 4 2 2" xfId="15369"/>
    <cellStyle name="常规 2 2 5 4 4 2 2 2" xfId="34217"/>
    <cellStyle name="常规 2 2 5 4 4 2 3" xfId="24793"/>
    <cellStyle name="常规 2 2 5 4 4 3" xfId="9085"/>
    <cellStyle name="常规 2 2 5 4 4 3 2" xfId="18505"/>
    <cellStyle name="常规 2 2 5 4 4 3 2 2" xfId="37353"/>
    <cellStyle name="常规 2 2 5 4 4 3 3" xfId="27929"/>
    <cellStyle name="常规 2 2 5 4 4 4" xfId="12233"/>
    <cellStyle name="常规 2 2 5 4 4 4 2" xfId="31081"/>
    <cellStyle name="常规 2 2 5 4 4 5" xfId="21657"/>
    <cellStyle name="常规 2 2 5 4 5" xfId="3597"/>
    <cellStyle name="常规 2 2 5 4 5 2" xfId="13017"/>
    <cellStyle name="常规 2 2 5 4 5 2 2" xfId="31865"/>
    <cellStyle name="常规 2 2 5 4 5 3" xfId="22441"/>
    <cellStyle name="常规 2 2 5 4 6" xfId="6733"/>
    <cellStyle name="常规 2 2 5 4 6 2" xfId="16153"/>
    <cellStyle name="常规 2 2 5 4 6 2 2" xfId="35001"/>
    <cellStyle name="常规 2 2 5 4 6 3" xfId="25577"/>
    <cellStyle name="常规 2 2 5 4 7" xfId="9881"/>
    <cellStyle name="常规 2 2 5 4 7 2" xfId="28729"/>
    <cellStyle name="常规 2 2 5 4 8" xfId="19305"/>
    <cellStyle name="常规 2 2 5 5" xfId="850"/>
    <cellStyle name="常规 2 2 5 5 2" xfId="3986"/>
    <cellStyle name="常规 2 2 5 5 2 2" xfId="13406"/>
    <cellStyle name="常规 2 2 5 5 2 2 2" xfId="32254"/>
    <cellStyle name="常规 2 2 5 5 2 3" xfId="22830"/>
    <cellStyle name="常规 2 2 5 5 3" xfId="7122"/>
    <cellStyle name="常规 2 2 5 5 3 2" xfId="16542"/>
    <cellStyle name="常规 2 2 5 5 3 2 2" xfId="35390"/>
    <cellStyle name="常规 2 2 5 5 3 3" xfId="25966"/>
    <cellStyle name="常规 2 2 5 5 4" xfId="10270"/>
    <cellStyle name="常规 2 2 5 5 4 2" xfId="29118"/>
    <cellStyle name="常规 2 2 5 5 5" xfId="19694"/>
    <cellStyle name="常规 2 2 5 6" xfId="1634"/>
    <cellStyle name="常规 2 2 5 6 2" xfId="4770"/>
    <cellStyle name="常规 2 2 5 6 2 2" xfId="14190"/>
    <cellStyle name="常规 2 2 5 6 2 2 2" xfId="33038"/>
    <cellStyle name="常规 2 2 5 6 2 3" xfId="23614"/>
    <cellStyle name="常规 2 2 5 6 3" xfId="7906"/>
    <cellStyle name="常规 2 2 5 6 3 2" xfId="17326"/>
    <cellStyle name="常规 2 2 5 6 3 2 2" xfId="36174"/>
    <cellStyle name="常规 2 2 5 6 3 3" xfId="26750"/>
    <cellStyle name="常规 2 2 5 6 4" xfId="11054"/>
    <cellStyle name="常规 2 2 5 6 4 2" xfId="29902"/>
    <cellStyle name="常规 2 2 5 6 5" xfId="20478"/>
    <cellStyle name="常规 2 2 5 7" xfId="2418"/>
    <cellStyle name="常规 2 2 5 7 2" xfId="5554"/>
    <cellStyle name="常规 2 2 5 7 2 2" xfId="14974"/>
    <cellStyle name="常规 2 2 5 7 2 2 2" xfId="33822"/>
    <cellStyle name="常规 2 2 5 7 2 3" xfId="24398"/>
    <cellStyle name="常规 2 2 5 7 3" xfId="8690"/>
    <cellStyle name="常规 2 2 5 7 3 2" xfId="18110"/>
    <cellStyle name="常规 2 2 5 7 3 2 2" xfId="36958"/>
    <cellStyle name="常规 2 2 5 7 3 3" xfId="27534"/>
    <cellStyle name="常规 2 2 5 7 4" xfId="11838"/>
    <cellStyle name="常规 2 2 5 7 4 2" xfId="30686"/>
    <cellStyle name="常规 2 2 5 7 5" xfId="21262"/>
    <cellStyle name="常规 2 2 5 8" xfId="3193"/>
    <cellStyle name="常规 2 2 5 8 2" xfId="12613"/>
    <cellStyle name="常规 2 2 5 8 2 2" xfId="31461"/>
    <cellStyle name="常规 2 2 5 8 3" xfId="22037"/>
    <cellStyle name="常规 2 2 5 9" xfId="6338"/>
    <cellStyle name="常规 2 2 5 9 2" xfId="15758"/>
    <cellStyle name="常规 2 2 5 9 2 2" xfId="34606"/>
    <cellStyle name="常规 2 2 5 9 3" xfId="25182"/>
    <cellStyle name="常规 2 2 6" xfId="66"/>
    <cellStyle name="常规 2 2 6 10" xfId="18912"/>
    <cellStyle name="常规 2 2 6 2" xfId="67"/>
    <cellStyle name="常规 2 2 6 2 2" xfId="466"/>
    <cellStyle name="常规 2 2 6 2 2 2" xfId="1250"/>
    <cellStyle name="常规 2 2 6 2 2 2 2" xfId="4386"/>
    <cellStyle name="常规 2 2 6 2 2 2 2 2" xfId="13806"/>
    <cellStyle name="常规 2 2 6 2 2 2 2 2 2" xfId="32654"/>
    <cellStyle name="常规 2 2 6 2 2 2 2 3" xfId="23230"/>
    <cellStyle name="常规 2 2 6 2 2 2 3" xfId="7522"/>
    <cellStyle name="常规 2 2 6 2 2 2 3 2" xfId="16942"/>
    <cellStyle name="常规 2 2 6 2 2 2 3 2 2" xfId="35790"/>
    <cellStyle name="常规 2 2 6 2 2 2 3 3" xfId="26366"/>
    <cellStyle name="常规 2 2 6 2 2 2 4" xfId="10670"/>
    <cellStyle name="常规 2 2 6 2 2 2 4 2" xfId="29518"/>
    <cellStyle name="常规 2 2 6 2 2 2 5" xfId="20094"/>
    <cellStyle name="常规 2 2 6 2 2 3" xfId="2034"/>
    <cellStyle name="常规 2 2 6 2 2 3 2" xfId="5170"/>
    <cellStyle name="常规 2 2 6 2 2 3 2 2" xfId="14590"/>
    <cellStyle name="常规 2 2 6 2 2 3 2 2 2" xfId="33438"/>
    <cellStyle name="常规 2 2 6 2 2 3 2 3" xfId="24014"/>
    <cellStyle name="常规 2 2 6 2 2 3 3" xfId="8306"/>
    <cellStyle name="常规 2 2 6 2 2 3 3 2" xfId="17726"/>
    <cellStyle name="常规 2 2 6 2 2 3 3 2 2" xfId="36574"/>
    <cellStyle name="常规 2 2 6 2 2 3 3 3" xfId="27150"/>
    <cellStyle name="常规 2 2 6 2 2 3 4" xfId="11454"/>
    <cellStyle name="常规 2 2 6 2 2 3 4 2" xfId="30302"/>
    <cellStyle name="常规 2 2 6 2 2 3 5" xfId="20878"/>
    <cellStyle name="常规 2 2 6 2 2 4" xfId="2818"/>
    <cellStyle name="常规 2 2 6 2 2 4 2" xfId="5954"/>
    <cellStyle name="常规 2 2 6 2 2 4 2 2" xfId="15374"/>
    <cellStyle name="常规 2 2 6 2 2 4 2 2 2" xfId="34222"/>
    <cellStyle name="常规 2 2 6 2 2 4 2 3" xfId="24798"/>
    <cellStyle name="常规 2 2 6 2 2 4 3" xfId="9090"/>
    <cellStyle name="常规 2 2 6 2 2 4 3 2" xfId="18510"/>
    <cellStyle name="常规 2 2 6 2 2 4 3 2 2" xfId="37358"/>
    <cellStyle name="常规 2 2 6 2 2 4 3 3" xfId="27934"/>
    <cellStyle name="常规 2 2 6 2 2 4 4" xfId="12238"/>
    <cellStyle name="常规 2 2 6 2 2 4 4 2" xfId="31086"/>
    <cellStyle name="常规 2 2 6 2 2 4 5" xfId="21662"/>
    <cellStyle name="常规 2 2 6 2 2 5" xfId="3602"/>
    <cellStyle name="常规 2 2 6 2 2 5 2" xfId="13022"/>
    <cellStyle name="常规 2 2 6 2 2 5 2 2" xfId="31870"/>
    <cellStyle name="常规 2 2 6 2 2 5 3" xfId="22446"/>
    <cellStyle name="常规 2 2 6 2 2 6" xfId="6738"/>
    <cellStyle name="常规 2 2 6 2 2 6 2" xfId="16158"/>
    <cellStyle name="常规 2 2 6 2 2 6 2 2" xfId="35006"/>
    <cellStyle name="常规 2 2 6 2 2 6 3" xfId="25582"/>
    <cellStyle name="常规 2 2 6 2 2 7" xfId="9886"/>
    <cellStyle name="常规 2 2 6 2 2 7 2" xfId="28734"/>
    <cellStyle name="常规 2 2 6 2 2 8" xfId="19310"/>
    <cellStyle name="常规 2 2 6 2 3" xfId="855"/>
    <cellStyle name="常规 2 2 6 2 3 2" xfId="3991"/>
    <cellStyle name="常规 2 2 6 2 3 2 2" xfId="13411"/>
    <cellStyle name="常规 2 2 6 2 3 2 2 2" xfId="32259"/>
    <cellStyle name="常规 2 2 6 2 3 2 3" xfId="22835"/>
    <cellStyle name="常规 2 2 6 2 3 3" xfId="7127"/>
    <cellStyle name="常规 2 2 6 2 3 3 2" xfId="16547"/>
    <cellStyle name="常规 2 2 6 2 3 3 2 2" xfId="35395"/>
    <cellStyle name="常规 2 2 6 2 3 3 3" xfId="25971"/>
    <cellStyle name="常规 2 2 6 2 3 4" xfId="10275"/>
    <cellStyle name="常规 2 2 6 2 3 4 2" xfId="29123"/>
    <cellStyle name="常规 2 2 6 2 3 5" xfId="19699"/>
    <cellStyle name="常规 2 2 6 2 4" xfId="1639"/>
    <cellStyle name="常规 2 2 6 2 4 2" xfId="4775"/>
    <cellStyle name="常规 2 2 6 2 4 2 2" xfId="14195"/>
    <cellStyle name="常规 2 2 6 2 4 2 2 2" xfId="33043"/>
    <cellStyle name="常规 2 2 6 2 4 2 3" xfId="23619"/>
    <cellStyle name="常规 2 2 6 2 4 3" xfId="7911"/>
    <cellStyle name="常规 2 2 6 2 4 3 2" xfId="17331"/>
    <cellStyle name="常规 2 2 6 2 4 3 2 2" xfId="36179"/>
    <cellStyle name="常规 2 2 6 2 4 3 3" xfId="26755"/>
    <cellStyle name="常规 2 2 6 2 4 4" xfId="11059"/>
    <cellStyle name="常规 2 2 6 2 4 4 2" xfId="29907"/>
    <cellStyle name="常规 2 2 6 2 4 5" xfId="20483"/>
    <cellStyle name="常规 2 2 6 2 5" xfId="2423"/>
    <cellStyle name="常规 2 2 6 2 5 2" xfId="5559"/>
    <cellStyle name="常规 2 2 6 2 5 2 2" xfId="14979"/>
    <cellStyle name="常规 2 2 6 2 5 2 2 2" xfId="33827"/>
    <cellStyle name="常规 2 2 6 2 5 2 3" xfId="24403"/>
    <cellStyle name="常规 2 2 6 2 5 3" xfId="8695"/>
    <cellStyle name="常规 2 2 6 2 5 3 2" xfId="18115"/>
    <cellStyle name="常规 2 2 6 2 5 3 2 2" xfId="36963"/>
    <cellStyle name="常规 2 2 6 2 5 3 3" xfId="27539"/>
    <cellStyle name="常规 2 2 6 2 5 4" xfId="11843"/>
    <cellStyle name="常规 2 2 6 2 5 4 2" xfId="30691"/>
    <cellStyle name="常规 2 2 6 2 5 5" xfId="21267"/>
    <cellStyle name="常规 2 2 6 2 6" xfId="3286"/>
    <cellStyle name="常规 2 2 6 2 6 2" xfId="12706"/>
    <cellStyle name="常规 2 2 6 2 6 2 2" xfId="31554"/>
    <cellStyle name="常规 2 2 6 2 6 3" xfId="22130"/>
    <cellStyle name="常规 2 2 6 2 7" xfId="6343"/>
    <cellStyle name="常规 2 2 6 2 7 2" xfId="15763"/>
    <cellStyle name="常规 2 2 6 2 7 2 2" xfId="34611"/>
    <cellStyle name="常规 2 2 6 2 7 3" xfId="25187"/>
    <cellStyle name="常规 2 2 6 2 8" xfId="9490"/>
    <cellStyle name="常规 2 2 6 2 8 2" xfId="28335"/>
    <cellStyle name="常规 2 2 6 2 9" xfId="18913"/>
    <cellStyle name="常规 2 2 6 3" xfId="465"/>
    <cellStyle name="常规 2 2 6 3 2" xfId="1249"/>
    <cellStyle name="常规 2 2 6 3 2 2" xfId="4385"/>
    <cellStyle name="常规 2 2 6 3 2 2 2" xfId="13805"/>
    <cellStyle name="常规 2 2 6 3 2 2 2 2" xfId="32653"/>
    <cellStyle name="常规 2 2 6 3 2 2 3" xfId="23229"/>
    <cellStyle name="常规 2 2 6 3 2 3" xfId="7521"/>
    <cellStyle name="常规 2 2 6 3 2 3 2" xfId="16941"/>
    <cellStyle name="常规 2 2 6 3 2 3 2 2" xfId="35789"/>
    <cellStyle name="常规 2 2 6 3 2 3 3" xfId="26365"/>
    <cellStyle name="常规 2 2 6 3 2 4" xfId="10669"/>
    <cellStyle name="常规 2 2 6 3 2 4 2" xfId="29517"/>
    <cellStyle name="常规 2 2 6 3 2 5" xfId="20093"/>
    <cellStyle name="常规 2 2 6 3 3" xfId="2033"/>
    <cellStyle name="常规 2 2 6 3 3 2" xfId="5169"/>
    <cellStyle name="常规 2 2 6 3 3 2 2" xfId="14589"/>
    <cellStyle name="常规 2 2 6 3 3 2 2 2" xfId="33437"/>
    <cellStyle name="常规 2 2 6 3 3 2 3" xfId="24013"/>
    <cellStyle name="常规 2 2 6 3 3 3" xfId="8305"/>
    <cellStyle name="常规 2 2 6 3 3 3 2" xfId="17725"/>
    <cellStyle name="常规 2 2 6 3 3 3 2 2" xfId="36573"/>
    <cellStyle name="常规 2 2 6 3 3 3 3" xfId="27149"/>
    <cellStyle name="常规 2 2 6 3 3 4" xfId="11453"/>
    <cellStyle name="常规 2 2 6 3 3 4 2" xfId="30301"/>
    <cellStyle name="常规 2 2 6 3 3 5" xfId="20877"/>
    <cellStyle name="常规 2 2 6 3 4" xfId="2817"/>
    <cellStyle name="常规 2 2 6 3 4 2" xfId="5953"/>
    <cellStyle name="常规 2 2 6 3 4 2 2" xfId="15373"/>
    <cellStyle name="常规 2 2 6 3 4 2 2 2" xfId="34221"/>
    <cellStyle name="常规 2 2 6 3 4 2 3" xfId="24797"/>
    <cellStyle name="常规 2 2 6 3 4 3" xfId="9089"/>
    <cellStyle name="常规 2 2 6 3 4 3 2" xfId="18509"/>
    <cellStyle name="常规 2 2 6 3 4 3 2 2" xfId="37357"/>
    <cellStyle name="常规 2 2 6 3 4 3 3" xfId="27933"/>
    <cellStyle name="常规 2 2 6 3 4 4" xfId="12237"/>
    <cellStyle name="常规 2 2 6 3 4 4 2" xfId="31085"/>
    <cellStyle name="常规 2 2 6 3 4 5" xfId="21661"/>
    <cellStyle name="常规 2 2 6 3 5" xfId="3601"/>
    <cellStyle name="常规 2 2 6 3 5 2" xfId="13021"/>
    <cellStyle name="常规 2 2 6 3 5 2 2" xfId="31869"/>
    <cellStyle name="常规 2 2 6 3 5 3" xfId="22445"/>
    <cellStyle name="常规 2 2 6 3 6" xfId="6737"/>
    <cellStyle name="常规 2 2 6 3 6 2" xfId="16157"/>
    <cellStyle name="常规 2 2 6 3 6 2 2" xfId="35005"/>
    <cellStyle name="常规 2 2 6 3 6 3" xfId="25581"/>
    <cellStyle name="常规 2 2 6 3 7" xfId="9885"/>
    <cellStyle name="常规 2 2 6 3 7 2" xfId="28733"/>
    <cellStyle name="常规 2 2 6 3 8" xfId="19309"/>
    <cellStyle name="常规 2 2 6 4" xfId="854"/>
    <cellStyle name="常规 2 2 6 4 2" xfId="3990"/>
    <cellStyle name="常规 2 2 6 4 2 2" xfId="13410"/>
    <cellStyle name="常规 2 2 6 4 2 2 2" xfId="32258"/>
    <cellStyle name="常规 2 2 6 4 2 3" xfId="22834"/>
    <cellStyle name="常规 2 2 6 4 3" xfId="7126"/>
    <cellStyle name="常规 2 2 6 4 3 2" xfId="16546"/>
    <cellStyle name="常规 2 2 6 4 3 2 2" xfId="35394"/>
    <cellStyle name="常规 2 2 6 4 3 3" xfId="25970"/>
    <cellStyle name="常规 2 2 6 4 4" xfId="10274"/>
    <cellStyle name="常规 2 2 6 4 4 2" xfId="29122"/>
    <cellStyle name="常规 2 2 6 4 5" xfId="19698"/>
    <cellStyle name="常规 2 2 6 5" xfId="1638"/>
    <cellStyle name="常规 2 2 6 5 2" xfId="4774"/>
    <cellStyle name="常规 2 2 6 5 2 2" xfId="14194"/>
    <cellStyle name="常规 2 2 6 5 2 2 2" xfId="33042"/>
    <cellStyle name="常规 2 2 6 5 2 3" xfId="23618"/>
    <cellStyle name="常规 2 2 6 5 3" xfId="7910"/>
    <cellStyle name="常规 2 2 6 5 3 2" xfId="17330"/>
    <cellStyle name="常规 2 2 6 5 3 2 2" xfId="36178"/>
    <cellStyle name="常规 2 2 6 5 3 3" xfId="26754"/>
    <cellStyle name="常规 2 2 6 5 4" xfId="11058"/>
    <cellStyle name="常规 2 2 6 5 4 2" xfId="29906"/>
    <cellStyle name="常规 2 2 6 5 5" xfId="20482"/>
    <cellStyle name="常规 2 2 6 6" xfId="2422"/>
    <cellStyle name="常规 2 2 6 6 2" xfId="5558"/>
    <cellStyle name="常规 2 2 6 6 2 2" xfId="14978"/>
    <cellStyle name="常规 2 2 6 6 2 2 2" xfId="33826"/>
    <cellStyle name="常规 2 2 6 6 2 3" xfId="24402"/>
    <cellStyle name="常规 2 2 6 6 3" xfId="8694"/>
    <cellStyle name="常规 2 2 6 6 3 2" xfId="18114"/>
    <cellStyle name="常规 2 2 6 6 3 2 2" xfId="36962"/>
    <cellStyle name="常规 2 2 6 6 3 3" xfId="27538"/>
    <cellStyle name="常规 2 2 6 6 4" xfId="11842"/>
    <cellStyle name="常规 2 2 6 6 4 2" xfId="30690"/>
    <cellStyle name="常规 2 2 6 6 5" xfId="21266"/>
    <cellStyle name="常规 2 2 6 7" xfId="3257"/>
    <cellStyle name="常规 2 2 6 7 2" xfId="12677"/>
    <cellStyle name="常规 2 2 6 7 2 2" xfId="31525"/>
    <cellStyle name="常规 2 2 6 7 3" xfId="22101"/>
    <cellStyle name="常规 2 2 6 8" xfId="6342"/>
    <cellStyle name="常规 2 2 6 8 2" xfId="15762"/>
    <cellStyle name="常规 2 2 6 8 2 2" xfId="34610"/>
    <cellStyle name="常规 2 2 6 8 3" xfId="25186"/>
    <cellStyle name="常规 2 2 6 9" xfId="9489"/>
    <cellStyle name="常规 2 2 6 9 2" xfId="28334"/>
    <cellStyle name="常规 2 2 7" xfId="68"/>
    <cellStyle name="常规 2 2 7 2" xfId="467"/>
    <cellStyle name="常规 2 2 7 2 2" xfId="1251"/>
    <cellStyle name="常规 2 2 7 2 2 2" xfId="4387"/>
    <cellStyle name="常规 2 2 7 2 2 2 2" xfId="13807"/>
    <cellStyle name="常规 2 2 7 2 2 2 2 2" xfId="32655"/>
    <cellStyle name="常规 2 2 7 2 2 2 3" xfId="23231"/>
    <cellStyle name="常规 2 2 7 2 2 3" xfId="7523"/>
    <cellStyle name="常规 2 2 7 2 2 3 2" xfId="16943"/>
    <cellStyle name="常规 2 2 7 2 2 3 2 2" xfId="35791"/>
    <cellStyle name="常规 2 2 7 2 2 3 3" xfId="26367"/>
    <cellStyle name="常规 2 2 7 2 2 4" xfId="10671"/>
    <cellStyle name="常规 2 2 7 2 2 4 2" xfId="29519"/>
    <cellStyle name="常规 2 2 7 2 2 5" xfId="20095"/>
    <cellStyle name="常规 2 2 7 2 3" xfId="2035"/>
    <cellStyle name="常规 2 2 7 2 3 2" xfId="5171"/>
    <cellStyle name="常规 2 2 7 2 3 2 2" xfId="14591"/>
    <cellStyle name="常规 2 2 7 2 3 2 2 2" xfId="33439"/>
    <cellStyle name="常规 2 2 7 2 3 2 3" xfId="24015"/>
    <cellStyle name="常规 2 2 7 2 3 3" xfId="8307"/>
    <cellStyle name="常规 2 2 7 2 3 3 2" xfId="17727"/>
    <cellStyle name="常规 2 2 7 2 3 3 2 2" xfId="36575"/>
    <cellStyle name="常规 2 2 7 2 3 3 3" xfId="27151"/>
    <cellStyle name="常规 2 2 7 2 3 4" xfId="11455"/>
    <cellStyle name="常规 2 2 7 2 3 4 2" xfId="30303"/>
    <cellStyle name="常规 2 2 7 2 3 5" xfId="20879"/>
    <cellStyle name="常规 2 2 7 2 4" xfId="2819"/>
    <cellStyle name="常规 2 2 7 2 4 2" xfId="5955"/>
    <cellStyle name="常规 2 2 7 2 4 2 2" xfId="15375"/>
    <cellStyle name="常规 2 2 7 2 4 2 2 2" xfId="34223"/>
    <cellStyle name="常规 2 2 7 2 4 2 3" xfId="24799"/>
    <cellStyle name="常规 2 2 7 2 4 3" xfId="9091"/>
    <cellStyle name="常规 2 2 7 2 4 3 2" xfId="18511"/>
    <cellStyle name="常规 2 2 7 2 4 3 2 2" xfId="37359"/>
    <cellStyle name="常规 2 2 7 2 4 3 3" xfId="27935"/>
    <cellStyle name="常规 2 2 7 2 4 4" xfId="12239"/>
    <cellStyle name="常规 2 2 7 2 4 4 2" xfId="31087"/>
    <cellStyle name="常规 2 2 7 2 4 5" xfId="21663"/>
    <cellStyle name="常规 2 2 7 2 5" xfId="3603"/>
    <cellStyle name="常规 2 2 7 2 5 2" xfId="13023"/>
    <cellStyle name="常规 2 2 7 2 5 2 2" xfId="31871"/>
    <cellStyle name="常规 2 2 7 2 5 3" xfId="22447"/>
    <cellStyle name="常规 2 2 7 2 6" xfId="6739"/>
    <cellStyle name="常规 2 2 7 2 6 2" xfId="16159"/>
    <cellStyle name="常规 2 2 7 2 6 2 2" xfId="35007"/>
    <cellStyle name="常规 2 2 7 2 6 3" xfId="25583"/>
    <cellStyle name="常规 2 2 7 2 7" xfId="9887"/>
    <cellStyle name="常规 2 2 7 2 7 2" xfId="28735"/>
    <cellStyle name="常规 2 2 7 2 8" xfId="19311"/>
    <cellStyle name="常规 2 2 7 3" xfId="856"/>
    <cellStyle name="常规 2 2 7 3 2" xfId="3992"/>
    <cellStyle name="常规 2 2 7 3 2 2" xfId="13412"/>
    <cellStyle name="常规 2 2 7 3 2 2 2" xfId="32260"/>
    <cellStyle name="常规 2 2 7 3 2 3" xfId="22836"/>
    <cellStyle name="常规 2 2 7 3 3" xfId="7128"/>
    <cellStyle name="常规 2 2 7 3 3 2" xfId="16548"/>
    <cellStyle name="常规 2 2 7 3 3 2 2" xfId="35396"/>
    <cellStyle name="常规 2 2 7 3 3 3" xfId="25972"/>
    <cellStyle name="常规 2 2 7 3 4" xfId="10276"/>
    <cellStyle name="常规 2 2 7 3 4 2" xfId="29124"/>
    <cellStyle name="常规 2 2 7 3 5" xfId="19700"/>
    <cellStyle name="常规 2 2 7 4" xfId="1640"/>
    <cellStyle name="常规 2 2 7 4 2" xfId="4776"/>
    <cellStyle name="常规 2 2 7 4 2 2" xfId="14196"/>
    <cellStyle name="常规 2 2 7 4 2 2 2" xfId="33044"/>
    <cellStyle name="常规 2 2 7 4 2 3" xfId="23620"/>
    <cellStyle name="常规 2 2 7 4 3" xfId="7912"/>
    <cellStyle name="常规 2 2 7 4 3 2" xfId="17332"/>
    <cellStyle name="常规 2 2 7 4 3 2 2" xfId="36180"/>
    <cellStyle name="常规 2 2 7 4 3 3" xfId="26756"/>
    <cellStyle name="常规 2 2 7 4 4" xfId="11060"/>
    <cellStyle name="常规 2 2 7 4 4 2" xfId="29908"/>
    <cellStyle name="常规 2 2 7 4 5" xfId="20484"/>
    <cellStyle name="常规 2 2 7 5" xfId="2424"/>
    <cellStyle name="常规 2 2 7 5 2" xfId="5560"/>
    <cellStyle name="常规 2 2 7 5 2 2" xfId="14980"/>
    <cellStyle name="常规 2 2 7 5 2 2 2" xfId="33828"/>
    <cellStyle name="常规 2 2 7 5 2 3" xfId="24404"/>
    <cellStyle name="常规 2 2 7 5 3" xfId="8696"/>
    <cellStyle name="常规 2 2 7 5 3 2" xfId="18116"/>
    <cellStyle name="常规 2 2 7 5 3 2 2" xfId="36964"/>
    <cellStyle name="常规 2 2 7 5 3 3" xfId="27540"/>
    <cellStyle name="常规 2 2 7 5 4" xfId="11844"/>
    <cellStyle name="常规 2 2 7 5 4 2" xfId="30692"/>
    <cellStyle name="常规 2 2 7 5 5" xfId="21268"/>
    <cellStyle name="常规 2 2 7 6" xfId="3276"/>
    <cellStyle name="常规 2 2 7 6 2" xfId="12696"/>
    <cellStyle name="常规 2 2 7 6 2 2" xfId="31544"/>
    <cellStyle name="常规 2 2 7 6 3" xfId="22120"/>
    <cellStyle name="常规 2 2 7 7" xfId="6344"/>
    <cellStyle name="常规 2 2 7 7 2" xfId="15764"/>
    <cellStyle name="常规 2 2 7 7 2 2" xfId="34612"/>
    <cellStyle name="常规 2 2 7 7 3" xfId="25188"/>
    <cellStyle name="常规 2 2 7 8" xfId="9491"/>
    <cellStyle name="常规 2 2 7 8 2" xfId="28336"/>
    <cellStyle name="常规 2 2 7 9" xfId="18914"/>
    <cellStyle name="常规 2 2 8" xfId="398"/>
    <cellStyle name="常规 2 2 8 2" xfId="28666"/>
    <cellStyle name="常规 2 2 9" xfId="403"/>
    <cellStyle name="常规 2 2 9 2" xfId="1187"/>
    <cellStyle name="常规 2 2 9 2 2" xfId="4323"/>
    <cellStyle name="常规 2 2 9 2 2 2" xfId="13743"/>
    <cellStyle name="常规 2 2 9 2 2 2 2" xfId="32591"/>
    <cellStyle name="常规 2 2 9 2 2 3" xfId="23167"/>
    <cellStyle name="常规 2 2 9 2 3" xfId="7459"/>
    <cellStyle name="常规 2 2 9 2 3 2" xfId="16879"/>
    <cellStyle name="常规 2 2 9 2 3 2 2" xfId="35727"/>
    <cellStyle name="常规 2 2 9 2 3 3" xfId="26303"/>
    <cellStyle name="常规 2 2 9 2 4" xfId="10607"/>
    <cellStyle name="常规 2 2 9 2 4 2" xfId="29455"/>
    <cellStyle name="常规 2 2 9 2 5" xfId="20031"/>
    <cellStyle name="常规 2 2 9 3" xfId="1971"/>
    <cellStyle name="常规 2 2 9 3 2" xfId="5107"/>
    <cellStyle name="常规 2 2 9 3 2 2" xfId="14527"/>
    <cellStyle name="常规 2 2 9 3 2 2 2" xfId="33375"/>
    <cellStyle name="常规 2 2 9 3 2 3" xfId="23951"/>
    <cellStyle name="常规 2 2 9 3 3" xfId="8243"/>
    <cellStyle name="常规 2 2 9 3 3 2" xfId="17663"/>
    <cellStyle name="常规 2 2 9 3 3 2 2" xfId="36511"/>
    <cellStyle name="常规 2 2 9 3 3 3" xfId="27087"/>
    <cellStyle name="常规 2 2 9 3 4" xfId="11391"/>
    <cellStyle name="常规 2 2 9 3 4 2" xfId="30239"/>
    <cellStyle name="常规 2 2 9 3 5" xfId="20815"/>
    <cellStyle name="常规 2 2 9 4" xfId="2755"/>
    <cellStyle name="常规 2 2 9 4 2" xfId="5891"/>
    <cellStyle name="常规 2 2 9 4 2 2" xfId="15311"/>
    <cellStyle name="常规 2 2 9 4 2 2 2" xfId="34159"/>
    <cellStyle name="常规 2 2 9 4 2 3" xfId="24735"/>
    <cellStyle name="常规 2 2 9 4 3" xfId="9027"/>
    <cellStyle name="常规 2 2 9 4 3 2" xfId="18447"/>
    <cellStyle name="常规 2 2 9 4 3 2 2" xfId="37295"/>
    <cellStyle name="常规 2 2 9 4 3 3" xfId="27871"/>
    <cellStyle name="常规 2 2 9 4 4" xfId="12175"/>
    <cellStyle name="常规 2 2 9 4 4 2" xfId="31023"/>
    <cellStyle name="常规 2 2 9 4 5" xfId="21599"/>
    <cellStyle name="常规 2 2 9 5" xfId="3539"/>
    <cellStyle name="常规 2 2 9 5 2" xfId="12959"/>
    <cellStyle name="常规 2 2 9 5 2 2" xfId="31807"/>
    <cellStyle name="常规 2 2 9 5 3" xfId="22383"/>
    <cellStyle name="常规 2 2 9 6" xfId="6675"/>
    <cellStyle name="常规 2 2 9 6 2" xfId="16095"/>
    <cellStyle name="常规 2 2 9 6 2 2" xfId="34943"/>
    <cellStyle name="常规 2 2 9 6 3" xfId="25519"/>
    <cellStyle name="常规 2 2 9 7" xfId="9823"/>
    <cellStyle name="常规 2 2 9 7 2" xfId="28671"/>
    <cellStyle name="常规 2 2 9 8" xfId="19247"/>
    <cellStyle name="常规 2 3" xfId="69"/>
    <cellStyle name="常规 2 3 10" xfId="2425"/>
    <cellStyle name="常规 2 3 10 2" xfId="5561"/>
    <cellStyle name="常规 2 3 10 2 2" xfId="14981"/>
    <cellStyle name="常规 2 3 10 2 2 2" xfId="33829"/>
    <cellStyle name="常规 2 3 10 2 3" xfId="24405"/>
    <cellStyle name="常规 2 3 10 3" xfId="8697"/>
    <cellStyle name="常规 2 3 10 3 2" xfId="18117"/>
    <cellStyle name="常规 2 3 10 3 2 2" xfId="36965"/>
    <cellStyle name="常规 2 3 10 3 3" xfId="27541"/>
    <cellStyle name="常规 2 3 10 4" xfId="11845"/>
    <cellStyle name="常规 2 3 10 4 2" xfId="30693"/>
    <cellStyle name="常规 2 3 10 5" xfId="21269"/>
    <cellStyle name="常规 2 3 11" xfId="3155"/>
    <cellStyle name="常规 2 3 11 2" xfId="12575"/>
    <cellStyle name="常规 2 3 11 2 2" xfId="31423"/>
    <cellStyle name="常规 2 3 11 3" xfId="21999"/>
    <cellStyle name="常规 2 3 12" xfId="6345"/>
    <cellStyle name="常规 2 3 12 2" xfId="15765"/>
    <cellStyle name="常规 2 3 12 2 2" xfId="34613"/>
    <cellStyle name="常规 2 3 12 3" xfId="25189"/>
    <cellStyle name="常规 2 3 13" xfId="9492"/>
    <cellStyle name="常规 2 3 13 2" xfId="28337"/>
    <cellStyle name="常规 2 3 14" xfId="18915"/>
    <cellStyle name="常规 2 3 2" xfId="70"/>
    <cellStyle name="常规 2 3 2 10" xfId="3156"/>
    <cellStyle name="常规 2 3 2 10 2" xfId="12576"/>
    <cellStyle name="常规 2 3 2 10 2 2" xfId="31424"/>
    <cellStyle name="常规 2 3 2 10 3" xfId="22000"/>
    <cellStyle name="常规 2 3 2 11" xfId="6346"/>
    <cellStyle name="常规 2 3 2 11 2" xfId="15766"/>
    <cellStyle name="常规 2 3 2 11 2 2" xfId="34614"/>
    <cellStyle name="常规 2 3 2 11 3" xfId="25190"/>
    <cellStyle name="常规 2 3 2 12" xfId="9493"/>
    <cellStyle name="常规 2 3 2 12 2" xfId="28338"/>
    <cellStyle name="常规 2 3 2 13" xfId="18916"/>
    <cellStyle name="常规 2 3 2 2" xfId="71"/>
    <cellStyle name="常规 2 3 2 2 10" xfId="6347"/>
    <cellStyle name="常规 2 3 2 2 10 2" xfId="15767"/>
    <cellStyle name="常规 2 3 2 2 10 2 2" xfId="34615"/>
    <cellStyle name="常规 2 3 2 2 10 3" xfId="25191"/>
    <cellStyle name="常规 2 3 2 2 11" xfId="9494"/>
    <cellStyle name="常规 2 3 2 2 11 2" xfId="28339"/>
    <cellStyle name="常规 2 3 2 2 12" xfId="18917"/>
    <cellStyle name="常规 2 3 2 2 2" xfId="72"/>
    <cellStyle name="常规 2 3 2 2 2 10" xfId="9495"/>
    <cellStyle name="常规 2 3 2 2 2 10 2" xfId="28340"/>
    <cellStyle name="常规 2 3 2 2 2 11" xfId="18918"/>
    <cellStyle name="常规 2 3 2 2 2 2" xfId="73"/>
    <cellStyle name="常规 2 3 2 2 2 2 10" xfId="18919"/>
    <cellStyle name="常规 2 3 2 2 2 2 2" xfId="74"/>
    <cellStyle name="常规 2 3 2 2 2 2 2 2" xfId="473"/>
    <cellStyle name="常规 2 3 2 2 2 2 2 2 2" xfId="1257"/>
    <cellStyle name="常规 2 3 2 2 2 2 2 2 2 2" xfId="4393"/>
    <cellStyle name="常规 2 3 2 2 2 2 2 2 2 2 2" xfId="13813"/>
    <cellStyle name="常规 2 3 2 2 2 2 2 2 2 2 2 2" xfId="32661"/>
    <cellStyle name="常规 2 3 2 2 2 2 2 2 2 2 3" xfId="23237"/>
    <cellStyle name="常规 2 3 2 2 2 2 2 2 2 3" xfId="7529"/>
    <cellStyle name="常规 2 3 2 2 2 2 2 2 2 3 2" xfId="16949"/>
    <cellStyle name="常规 2 3 2 2 2 2 2 2 2 3 2 2" xfId="35797"/>
    <cellStyle name="常规 2 3 2 2 2 2 2 2 2 3 3" xfId="26373"/>
    <cellStyle name="常规 2 3 2 2 2 2 2 2 2 4" xfId="10677"/>
    <cellStyle name="常规 2 3 2 2 2 2 2 2 2 4 2" xfId="29525"/>
    <cellStyle name="常规 2 3 2 2 2 2 2 2 2 5" xfId="20101"/>
    <cellStyle name="常规 2 3 2 2 2 2 2 2 3" xfId="2041"/>
    <cellStyle name="常规 2 3 2 2 2 2 2 2 3 2" xfId="5177"/>
    <cellStyle name="常规 2 3 2 2 2 2 2 2 3 2 2" xfId="14597"/>
    <cellStyle name="常规 2 3 2 2 2 2 2 2 3 2 2 2" xfId="33445"/>
    <cellStyle name="常规 2 3 2 2 2 2 2 2 3 2 3" xfId="24021"/>
    <cellStyle name="常规 2 3 2 2 2 2 2 2 3 3" xfId="8313"/>
    <cellStyle name="常规 2 3 2 2 2 2 2 2 3 3 2" xfId="17733"/>
    <cellStyle name="常规 2 3 2 2 2 2 2 2 3 3 2 2" xfId="36581"/>
    <cellStyle name="常规 2 3 2 2 2 2 2 2 3 3 3" xfId="27157"/>
    <cellStyle name="常规 2 3 2 2 2 2 2 2 3 4" xfId="11461"/>
    <cellStyle name="常规 2 3 2 2 2 2 2 2 3 4 2" xfId="30309"/>
    <cellStyle name="常规 2 3 2 2 2 2 2 2 3 5" xfId="20885"/>
    <cellStyle name="常规 2 3 2 2 2 2 2 2 4" xfId="2825"/>
    <cellStyle name="常规 2 3 2 2 2 2 2 2 4 2" xfId="5961"/>
    <cellStyle name="常规 2 3 2 2 2 2 2 2 4 2 2" xfId="15381"/>
    <cellStyle name="常规 2 3 2 2 2 2 2 2 4 2 2 2" xfId="34229"/>
    <cellStyle name="常规 2 3 2 2 2 2 2 2 4 2 3" xfId="24805"/>
    <cellStyle name="常规 2 3 2 2 2 2 2 2 4 3" xfId="9097"/>
    <cellStyle name="常规 2 3 2 2 2 2 2 2 4 3 2" xfId="18517"/>
    <cellStyle name="常规 2 3 2 2 2 2 2 2 4 3 2 2" xfId="37365"/>
    <cellStyle name="常规 2 3 2 2 2 2 2 2 4 3 3" xfId="27941"/>
    <cellStyle name="常规 2 3 2 2 2 2 2 2 4 4" xfId="12245"/>
    <cellStyle name="常规 2 3 2 2 2 2 2 2 4 4 2" xfId="31093"/>
    <cellStyle name="常规 2 3 2 2 2 2 2 2 4 5" xfId="21669"/>
    <cellStyle name="常规 2 3 2 2 2 2 2 2 5" xfId="3609"/>
    <cellStyle name="常规 2 3 2 2 2 2 2 2 5 2" xfId="13029"/>
    <cellStyle name="常规 2 3 2 2 2 2 2 2 5 2 2" xfId="31877"/>
    <cellStyle name="常规 2 3 2 2 2 2 2 2 5 3" xfId="22453"/>
    <cellStyle name="常规 2 3 2 2 2 2 2 2 6" xfId="6745"/>
    <cellStyle name="常规 2 3 2 2 2 2 2 2 6 2" xfId="16165"/>
    <cellStyle name="常规 2 3 2 2 2 2 2 2 6 2 2" xfId="35013"/>
    <cellStyle name="常规 2 3 2 2 2 2 2 2 6 3" xfId="25589"/>
    <cellStyle name="常规 2 3 2 2 2 2 2 2 7" xfId="9893"/>
    <cellStyle name="常规 2 3 2 2 2 2 2 2 7 2" xfId="28741"/>
    <cellStyle name="常规 2 3 2 2 2 2 2 2 8" xfId="19317"/>
    <cellStyle name="常规 2 3 2 2 2 2 2 3" xfId="862"/>
    <cellStyle name="常规 2 3 2 2 2 2 2 3 2" xfId="3998"/>
    <cellStyle name="常规 2 3 2 2 2 2 2 3 2 2" xfId="13418"/>
    <cellStyle name="常规 2 3 2 2 2 2 2 3 2 2 2" xfId="32266"/>
    <cellStyle name="常规 2 3 2 2 2 2 2 3 2 3" xfId="22842"/>
    <cellStyle name="常规 2 3 2 2 2 2 2 3 3" xfId="7134"/>
    <cellStyle name="常规 2 3 2 2 2 2 2 3 3 2" xfId="16554"/>
    <cellStyle name="常规 2 3 2 2 2 2 2 3 3 2 2" xfId="35402"/>
    <cellStyle name="常规 2 3 2 2 2 2 2 3 3 3" xfId="25978"/>
    <cellStyle name="常规 2 3 2 2 2 2 2 3 4" xfId="10282"/>
    <cellStyle name="常规 2 3 2 2 2 2 2 3 4 2" xfId="29130"/>
    <cellStyle name="常规 2 3 2 2 2 2 2 3 5" xfId="19706"/>
    <cellStyle name="常规 2 3 2 2 2 2 2 4" xfId="1646"/>
    <cellStyle name="常规 2 3 2 2 2 2 2 4 2" xfId="4782"/>
    <cellStyle name="常规 2 3 2 2 2 2 2 4 2 2" xfId="14202"/>
    <cellStyle name="常规 2 3 2 2 2 2 2 4 2 2 2" xfId="33050"/>
    <cellStyle name="常规 2 3 2 2 2 2 2 4 2 3" xfId="23626"/>
    <cellStyle name="常规 2 3 2 2 2 2 2 4 3" xfId="7918"/>
    <cellStyle name="常规 2 3 2 2 2 2 2 4 3 2" xfId="17338"/>
    <cellStyle name="常规 2 3 2 2 2 2 2 4 3 2 2" xfId="36186"/>
    <cellStyle name="常规 2 3 2 2 2 2 2 4 3 3" xfId="26762"/>
    <cellStyle name="常规 2 3 2 2 2 2 2 4 4" xfId="11066"/>
    <cellStyle name="常规 2 3 2 2 2 2 2 4 4 2" xfId="29914"/>
    <cellStyle name="常规 2 3 2 2 2 2 2 4 5" xfId="20490"/>
    <cellStyle name="常规 2 3 2 2 2 2 2 5" xfId="2430"/>
    <cellStyle name="常规 2 3 2 2 2 2 2 5 2" xfId="5566"/>
    <cellStyle name="常规 2 3 2 2 2 2 2 5 2 2" xfId="14986"/>
    <cellStyle name="常规 2 3 2 2 2 2 2 5 2 2 2" xfId="33834"/>
    <cellStyle name="常规 2 3 2 2 2 2 2 5 2 3" xfId="24410"/>
    <cellStyle name="常规 2 3 2 2 2 2 2 5 3" xfId="8702"/>
    <cellStyle name="常规 2 3 2 2 2 2 2 5 3 2" xfId="18122"/>
    <cellStyle name="常规 2 3 2 2 2 2 2 5 3 2 2" xfId="36970"/>
    <cellStyle name="常规 2 3 2 2 2 2 2 5 3 3" xfId="27546"/>
    <cellStyle name="常规 2 3 2 2 2 2 2 5 4" xfId="11850"/>
    <cellStyle name="常规 2 3 2 2 2 2 2 5 4 2" xfId="30698"/>
    <cellStyle name="常规 2 3 2 2 2 2 2 5 5" xfId="21274"/>
    <cellStyle name="常规 2 3 2 2 2 2 2 6" xfId="3287"/>
    <cellStyle name="常规 2 3 2 2 2 2 2 6 2" xfId="12707"/>
    <cellStyle name="常规 2 3 2 2 2 2 2 6 2 2" xfId="31555"/>
    <cellStyle name="常规 2 3 2 2 2 2 2 6 3" xfId="22131"/>
    <cellStyle name="常规 2 3 2 2 2 2 2 7" xfId="6350"/>
    <cellStyle name="常规 2 3 2 2 2 2 2 7 2" xfId="15770"/>
    <cellStyle name="常规 2 3 2 2 2 2 2 7 2 2" xfId="34618"/>
    <cellStyle name="常规 2 3 2 2 2 2 2 7 3" xfId="25194"/>
    <cellStyle name="常规 2 3 2 2 2 2 2 8" xfId="9497"/>
    <cellStyle name="常规 2 3 2 2 2 2 2 8 2" xfId="28342"/>
    <cellStyle name="常规 2 3 2 2 2 2 2 9" xfId="18920"/>
    <cellStyle name="常规 2 3 2 2 2 2 3" xfId="472"/>
    <cellStyle name="常规 2 3 2 2 2 2 3 2" xfId="1256"/>
    <cellStyle name="常规 2 3 2 2 2 2 3 2 2" xfId="4392"/>
    <cellStyle name="常规 2 3 2 2 2 2 3 2 2 2" xfId="13812"/>
    <cellStyle name="常规 2 3 2 2 2 2 3 2 2 2 2" xfId="32660"/>
    <cellStyle name="常规 2 3 2 2 2 2 3 2 2 3" xfId="23236"/>
    <cellStyle name="常规 2 3 2 2 2 2 3 2 3" xfId="7528"/>
    <cellStyle name="常规 2 3 2 2 2 2 3 2 3 2" xfId="16948"/>
    <cellStyle name="常规 2 3 2 2 2 2 3 2 3 2 2" xfId="35796"/>
    <cellStyle name="常规 2 3 2 2 2 2 3 2 3 3" xfId="26372"/>
    <cellStyle name="常规 2 3 2 2 2 2 3 2 4" xfId="10676"/>
    <cellStyle name="常规 2 3 2 2 2 2 3 2 4 2" xfId="29524"/>
    <cellStyle name="常规 2 3 2 2 2 2 3 2 5" xfId="20100"/>
    <cellStyle name="常规 2 3 2 2 2 2 3 3" xfId="2040"/>
    <cellStyle name="常规 2 3 2 2 2 2 3 3 2" xfId="5176"/>
    <cellStyle name="常规 2 3 2 2 2 2 3 3 2 2" xfId="14596"/>
    <cellStyle name="常规 2 3 2 2 2 2 3 3 2 2 2" xfId="33444"/>
    <cellStyle name="常规 2 3 2 2 2 2 3 3 2 3" xfId="24020"/>
    <cellStyle name="常规 2 3 2 2 2 2 3 3 3" xfId="8312"/>
    <cellStyle name="常规 2 3 2 2 2 2 3 3 3 2" xfId="17732"/>
    <cellStyle name="常规 2 3 2 2 2 2 3 3 3 2 2" xfId="36580"/>
    <cellStyle name="常规 2 3 2 2 2 2 3 3 3 3" xfId="27156"/>
    <cellStyle name="常规 2 3 2 2 2 2 3 3 4" xfId="11460"/>
    <cellStyle name="常规 2 3 2 2 2 2 3 3 4 2" xfId="30308"/>
    <cellStyle name="常规 2 3 2 2 2 2 3 3 5" xfId="20884"/>
    <cellStyle name="常规 2 3 2 2 2 2 3 4" xfId="2824"/>
    <cellStyle name="常规 2 3 2 2 2 2 3 4 2" xfId="5960"/>
    <cellStyle name="常规 2 3 2 2 2 2 3 4 2 2" xfId="15380"/>
    <cellStyle name="常规 2 3 2 2 2 2 3 4 2 2 2" xfId="34228"/>
    <cellStyle name="常规 2 3 2 2 2 2 3 4 2 3" xfId="24804"/>
    <cellStyle name="常规 2 3 2 2 2 2 3 4 3" xfId="9096"/>
    <cellStyle name="常规 2 3 2 2 2 2 3 4 3 2" xfId="18516"/>
    <cellStyle name="常规 2 3 2 2 2 2 3 4 3 2 2" xfId="37364"/>
    <cellStyle name="常规 2 3 2 2 2 2 3 4 3 3" xfId="27940"/>
    <cellStyle name="常规 2 3 2 2 2 2 3 4 4" xfId="12244"/>
    <cellStyle name="常规 2 3 2 2 2 2 3 4 4 2" xfId="31092"/>
    <cellStyle name="常规 2 3 2 2 2 2 3 4 5" xfId="21668"/>
    <cellStyle name="常规 2 3 2 2 2 2 3 5" xfId="3608"/>
    <cellStyle name="常规 2 3 2 2 2 2 3 5 2" xfId="13028"/>
    <cellStyle name="常规 2 3 2 2 2 2 3 5 2 2" xfId="31876"/>
    <cellStyle name="常规 2 3 2 2 2 2 3 5 3" xfId="22452"/>
    <cellStyle name="常规 2 3 2 2 2 2 3 6" xfId="6744"/>
    <cellStyle name="常规 2 3 2 2 2 2 3 6 2" xfId="16164"/>
    <cellStyle name="常规 2 3 2 2 2 2 3 6 2 2" xfId="35012"/>
    <cellStyle name="常规 2 3 2 2 2 2 3 6 3" xfId="25588"/>
    <cellStyle name="常规 2 3 2 2 2 2 3 7" xfId="9892"/>
    <cellStyle name="常规 2 3 2 2 2 2 3 7 2" xfId="28740"/>
    <cellStyle name="常规 2 3 2 2 2 2 3 8" xfId="19316"/>
    <cellStyle name="常规 2 3 2 2 2 2 4" xfId="861"/>
    <cellStyle name="常规 2 3 2 2 2 2 4 2" xfId="3997"/>
    <cellStyle name="常规 2 3 2 2 2 2 4 2 2" xfId="13417"/>
    <cellStyle name="常规 2 3 2 2 2 2 4 2 2 2" xfId="32265"/>
    <cellStyle name="常规 2 3 2 2 2 2 4 2 3" xfId="22841"/>
    <cellStyle name="常规 2 3 2 2 2 2 4 3" xfId="7133"/>
    <cellStyle name="常规 2 3 2 2 2 2 4 3 2" xfId="16553"/>
    <cellStyle name="常规 2 3 2 2 2 2 4 3 2 2" xfId="35401"/>
    <cellStyle name="常规 2 3 2 2 2 2 4 3 3" xfId="25977"/>
    <cellStyle name="常规 2 3 2 2 2 2 4 4" xfId="10281"/>
    <cellStyle name="常规 2 3 2 2 2 2 4 4 2" xfId="29129"/>
    <cellStyle name="常规 2 3 2 2 2 2 4 5" xfId="19705"/>
    <cellStyle name="常规 2 3 2 2 2 2 5" xfId="1645"/>
    <cellStyle name="常规 2 3 2 2 2 2 5 2" xfId="4781"/>
    <cellStyle name="常规 2 3 2 2 2 2 5 2 2" xfId="14201"/>
    <cellStyle name="常规 2 3 2 2 2 2 5 2 2 2" xfId="33049"/>
    <cellStyle name="常规 2 3 2 2 2 2 5 2 3" xfId="23625"/>
    <cellStyle name="常规 2 3 2 2 2 2 5 3" xfId="7917"/>
    <cellStyle name="常规 2 3 2 2 2 2 5 3 2" xfId="17337"/>
    <cellStyle name="常规 2 3 2 2 2 2 5 3 2 2" xfId="36185"/>
    <cellStyle name="常规 2 3 2 2 2 2 5 3 3" xfId="26761"/>
    <cellStyle name="常规 2 3 2 2 2 2 5 4" xfId="11065"/>
    <cellStyle name="常规 2 3 2 2 2 2 5 4 2" xfId="29913"/>
    <cellStyle name="常规 2 3 2 2 2 2 5 5" xfId="20489"/>
    <cellStyle name="常规 2 3 2 2 2 2 6" xfId="2429"/>
    <cellStyle name="常规 2 3 2 2 2 2 6 2" xfId="5565"/>
    <cellStyle name="常规 2 3 2 2 2 2 6 2 2" xfId="14985"/>
    <cellStyle name="常规 2 3 2 2 2 2 6 2 2 2" xfId="33833"/>
    <cellStyle name="常规 2 3 2 2 2 2 6 2 3" xfId="24409"/>
    <cellStyle name="常规 2 3 2 2 2 2 6 3" xfId="8701"/>
    <cellStyle name="常规 2 3 2 2 2 2 6 3 2" xfId="18121"/>
    <cellStyle name="常规 2 3 2 2 2 2 6 3 2 2" xfId="36969"/>
    <cellStyle name="常规 2 3 2 2 2 2 6 3 3" xfId="27545"/>
    <cellStyle name="常规 2 3 2 2 2 2 6 4" xfId="11849"/>
    <cellStyle name="常规 2 3 2 2 2 2 6 4 2" xfId="30697"/>
    <cellStyle name="常规 2 3 2 2 2 2 6 5" xfId="21273"/>
    <cellStyle name="常规 2 3 2 2 2 2 7" xfId="3272"/>
    <cellStyle name="常规 2 3 2 2 2 2 7 2" xfId="12692"/>
    <cellStyle name="常规 2 3 2 2 2 2 7 2 2" xfId="31540"/>
    <cellStyle name="常规 2 3 2 2 2 2 7 3" xfId="22116"/>
    <cellStyle name="常规 2 3 2 2 2 2 8" xfId="6349"/>
    <cellStyle name="常规 2 3 2 2 2 2 8 2" xfId="15769"/>
    <cellStyle name="常规 2 3 2 2 2 2 8 2 2" xfId="34617"/>
    <cellStyle name="常规 2 3 2 2 2 2 8 3" xfId="25193"/>
    <cellStyle name="常规 2 3 2 2 2 2 9" xfId="9496"/>
    <cellStyle name="常规 2 3 2 2 2 2 9 2" xfId="28341"/>
    <cellStyle name="常规 2 3 2 2 2 3" xfId="75"/>
    <cellStyle name="常规 2 3 2 2 2 3 2" xfId="474"/>
    <cellStyle name="常规 2 3 2 2 2 3 2 2" xfId="1258"/>
    <cellStyle name="常规 2 3 2 2 2 3 2 2 2" xfId="4394"/>
    <cellStyle name="常规 2 3 2 2 2 3 2 2 2 2" xfId="13814"/>
    <cellStyle name="常规 2 3 2 2 2 3 2 2 2 2 2" xfId="32662"/>
    <cellStyle name="常规 2 3 2 2 2 3 2 2 2 3" xfId="23238"/>
    <cellStyle name="常规 2 3 2 2 2 3 2 2 3" xfId="7530"/>
    <cellStyle name="常规 2 3 2 2 2 3 2 2 3 2" xfId="16950"/>
    <cellStyle name="常规 2 3 2 2 2 3 2 2 3 2 2" xfId="35798"/>
    <cellStyle name="常规 2 3 2 2 2 3 2 2 3 3" xfId="26374"/>
    <cellStyle name="常规 2 3 2 2 2 3 2 2 4" xfId="10678"/>
    <cellStyle name="常规 2 3 2 2 2 3 2 2 4 2" xfId="29526"/>
    <cellStyle name="常规 2 3 2 2 2 3 2 2 5" xfId="20102"/>
    <cellStyle name="常规 2 3 2 2 2 3 2 3" xfId="2042"/>
    <cellStyle name="常规 2 3 2 2 2 3 2 3 2" xfId="5178"/>
    <cellStyle name="常规 2 3 2 2 2 3 2 3 2 2" xfId="14598"/>
    <cellStyle name="常规 2 3 2 2 2 3 2 3 2 2 2" xfId="33446"/>
    <cellStyle name="常规 2 3 2 2 2 3 2 3 2 3" xfId="24022"/>
    <cellStyle name="常规 2 3 2 2 2 3 2 3 3" xfId="8314"/>
    <cellStyle name="常规 2 3 2 2 2 3 2 3 3 2" xfId="17734"/>
    <cellStyle name="常规 2 3 2 2 2 3 2 3 3 2 2" xfId="36582"/>
    <cellStyle name="常规 2 3 2 2 2 3 2 3 3 3" xfId="27158"/>
    <cellStyle name="常规 2 3 2 2 2 3 2 3 4" xfId="11462"/>
    <cellStyle name="常规 2 3 2 2 2 3 2 3 4 2" xfId="30310"/>
    <cellStyle name="常规 2 3 2 2 2 3 2 3 5" xfId="20886"/>
    <cellStyle name="常规 2 3 2 2 2 3 2 4" xfId="2826"/>
    <cellStyle name="常规 2 3 2 2 2 3 2 4 2" xfId="5962"/>
    <cellStyle name="常规 2 3 2 2 2 3 2 4 2 2" xfId="15382"/>
    <cellStyle name="常规 2 3 2 2 2 3 2 4 2 2 2" xfId="34230"/>
    <cellStyle name="常规 2 3 2 2 2 3 2 4 2 3" xfId="24806"/>
    <cellStyle name="常规 2 3 2 2 2 3 2 4 3" xfId="9098"/>
    <cellStyle name="常规 2 3 2 2 2 3 2 4 3 2" xfId="18518"/>
    <cellStyle name="常规 2 3 2 2 2 3 2 4 3 2 2" xfId="37366"/>
    <cellStyle name="常规 2 3 2 2 2 3 2 4 3 3" xfId="27942"/>
    <cellStyle name="常规 2 3 2 2 2 3 2 4 4" xfId="12246"/>
    <cellStyle name="常规 2 3 2 2 2 3 2 4 4 2" xfId="31094"/>
    <cellStyle name="常规 2 3 2 2 2 3 2 4 5" xfId="21670"/>
    <cellStyle name="常规 2 3 2 2 2 3 2 5" xfId="3610"/>
    <cellStyle name="常规 2 3 2 2 2 3 2 5 2" xfId="13030"/>
    <cellStyle name="常规 2 3 2 2 2 3 2 5 2 2" xfId="31878"/>
    <cellStyle name="常规 2 3 2 2 2 3 2 5 3" xfId="22454"/>
    <cellStyle name="常规 2 3 2 2 2 3 2 6" xfId="6746"/>
    <cellStyle name="常规 2 3 2 2 2 3 2 6 2" xfId="16166"/>
    <cellStyle name="常规 2 3 2 2 2 3 2 6 2 2" xfId="35014"/>
    <cellStyle name="常规 2 3 2 2 2 3 2 6 3" xfId="25590"/>
    <cellStyle name="常规 2 3 2 2 2 3 2 7" xfId="9894"/>
    <cellStyle name="常规 2 3 2 2 2 3 2 7 2" xfId="28742"/>
    <cellStyle name="常规 2 3 2 2 2 3 2 8" xfId="19318"/>
    <cellStyle name="常规 2 3 2 2 2 3 3" xfId="863"/>
    <cellStyle name="常规 2 3 2 2 2 3 3 2" xfId="3999"/>
    <cellStyle name="常规 2 3 2 2 2 3 3 2 2" xfId="13419"/>
    <cellStyle name="常规 2 3 2 2 2 3 3 2 2 2" xfId="32267"/>
    <cellStyle name="常规 2 3 2 2 2 3 3 2 3" xfId="22843"/>
    <cellStyle name="常规 2 3 2 2 2 3 3 3" xfId="7135"/>
    <cellStyle name="常规 2 3 2 2 2 3 3 3 2" xfId="16555"/>
    <cellStyle name="常规 2 3 2 2 2 3 3 3 2 2" xfId="35403"/>
    <cellStyle name="常规 2 3 2 2 2 3 3 3 3" xfId="25979"/>
    <cellStyle name="常规 2 3 2 2 2 3 3 4" xfId="10283"/>
    <cellStyle name="常规 2 3 2 2 2 3 3 4 2" xfId="29131"/>
    <cellStyle name="常规 2 3 2 2 2 3 3 5" xfId="19707"/>
    <cellStyle name="常规 2 3 2 2 2 3 4" xfId="1647"/>
    <cellStyle name="常规 2 3 2 2 2 3 4 2" xfId="4783"/>
    <cellStyle name="常规 2 3 2 2 2 3 4 2 2" xfId="14203"/>
    <cellStyle name="常规 2 3 2 2 2 3 4 2 2 2" xfId="33051"/>
    <cellStyle name="常规 2 3 2 2 2 3 4 2 3" xfId="23627"/>
    <cellStyle name="常规 2 3 2 2 2 3 4 3" xfId="7919"/>
    <cellStyle name="常规 2 3 2 2 2 3 4 3 2" xfId="17339"/>
    <cellStyle name="常规 2 3 2 2 2 3 4 3 2 2" xfId="36187"/>
    <cellStyle name="常规 2 3 2 2 2 3 4 3 3" xfId="26763"/>
    <cellStyle name="常规 2 3 2 2 2 3 4 4" xfId="11067"/>
    <cellStyle name="常规 2 3 2 2 2 3 4 4 2" xfId="29915"/>
    <cellStyle name="常规 2 3 2 2 2 3 4 5" xfId="20491"/>
    <cellStyle name="常规 2 3 2 2 2 3 5" xfId="2431"/>
    <cellStyle name="常规 2 3 2 2 2 3 5 2" xfId="5567"/>
    <cellStyle name="常规 2 3 2 2 2 3 5 2 2" xfId="14987"/>
    <cellStyle name="常规 2 3 2 2 2 3 5 2 2 2" xfId="33835"/>
    <cellStyle name="常规 2 3 2 2 2 3 5 2 3" xfId="24411"/>
    <cellStyle name="常规 2 3 2 2 2 3 5 3" xfId="8703"/>
    <cellStyle name="常规 2 3 2 2 2 3 5 3 2" xfId="18123"/>
    <cellStyle name="常规 2 3 2 2 2 3 5 3 2 2" xfId="36971"/>
    <cellStyle name="常规 2 3 2 2 2 3 5 3 3" xfId="27547"/>
    <cellStyle name="常规 2 3 2 2 2 3 5 4" xfId="11851"/>
    <cellStyle name="常规 2 3 2 2 2 3 5 4 2" xfId="30699"/>
    <cellStyle name="常规 2 3 2 2 2 3 5 5" xfId="21275"/>
    <cellStyle name="常规 2 3 2 2 2 3 6" xfId="3277"/>
    <cellStyle name="常规 2 3 2 2 2 3 6 2" xfId="12697"/>
    <cellStyle name="常规 2 3 2 2 2 3 6 2 2" xfId="31545"/>
    <cellStyle name="常规 2 3 2 2 2 3 6 3" xfId="22121"/>
    <cellStyle name="常规 2 3 2 2 2 3 7" xfId="6351"/>
    <cellStyle name="常规 2 3 2 2 2 3 7 2" xfId="15771"/>
    <cellStyle name="常规 2 3 2 2 2 3 7 2 2" xfId="34619"/>
    <cellStyle name="常规 2 3 2 2 2 3 7 3" xfId="25195"/>
    <cellStyle name="常规 2 3 2 2 2 3 8" xfId="9498"/>
    <cellStyle name="常规 2 3 2 2 2 3 8 2" xfId="28343"/>
    <cellStyle name="常规 2 3 2 2 2 3 9" xfId="18921"/>
    <cellStyle name="常规 2 3 2 2 2 4" xfId="471"/>
    <cellStyle name="常规 2 3 2 2 2 4 2" xfId="1255"/>
    <cellStyle name="常规 2 3 2 2 2 4 2 2" xfId="4391"/>
    <cellStyle name="常规 2 3 2 2 2 4 2 2 2" xfId="13811"/>
    <cellStyle name="常规 2 3 2 2 2 4 2 2 2 2" xfId="32659"/>
    <cellStyle name="常规 2 3 2 2 2 4 2 2 3" xfId="23235"/>
    <cellStyle name="常规 2 3 2 2 2 4 2 3" xfId="7527"/>
    <cellStyle name="常规 2 3 2 2 2 4 2 3 2" xfId="16947"/>
    <cellStyle name="常规 2 3 2 2 2 4 2 3 2 2" xfId="35795"/>
    <cellStyle name="常规 2 3 2 2 2 4 2 3 3" xfId="26371"/>
    <cellStyle name="常规 2 3 2 2 2 4 2 4" xfId="10675"/>
    <cellStyle name="常规 2 3 2 2 2 4 2 4 2" xfId="29523"/>
    <cellStyle name="常规 2 3 2 2 2 4 2 5" xfId="20099"/>
    <cellStyle name="常规 2 3 2 2 2 4 3" xfId="2039"/>
    <cellStyle name="常规 2 3 2 2 2 4 3 2" xfId="5175"/>
    <cellStyle name="常规 2 3 2 2 2 4 3 2 2" xfId="14595"/>
    <cellStyle name="常规 2 3 2 2 2 4 3 2 2 2" xfId="33443"/>
    <cellStyle name="常规 2 3 2 2 2 4 3 2 3" xfId="24019"/>
    <cellStyle name="常规 2 3 2 2 2 4 3 3" xfId="8311"/>
    <cellStyle name="常规 2 3 2 2 2 4 3 3 2" xfId="17731"/>
    <cellStyle name="常规 2 3 2 2 2 4 3 3 2 2" xfId="36579"/>
    <cellStyle name="常规 2 3 2 2 2 4 3 3 3" xfId="27155"/>
    <cellStyle name="常规 2 3 2 2 2 4 3 4" xfId="11459"/>
    <cellStyle name="常规 2 3 2 2 2 4 3 4 2" xfId="30307"/>
    <cellStyle name="常规 2 3 2 2 2 4 3 5" xfId="20883"/>
    <cellStyle name="常规 2 3 2 2 2 4 4" xfId="2823"/>
    <cellStyle name="常规 2 3 2 2 2 4 4 2" xfId="5959"/>
    <cellStyle name="常规 2 3 2 2 2 4 4 2 2" xfId="15379"/>
    <cellStyle name="常规 2 3 2 2 2 4 4 2 2 2" xfId="34227"/>
    <cellStyle name="常规 2 3 2 2 2 4 4 2 3" xfId="24803"/>
    <cellStyle name="常规 2 3 2 2 2 4 4 3" xfId="9095"/>
    <cellStyle name="常规 2 3 2 2 2 4 4 3 2" xfId="18515"/>
    <cellStyle name="常规 2 3 2 2 2 4 4 3 2 2" xfId="37363"/>
    <cellStyle name="常规 2 3 2 2 2 4 4 3 3" xfId="27939"/>
    <cellStyle name="常规 2 3 2 2 2 4 4 4" xfId="12243"/>
    <cellStyle name="常规 2 3 2 2 2 4 4 4 2" xfId="31091"/>
    <cellStyle name="常规 2 3 2 2 2 4 4 5" xfId="21667"/>
    <cellStyle name="常规 2 3 2 2 2 4 5" xfId="3607"/>
    <cellStyle name="常规 2 3 2 2 2 4 5 2" xfId="13027"/>
    <cellStyle name="常规 2 3 2 2 2 4 5 2 2" xfId="31875"/>
    <cellStyle name="常规 2 3 2 2 2 4 5 3" xfId="22451"/>
    <cellStyle name="常规 2 3 2 2 2 4 6" xfId="6743"/>
    <cellStyle name="常规 2 3 2 2 2 4 6 2" xfId="16163"/>
    <cellStyle name="常规 2 3 2 2 2 4 6 2 2" xfId="35011"/>
    <cellStyle name="常规 2 3 2 2 2 4 6 3" xfId="25587"/>
    <cellStyle name="常规 2 3 2 2 2 4 7" xfId="9891"/>
    <cellStyle name="常规 2 3 2 2 2 4 7 2" xfId="28739"/>
    <cellStyle name="常规 2 3 2 2 2 4 8" xfId="19315"/>
    <cellStyle name="常规 2 3 2 2 2 5" xfId="860"/>
    <cellStyle name="常规 2 3 2 2 2 5 2" xfId="3996"/>
    <cellStyle name="常规 2 3 2 2 2 5 2 2" xfId="13416"/>
    <cellStyle name="常规 2 3 2 2 2 5 2 2 2" xfId="32264"/>
    <cellStyle name="常规 2 3 2 2 2 5 2 3" xfId="22840"/>
    <cellStyle name="常规 2 3 2 2 2 5 3" xfId="7132"/>
    <cellStyle name="常规 2 3 2 2 2 5 3 2" xfId="16552"/>
    <cellStyle name="常规 2 3 2 2 2 5 3 2 2" xfId="35400"/>
    <cellStyle name="常规 2 3 2 2 2 5 3 3" xfId="25976"/>
    <cellStyle name="常规 2 3 2 2 2 5 4" xfId="10280"/>
    <cellStyle name="常规 2 3 2 2 2 5 4 2" xfId="29128"/>
    <cellStyle name="常规 2 3 2 2 2 5 5" xfId="19704"/>
    <cellStyle name="常规 2 3 2 2 2 6" xfId="1644"/>
    <cellStyle name="常规 2 3 2 2 2 6 2" xfId="4780"/>
    <cellStyle name="常规 2 3 2 2 2 6 2 2" xfId="14200"/>
    <cellStyle name="常规 2 3 2 2 2 6 2 2 2" xfId="33048"/>
    <cellStyle name="常规 2 3 2 2 2 6 2 3" xfId="23624"/>
    <cellStyle name="常规 2 3 2 2 2 6 3" xfId="7916"/>
    <cellStyle name="常规 2 3 2 2 2 6 3 2" xfId="17336"/>
    <cellStyle name="常规 2 3 2 2 2 6 3 2 2" xfId="36184"/>
    <cellStyle name="常规 2 3 2 2 2 6 3 3" xfId="26760"/>
    <cellStyle name="常规 2 3 2 2 2 6 4" xfId="11064"/>
    <cellStyle name="常规 2 3 2 2 2 6 4 2" xfId="29912"/>
    <cellStyle name="常规 2 3 2 2 2 6 5" xfId="20488"/>
    <cellStyle name="常规 2 3 2 2 2 7" xfId="2428"/>
    <cellStyle name="常规 2 3 2 2 2 7 2" xfId="5564"/>
    <cellStyle name="常规 2 3 2 2 2 7 2 2" xfId="14984"/>
    <cellStyle name="常规 2 3 2 2 2 7 2 2 2" xfId="33832"/>
    <cellStyle name="常规 2 3 2 2 2 7 2 3" xfId="24408"/>
    <cellStyle name="常规 2 3 2 2 2 7 3" xfId="8700"/>
    <cellStyle name="常规 2 3 2 2 2 7 3 2" xfId="18120"/>
    <cellStyle name="常规 2 3 2 2 2 7 3 2 2" xfId="36968"/>
    <cellStyle name="常规 2 3 2 2 2 7 3 3" xfId="27544"/>
    <cellStyle name="常规 2 3 2 2 2 7 4" xfId="11848"/>
    <cellStyle name="常规 2 3 2 2 2 7 4 2" xfId="30696"/>
    <cellStyle name="常规 2 3 2 2 2 7 5" xfId="21272"/>
    <cellStyle name="常规 2 3 2 2 2 8" xfId="3203"/>
    <cellStyle name="常规 2 3 2 2 2 8 2" xfId="12623"/>
    <cellStyle name="常规 2 3 2 2 2 8 2 2" xfId="31471"/>
    <cellStyle name="常规 2 3 2 2 2 8 3" xfId="22047"/>
    <cellStyle name="常规 2 3 2 2 2 9" xfId="6348"/>
    <cellStyle name="常规 2 3 2 2 2 9 2" xfId="15768"/>
    <cellStyle name="常规 2 3 2 2 2 9 2 2" xfId="34616"/>
    <cellStyle name="常规 2 3 2 2 2 9 3" xfId="25192"/>
    <cellStyle name="常规 2 3 2 2 3" xfId="76"/>
    <cellStyle name="常规 2 3 2 2 3 10" xfId="18922"/>
    <cellStyle name="常规 2 3 2 2 3 2" xfId="77"/>
    <cellStyle name="常规 2 3 2 2 3 2 2" xfId="476"/>
    <cellStyle name="常规 2 3 2 2 3 2 2 2" xfId="1260"/>
    <cellStyle name="常规 2 3 2 2 3 2 2 2 2" xfId="4396"/>
    <cellStyle name="常规 2 3 2 2 3 2 2 2 2 2" xfId="13816"/>
    <cellStyle name="常规 2 3 2 2 3 2 2 2 2 2 2" xfId="32664"/>
    <cellStyle name="常规 2 3 2 2 3 2 2 2 2 3" xfId="23240"/>
    <cellStyle name="常规 2 3 2 2 3 2 2 2 3" xfId="7532"/>
    <cellStyle name="常规 2 3 2 2 3 2 2 2 3 2" xfId="16952"/>
    <cellStyle name="常规 2 3 2 2 3 2 2 2 3 2 2" xfId="35800"/>
    <cellStyle name="常规 2 3 2 2 3 2 2 2 3 3" xfId="26376"/>
    <cellStyle name="常规 2 3 2 2 3 2 2 2 4" xfId="10680"/>
    <cellStyle name="常规 2 3 2 2 3 2 2 2 4 2" xfId="29528"/>
    <cellStyle name="常规 2 3 2 2 3 2 2 2 5" xfId="20104"/>
    <cellStyle name="常规 2 3 2 2 3 2 2 3" xfId="2044"/>
    <cellStyle name="常规 2 3 2 2 3 2 2 3 2" xfId="5180"/>
    <cellStyle name="常规 2 3 2 2 3 2 2 3 2 2" xfId="14600"/>
    <cellStyle name="常规 2 3 2 2 3 2 2 3 2 2 2" xfId="33448"/>
    <cellStyle name="常规 2 3 2 2 3 2 2 3 2 3" xfId="24024"/>
    <cellStyle name="常规 2 3 2 2 3 2 2 3 3" xfId="8316"/>
    <cellStyle name="常规 2 3 2 2 3 2 2 3 3 2" xfId="17736"/>
    <cellStyle name="常规 2 3 2 2 3 2 2 3 3 2 2" xfId="36584"/>
    <cellStyle name="常规 2 3 2 2 3 2 2 3 3 3" xfId="27160"/>
    <cellStyle name="常规 2 3 2 2 3 2 2 3 4" xfId="11464"/>
    <cellStyle name="常规 2 3 2 2 3 2 2 3 4 2" xfId="30312"/>
    <cellStyle name="常规 2 3 2 2 3 2 2 3 5" xfId="20888"/>
    <cellStyle name="常规 2 3 2 2 3 2 2 4" xfId="2828"/>
    <cellStyle name="常规 2 3 2 2 3 2 2 4 2" xfId="5964"/>
    <cellStyle name="常规 2 3 2 2 3 2 2 4 2 2" xfId="15384"/>
    <cellStyle name="常规 2 3 2 2 3 2 2 4 2 2 2" xfId="34232"/>
    <cellStyle name="常规 2 3 2 2 3 2 2 4 2 3" xfId="24808"/>
    <cellStyle name="常规 2 3 2 2 3 2 2 4 3" xfId="9100"/>
    <cellStyle name="常规 2 3 2 2 3 2 2 4 3 2" xfId="18520"/>
    <cellStyle name="常规 2 3 2 2 3 2 2 4 3 2 2" xfId="37368"/>
    <cellStyle name="常规 2 3 2 2 3 2 2 4 3 3" xfId="27944"/>
    <cellStyle name="常规 2 3 2 2 3 2 2 4 4" xfId="12248"/>
    <cellStyle name="常规 2 3 2 2 3 2 2 4 4 2" xfId="31096"/>
    <cellStyle name="常规 2 3 2 2 3 2 2 4 5" xfId="21672"/>
    <cellStyle name="常规 2 3 2 2 3 2 2 5" xfId="3612"/>
    <cellStyle name="常规 2 3 2 2 3 2 2 5 2" xfId="13032"/>
    <cellStyle name="常规 2 3 2 2 3 2 2 5 2 2" xfId="31880"/>
    <cellStyle name="常规 2 3 2 2 3 2 2 5 3" xfId="22456"/>
    <cellStyle name="常规 2 3 2 2 3 2 2 6" xfId="6748"/>
    <cellStyle name="常规 2 3 2 2 3 2 2 6 2" xfId="16168"/>
    <cellStyle name="常规 2 3 2 2 3 2 2 6 2 2" xfId="35016"/>
    <cellStyle name="常规 2 3 2 2 3 2 2 6 3" xfId="25592"/>
    <cellStyle name="常规 2 3 2 2 3 2 2 7" xfId="9896"/>
    <cellStyle name="常规 2 3 2 2 3 2 2 7 2" xfId="28744"/>
    <cellStyle name="常规 2 3 2 2 3 2 2 8" xfId="19320"/>
    <cellStyle name="常规 2 3 2 2 3 2 3" xfId="865"/>
    <cellStyle name="常规 2 3 2 2 3 2 3 2" xfId="4001"/>
    <cellStyle name="常规 2 3 2 2 3 2 3 2 2" xfId="13421"/>
    <cellStyle name="常规 2 3 2 2 3 2 3 2 2 2" xfId="32269"/>
    <cellStyle name="常规 2 3 2 2 3 2 3 2 3" xfId="22845"/>
    <cellStyle name="常规 2 3 2 2 3 2 3 3" xfId="7137"/>
    <cellStyle name="常规 2 3 2 2 3 2 3 3 2" xfId="16557"/>
    <cellStyle name="常规 2 3 2 2 3 2 3 3 2 2" xfId="35405"/>
    <cellStyle name="常规 2 3 2 2 3 2 3 3 3" xfId="25981"/>
    <cellStyle name="常规 2 3 2 2 3 2 3 4" xfId="10285"/>
    <cellStyle name="常规 2 3 2 2 3 2 3 4 2" xfId="29133"/>
    <cellStyle name="常规 2 3 2 2 3 2 3 5" xfId="19709"/>
    <cellStyle name="常规 2 3 2 2 3 2 4" xfId="1649"/>
    <cellStyle name="常规 2 3 2 2 3 2 4 2" xfId="4785"/>
    <cellStyle name="常规 2 3 2 2 3 2 4 2 2" xfId="14205"/>
    <cellStyle name="常规 2 3 2 2 3 2 4 2 2 2" xfId="33053"/>
    <cellStyle name="常规 2 3 2 2 3 2 4 2 3" xfId="23629"/>
    <cellStyle name="常规 2 3 2 2 3 2 4 3" xfId="7921"/>
    <cellStyle name="常规 2 3 2 2 3 2 4 3 2" xfId="17341"/>
    <cellStyle name="常规 2 3 2 2 3 2 4 3 2 2" xfId="36189"/>
    <cellStyle name="常规 2 3 2 2 3 2 4 3 3" xfId="26765"/>
    <cellStyle name="常规 2 3 2 2 3 2 4 4" xfId="11069"/>
    <cellStyle name="常规 2 3 2 2 3 2 4 4 2" xfId="29917"/>
    <cellStyle name="常规 2 3 2 2 3 2 4 5" xfId="20493"/>
    <cellStyle name="常规 2 3 2 2 3 2 5" xfId="2433"/>
    <cellStyle name="常规 2 3 2 2 3 2 5 2" xfId="5569"/>
    <cellStyle name="常规 2 3 2 2 3 2 5 2 2" xfId="14989"/>
    <cellStyle name="常规 2 3 2 2 3 2 5 2 2 2" xfId="33837"/>
    <cellStyle name="常规 2 3 2 2 3 2 5 2 3" xfId="24413"/>
    <cellStyle name="常规 2 3 2 2 3 2 5 3" xfId="8705"/>
    <cellStyle name="常规 2 3 2 2 3 2 5 3 2" xfId="18125"/>
    <cellStyle name="常规 2 3 2 2 3 2 5 3 2 2" xfId="36973"/>
    <cellStyle name="常规 2 3 2 2 3 2 5 3 3" xfId="27549"/>
    <cellStyle name="常规 2 3 2 2 3 2 5 4" xfId="11853"/>
    <cellStyle name="常规 2 3 2 2 3 2 5 4 2" xfId="30701"/>
    <cellStyle name="常规 2 3 2 2 3 2 5 5" xfId="21277"/>
    <cellStyle name="常规 2 3 2 2 3 2 6" xfId="3246"/>
    <cellStyle name="常规 2 3 2 2 3 2 6 2" xfId="12666"/>
    <cellStyle name="常规 2 3 2 2 3 2 6 2 2" xfId="31514"/>
    <cellStyle name="常规 2 3 2 2 3 2 6 3" xfId="22090"/>
    <cellStyle name="常规 2 3 2 2 3 2 7" xfId="6353"/>
    <cellStyle name="常规 2 3 2 2 3 2 7 2" xfId="15773"/>
    <cellStyle name="常规 2 3 2 2 3 2 7 2 2" xfId="34621"/>
    <cellStyle name="常规 2 3 2 2 3 2 7 3" xfId="25197"/>
    <cellStyle name="常规 2 3 2 2 3 2 8" xfId="9500"/>
    <cellStyle name="常规 2 3 2 2 3 2 8 2" xfId="28345"/>
    <cellStyle name="常规 2 3 2 2 3 2 9" xfId="18923"/>
    <cellStyle name="常规 2 3 2 2 3 3" xfId="475"/>
    <cellStyle name="常规 2 3 2 2 3 3 2" xfId="1259"/>
    <cellStyle name="常规 2 3 2 2 3 3 2 2" xfId="4395"/>
    <cellStyle name="常规 2 3 2 2 3 3 2 2 2" xfId="13815"/>
    <cellStyle name="常规 2 3 2 2 3 3 2 2 2 2" xfId="32663"/>
    <cellStyle name="常规 2 3 2 2 3 3 2 2 3" xfId="23239"/>
    <cellStyle name="常规 2 3 2 2 3 3 2 3" xfId="7531"/>
    <cellStyle name="常规 2 3 2 2 3 3 2 3 2" xfId="16951"/>
    <cellStyle name="常规 2 3 2 2 3 3 2 3 2 2" xfId="35799"/>
    <cellStyle name="常规 2 3 2 2 3 3 2 3 3" xfId="26375"/>
    <cellStyle name="常规 2 3 2 2 3 3 2 4" xfId="10679"/>
    <cellStyle name="常规 2 3 2 2 3 3 2 4 2" xfId="29527"/>
    <cellStyle name="常规 2 3 2 2 3 3 2 5" xfId="20103"/>
    <cellStyle name="常规 2 3 2 2 3 3 3" xfId="2043"/>
    <cellStyle name="常规 2 3 2 2 3 3 3 2" xfId="5179"/>
    <cellStyle name="常规 2 3 2 2 3 3 3 2 2" xfId="14599"/>
    <cellStyle name="常规 2 3 2 2 3 3 3 2 2 2" xfId="33447"/>
    <cellStyle name="常规 2 3 2 2 3 3 3 2 3" xfId="24023"/>
    <cellStyle name="常规 2 3 2 2 3 3 3 3" xfId="8315"/>
    <cellStyle name="常规 2 3 2 2 3 3 3 3 2" xfId="17735"/>
    <cellStyle name="常规 2 3 2 2 3 3 3 3 2 2" xfId="36583"/>
    <cellStyle name="常规 2 3 2 2 3 3 3 3 3" xfId="27159"/>
    <cellStyle name="常规 2 3 2 2 3 3 3 4" xfId="11463"/>
    <cellStyle name="常规 2 3 2 2 3 3 3 4 2" xfId="30311"/>
    <cellStyle name="常规 2 3 2 2 3 3 3 5" xfId="20887"/>
    <cellStyle name="常规 2 3 2 2 3 3 4" xfId="2827"/>
    <cellStyle name="常规 2 3 2 2 3 3 4 2" xfId="5963"/>
    <cellStyle name="常规 2 3 2 2 3 3 4 2 2" xfId="15383"/>
    <cellStyle name="常规 2 3 2 2 3 3 4 2 2 2" xfId="34231"/>
    <cellStyle name="常规 2 3 2 2 3 3 4 2 3" xfId="24807"/>
    <cellStyle name="常规 2 3 2 2 3 3 4 3" xfId="9099"/>
    <cellStyle name="常规 2 3 2 2 3 3 4 3 2" xfId="18519"/>
    <cellStyle name="常规 2 3 2 2 3 3 4 3 2 2" xfId="37367"/>
    <cellStyle name="常规 2 3 2 2 3 3 4 3 3" xfId="27943"/>
    <cellStyle name="常规 2 3 2 2 3 3 4 4" xfId="12247"/>
    <cellStyle name="常规 2 3 2 2 3 3 4 4 2" xfId="31095"/>
    <cellStyle name="常规 2 3 2 2 3 3 4 5" xfId="21671"/>
    <cellStyle name="常规 2 3 2 2 3 3 5" xfId="3611"/>
    <cellStyle name="常规 2 3 2 2 3 3 5 2" xfId="13031"/>
    <cellStyle name="常规 2 3 2 2 3 3 5 2 2" xfId="31879"/>
    <cellStyle name="常规 2 3 2 2 3 3 5 3" xfId="22455"/>
    <cellStyle name="常规 2 3 2 2 3 3 6" xfId="6747"/>
    <cellStyle name="常规 2 3 2 2 3 3 6 2" xfId="16167"/>
    <cellStyle name="常规 2 3 2 2 3 3 6 2 2" xfId="35015"/>
    <cellStyle name="常规 2 3 2 2 3 3 6 3" xfId="25591"/>
    <cellStyle name="常规 2 3 2 2 3 3 7" xfId="9895"/>
    <cellStyle name="常规 2 3 2 2 3 3 7 2" xfId="28743"/>
    <cellStyle name="常规 2 3 2 2 3 3 8" xfId="19319"/>
    <cellStyle name="常规 2 3 2 2 3 4" xfId="864"/>
    <cellStyle name="常规 2 3 2 2 3 4 2" xfId="4000"/>
    <cellStyle name="常规 2 3 2 2 3 4 2 2" xfId="13420"/>
    <cellStyle name="常规 2 3 2 2 3 4 2 2 2" xfId="32268"/>
    <cellStyle name="常规 2 3 2 2 3 4 2 3" xfId="22844"/>
    <cellStyle name="常规 2 3 2 2 3 4 3" xfId="7136"/>
    <cellStyle name="常规 2 3 2 2 3 4 3 2" xfId="16556"/>
    <cellStyle name="常规 2 3 2 2 3 4 3 2 2" xfId="35404"/>
    <cellStyle name="常规 2 3 2 2 3 4 3 3" xfId="25980"/>
    <cellStyle name="常规 2 3 2 2 3 4 4" xfId="10284"/>
    <cellStyle name="常规 2 3 2 2 3 4 4 2" xfId="29132"/>
    <cellStyle name="常规 2 3 2 2 3 4 5" xfId="19708"/>
    <cellStyle name="常规 2 3 2 2 3 5" xfId="1648"/>
    <cellStyle name="常规 2 3 2 2 3 5 2" xfId="4784"/>
    <cellStyle name="常规 2 3 2 2 3 5 2 2" xfId="14204"/>
    <cellStyle name="常规 2 3 2 2 3 5 2 2 2" xfId="33052"/>
    <cellStyle name="常规 2 3 2 2 3 5 2 3" xfId="23628"/>
    <cellStyle name="常规 2 3 2 2 3 5 3" xfId="7920"/>
    <cellStyle name="常规 2 3 2 2 3 5 3 2" xfId="17340"/>
    <cellStyle name="常规 2 3 2 2 3 5 3 2 2" xfId="36188"/>
    <cellStyle name="常规 2 3 2 2 3 5 3 3" xfId="26764"/>
    <cellStyle name="常规 2 3 2 2 3 5 4" xfId="11068"/>
    <cellStyle name="常规 2 3 2 2 3 5 4 2" xfId="29916"/>
    <cellStyle name="常规 2 3 2 2 3 5 5" xfId="20492"/>
    <cellStyle name="常规 2 3 2 2 3 6" xfId="2432"/>
    <cellStyle name="常规 2 3 2 2 3 6 2" xfId="5568"/>
    <cellStyle name="常规 2 3 2 2 3 6 2 2" xfId="14988"/>
    <cellStyle name="常规 2 3 2 2 3 6 2 2 2" xfId="33836"/>
    <cellStyle name="常规 2 3 2 2 3 6 2 3" xfId="24412"/>
    <cellStyle name="常规 2 3 2 2 3 6 3" xfId="8704"/>
    <cellStyle name="常规 2 3 2 2 3 6 3 2" xfId="18124"/>
    <cellStyle name="常规 2 3 2 2 3 6 3 2 2" xfId="36972"/>
    <cellStyle name="常规 2 3 2 2 3 6 3 3" xfId="27548"/>
    <cellStyle name="常规 2 3 2 2 3 6 4" xfId="11852"/>
    <cellStyle name="常规 2 3 2 2 3 6 4 2" xfId="30700"/>
    <cellStyle name="常规 2 3 2 2 3 6 5" xfId="21276"/>
    <cellStyle name="常规 2 3 2 2 3 7" xfId="3278"/>
    <cellStyle name="常规 2 3 2 2 3 7 2" xfId="12698"/>
    <cellStyle name="常规 2 3 2 2 3 7 2 2" xfId="31546"/>
    <cellStyle name="常规 2 3 2 2 3 7 3" xfId="22122"/>
    <cellStyle name="常规 2 3 2 2 3 8" xfId="6352"/>
    <cellStyle name="常规 2 3 2 2 3 8 2" xfId="15772"/>
    <cellStyle name="常规 2 3 2 2 3 8 2 2" xfId="34620"/>
    <cellStyle name="常规 2 3 2 2 3 8 3" xfId="25196"/>
    <cellStyle name="常规 2 3 2 2 3 9" xfId="9499"/>
    <cellStyle name="常规 2 3 2 2 3 9 2" xfId="28344"/>
    <cellStyle name="常规 2 3 2 2 4" xfId="78"/>
    <cellStyle name="常规 2 3 2 2 4 2" xfId="477"/>
    <cellStyle name="常规 2 3 2 2 4 2 2" xfId="1261"/>
    <cellStyle name="常规 2 3 2 2 4 2 2 2" xfId="4397"/>
    <cellStyle name="常规 2 3 2 2 4 2 2 2 2" xfId="13817"/>
    <cellStyle name="常规 2 3 2 2 4 2 2 2 2 2" xfId="32665"/>
    <cellStyle name="常规 2 3 2 2 4 2 2 2 3" xfId="23241"/>
    <cellStyle name="常规 2 3 2 2 4 2 2 3" xfId="7533"/>
    <cellStyle name="常规 2 3 2 2 4 2 2 3 2" xfId="16953"/>
    <cellStyle name="常规 2 3 2 2 4 2 2 3 2 2" xfId="35801"/>
    <cellStyle name="常规 2 3 2 2 4 2 2 3 3" xfId="26377"/>
    <cellStyle name="常规 2 3 2 2 4 2 2 4" xfId="10681"/>
    <cellStyle name="常规 2 3 2 2 4 2 2 4 2" xfId="29529"/>
    <cellStyle name="常规 2 3 2 2 4 2 2 5" xfId="20105"/>
    <cellStyle name="常规 2 3 2 2 4 2 3" xfId="2045"/>
    <cellStyle name="常规 2 3 2 2 4 2 3 2" xfId="5181"/>
    <cellStyle name="常规 2 3 2 2 4 2 3 2 2" xfId="14601"/>
    <cellStyle name="常规 2 3 2 2 4 2 3 2 2 2" xfId="33449"/>
    <cellStyle name="常规 2 3 2 2 4 2 3 2 3" xfId="24025"/>
    <cellStyle name="常规 2 3 2 2 4 2 3 3" xfId="8317"/>
    <cellStyle name="常规 2 3 2 2 4 2 3 3 2" xfId="17737"/>
    <cellStyle name="常规 2 3 2 2 4 2 3 3 2 2" xfId="36585"/>
    <cellStyle name="常规 2 3 2 2 4 2 3 3 3" xfId="27161"/>
    <cellStyle name="常规 2 3 2 2 4 2 3 4" xfId="11465"/>
    <cellStyle name="常规 2 3 2 2 4 2 3 4 2" xfId="30313"/>
    <cellStyle name="常规 2 3 2 2 4 2 3 5" xfId="20889"/>
    <cellStyle name="常规 2 3 2 2 4 2 4" xfId="2829"/>
    <cellStyle name="常规 2 3 2 2 4 2 4 2" xfId="5965"/>
    <cellStyle name="常规 2 3 2 2 4 2 4 2 2" xfId="15385"/>
    <cellStyle name="常规 2 3 2 2 4 2 4 2 2 2" xfId="34233"/>
    <cellStyle name="常规 2 3 2 2 4 2 4 2 3" xfId="24809"/>
    <cellStyle name="常规 2 3 2 2 4 2 4 3" xfId="9101"/>
    <cellStyle name="常规 2 3 2 2 4 2 4 3 2" xfId="18521"/>
    <cellStyle name="常规 2 3 2 2 4 2 4 3 2 2" xfId="37369"/>
    <cellStyle name="常规 2 3 2 2 4 2 4 3 3" xfId="27945"/>
    <cellStyle name="常规 2 3 2 2 4 2 4 4" xfId="12249"/>
    <cellStyle name="常规 2 3 2 2 4 2 4 4 2" xfId="31097"/>
    <cellStyle name="常规 2 3 2 2 4 2 4 5" xfId="21673"/>
    <cellStyle name="常规 2 3 2 2 4 2 5" xfId="3613"/>
    <cellStyle name="常规 2 3 2 2 4 2 5 2" xfId="13033"/>
    <cellStyle name="常规 2 3 2 2 4 2 5 2 2" xfId="31881"/>
    <cellStyle name="常规 2 3 2 2 4 2 5 3" xfId="22457"/>
    <cellStyle name="常规 2 3 2 2 4 2 6" xfId="6749"/>
    <cellStyle name="常规 2 3 2 2 4 2 6 2" xfId="16169"/>
    <cellStyle name="常规 2 3 2 2 4 2 6 2 2" xfId="35017"/>
    <cellStyle name="常规 2 3 2 2 4 2 6 3" xfId="25593"/>
    <cellStyle name="常规 2 3 2 2 4 2 7" xfId="9897"/>
    <cellStyle name="常规 2 3 2 2 4 2 7 2" xfId="28745"/>
    <cellStyle name="常规 2 3 2 2 4 2 8" xfId="19321"/>
    <cellStyle name="常规 2 3 2 2 4 3" xfId="866"/>
    <cellStyle name="常规 2 3 2 2 4 3 2" xfId="4002"/>
    <cellStyle name="常规 2 3 2 2 4 3 2 2" xfId="13422"/>
    <cellStyle name="常规 2 3 2 2 4 3 2 2 2" xfId="32270"/>
    <cellStyle name="常规 2 3 2 2 4 3 2 3" xfId="22846"/>
    <cellStyle name="常规 2 3 2 2 4 3 3" xfId="7138"/>
    <cellStyle name="常规 2 3 2 2 4 3 3 2" xfId="16558"/>
    <cellStyle name="常规 2 3 2 2 4 3 3 2 2" xfId="35406"/>
    <cellStyle name="常规 2 3 2 2 4 3 3 3" xfId="25982"/>
    <cellStyle name="常规 2 3 2 2 4 3 4" xfId="10286"/>
    <cellStyle name="常规 2 3 2 2 4 3 4 2" xfId="29134"/>
    <cellStyle name="常规 2 3 2 2 4 3 5" xfId="19710"/>
    <cellStyle name="常规 2 3 2 2 4 4" xfId="1650"/>
    <cellStyle name="常规 2 3 2 2 4 4 2" xfId="4786"/>
    <cellStyle name="常规 2 3 2 2 4 4 2 2" xfId="14206"/>
    <cellStyle name="常规 2 3 2 2 4 4 2 2 2" xfId="33054"/>
    <cellStyle name="常规 2 3 2 2 4 4 2 3" xfId="23630"/>
    <cellStyle name="常规 2 3 2 2 4 4 3" xfId="7922"/>
    <cellStyle name="常规 2 3 2 2 4 4 3 2" xfId="17342"/>
    <cellStyle name="常规 2 3 2 2 4 4 3 2 2" xfId="36190"/>
    <cellStyle name="常规 2 3 2 2 4 4 3 3" xfId="26766"/>
    <cellStyle name="常规 2 3 2 2 4 4 4" xfId="11070"/>
    <cellStyle name="常规 2 3 2 2 4 4 4 2" xfId="29918"/>
    <cellStyle name="常规 2 3 2 2 4 4 5" xfId="20494"/>
    <cellStyle name="常规 2 3 2 2 4 5" xfId="2434"/>
    <cellStyle name="常规 2 3 2 2 4 5 2" xfId="5570"/>
    <cellStyle name="常规 2 3 2 2 4 5 2 2" xfId="14990"/>
    <cellStyle name="常规 2 3 2 2 4 5 2 2 2" xfId="33838"/>
    <cellStyle name="常规 2 3 2 2 4 5 2 3" xfId="24414"/>
    <cellStyle name="常规 2 3 2 2 4 5 3" xfId="8706"/>
    <cellStyle name="常规 2 3 2 2 4 5 3 2" xfId="18126"/>
    <cellStyle name="常规 2 3 2 2 4 5 3 2 2" xfId="36974"/>
    <cellStyle name="常规 2 3 2 2 4 5 3 3" xfId="27550"/>
    <cellStyle name="常规 2 3 2 2 4 5 4" xfId="11854"/>
    <cellStyle name="常规 2 3 2 2 4 5 4 2" xfId="30702"/>
    <cellStyle name="常规 2 3 2 2 4 5 5" xfId="21278"/>
    <cellStyle name="常规 2 3 2 2 4 6" xfId="3262"/>
    <cellStyle name="常规 2 3 2 2 4 6 2" xfId="12682"/>
    <cellStyle name="常规 2 3 2 2 4 6 2 2" xfId="31530"/>
    <cellStyle name="常规 2 3 2 2 4 6 3" xfId="22106"/>
    <cellStyle name="常规 2 3 2 2 4 7" xfId="6354"/>
    <cellStyle name="常规 2 3 2 2 4 7 2" xfId="15774"/>
    <cellStyle name="常规 2 3 2 2 4 7 2 2" xfId="34622"/>
    <cellStyle name="常规 2 3 2 2 4 7 3" xfId="25198"/>
    <cellStyle name="常规 2 3 2 2 4 8" xfId="9501"/>
    <cellStyle name="常规 2 3 2 2 4 8 2" xfId="28346"/>
    <cellStyle name="常规 2 3 2 2 4 9" xfId="18924"/>
    <cellStyle name="常规 2 3 2 2 5" xfId="470"/>
    <cellStyle name="常规 2 3 2 2 5 2" xfId="1254"/>
    <cellStyle name="常规 2 3 2 2 5 2 2" xfId="4390"/>
    <cellStyle name="常规 2 3 2 2 5 2 2 2" xfId="13810"/>
    <cellStyle name="常规 2 3 2 2 5 2 2 2 2" xfId="32658"/>
    <cellStyle name="常规 2 3 2 2 5 2 2 3" xfId="23234"/>
    <cellStyle name="常规 2 3 2 2 5 2 3" xfId="7526"/>
    <cellStyle name="常规 2 3 2 2 5 2 3 2" xfId="16946"/>
    <cellStyle name="常规 2 3 2 2 5 2 3 2 2" xfId="35794"/>
    <cellStyle name="常规 2 3 2 2 5 2 3 3" xfId="26370"/>
    <cellStyle name="常规 2 3 2 2 5 2 4" xfId="10674"/>
    <cellStyle name="常规 2 3 2 2 5 2 4 2" xfId="29522"/>
    <cellStyle name="常规 2 3 2 2 5 2 5" xfId="20098"/>
    <cellStyle name="常规 2 3 2 2 5 3" xfId="2038"/>
    <cellStyle name="常规 2 3 2 2 5 3 2" xfId="5174"/>
    <cellStyle name="常规 2 3 2 2 5 3 2 2" xfId="14594"/>
    <cellStyle name="常规 2 3 2 2 5 3 2 2 2" xfId="33442"/>
    <cellStyle name="常规 2 3 2 2 5 3 2 3" xfId="24018"/>
    <cellStyle name="常规 2 3 2 2 5 3 3" xfId="8310"/>
    <cellStyle name="常规 2 3 2 2 5 3 3 2" xfId="17730"/>
    <cellStyle name="常规 2 3 2 2 5 3 3 2 2" xfId="36578"/>
    <cellStyle name="常规 2 3 2 2 5 3 3 3" xfId="27154"/>
    <cellStyle name="常规 2 3 2 2 5 3 4" xfId="11458"/>
    <cellStyle name="常规 2 3 2 2 5 3 4 2" xfId="30306"/>
    <cellStyle name="常规 2 3 2 2 5 3 5" xfId="20882"/>
    <cellStyle name="常规 2 3 2 2 5 4" xfId="2822"/>
    <cellStyle name="常规 2 3 2 2 5 4 2" xfId="5958"/>
    <cellStyle name="常规 2 3 2 2 5 4 2 2" xfId="15378"/>
    <cellStyle name="常规 2 3 2 2 5 4 2 2 2" xfId="34226"/>
    <cellStyle name="常规 2 3 2 2 5 4 2 3" xfId="24802"/>
    <cellStyle name="常规 2 3 2 2 5 4 3" xfId="9094"/>
    <cellStyle name="常规 2 3 2 2 5 4 3 2" xfId="18514"/>
    <cellStyle name="常规 2 3 2 2 5 4 3 2 2" xfId="37362"/>
    <cellStyle name="常规 2 3 2 2 5 4 3 3" xfId="27938"/>
    <cellStyle name="常规 2 3 2 2 5 4 4" xfId="12242"/>
    <cellStyle name="常规 2 3 2 2 5 4 4 2" xfId="31090"/>
    <cellStyle name="常规 2 3 2 2 5 4 5" xfId="21666"/>
    <cellStyle name="常规 2 3 2 2 5 5" xfId="3606"/>
    <cellStyle name="常规 2 3 2 2 5 5 2" xfId="13026"/>
    <cellStyle name="常规 2 3 2 2 5 5 2 2" xfId="31874"/>
    <cellStyle name="常规 2 3 2 2 5 5 3" xfId="22450"/>
    <cellStyle name="常规 2 3 2 2 5 6" xfId="6742"/>
    <cellStyle name="常规 2 3 2 2 5 6 2" xfId="16162"/>
    <cellStyle name="常规 2 3 2 2 5 6 2 2" xfId="35010"/>
    <cellStyle name="常规 2 3 2 2 5 6 3" xfId="25586"/>
    <cellStyle name="常规 2 3 2 2 5 7" xfId="9890"/>
    <cellStyle name="常规 2 3 2 2 5 7 2" xfId="28738"/>
    <cellStyle name="常规 2 3 2 2 5 8" xfId="19314"/>
    <cellStyle name="常规 2 3 2 2 6" xfId="859"/>
    <cellStyle name="常规 2 3 2 2 6 2" xfId="3995"/>
    <cellStyle name="常规 2 3 2 2 6 2 2" xfId="13415"/>
    <cellStyle name="常规 2 3 2 2 6 2 2 2" xfId="32263"/>
    <cellStyle name="常规 2 3 2 2 6 2 3" xfId="22839"/>
    <cellStyle name="常规 2 3 2 2 6 3" xfId="7131"/>
    <cellStyle name="常规 2 3 2 2 6 3 2" xfId="16551"/>
    <cellStyle name="常规 2 3 2 2 6 3 2 2" xfId="35399"/>
    <cellStyle name="常规 2 3 2 2 6 3 3" xfId="25975"/>
    <cellStyle name="常规 2 3 2 2 6 4" xfId="10279"/>
    <cellStyle name="常规 2 3 2 2 6 4 2" xfId="29127"/>
    <cellStyle name="常规 2 3 2 2 6 5" xfId="19703"/>
    <cellStyle name="常规 2 3 2 2 7" xfId="1643"/>
    <cellStyle name="常规 2 3 2 2 7 2" xfId="4779"/>
    <cellStyle name="常规 2 3 2 2 7 2 2" xfId="14199"/>
    <cellStyle name="常规 2 3 2 2 7 2 2 2" xfId="33047"/>
    <cellStyle name="常规 2 3 2 2 7 2 3" xfId="23623"/>
    <cellStyle name="常规 2 3 2 2 7 3" xfId="7915"/>
    <cellStyle name="常规 2 3 2 2 7 3 2" xfId="17335"/>
    <cellStyle name="常规 2 3 2 2 7 3 2 2" xfId="36183"/>
    <cellStyle name="常规 2 3 2 2 7 3 3" xfId="26759"/>
    <cellStyle name="常规 2 3 2 2 7 4" xfId="11063"/>
    <cellStyle name="常规 2 3 2 2 7 4 2" xfId="29911"/>
    <cellStyle name="常规 2 3 2 2 7 5" xfId="20487"/>
    <cellStyle name="常规 2 3 2 2 8" xfId="2427"/>
    <cellStyle name="常规 2 3 2 2 8 2" xfId="5563"/>
    <cellStyle name="常规 2 3 2 2 8 2 2" xfId="14983"/>
    <cellStyle name="常规 2 3 2 2 8 2 2 2" xfId="33831"/>
    <cellStyle name="常规 2 3 2 2 8 2 3" xfId="24407"/>
    <cellStyle name="常规 2 3 2 2 8 3" xfId="8699"/>
    <cellStyle name="常规 2 3 2 2 8 3 2" xfId="18119"/>
    <cellStyle name="常规 2 3 2 2 8 3 2 2" xfId="36967"/>
    <cellStyle name="常规 2 3 2 2 8 3 3" xfId="27543"/>
    <cellStyle name="常规 2 3 2 2 8 4" xfId="11847"/>
    <cellStyle name="常规 2 3 2 2 8 4 2" xfId="30695"/>
    <cellStyle name="常规 2 3 2 2 8 5" xfId="21271"/>
    <cellStyle name="常规 2 3 2 2 9" xfId="3157"/>
    <cellStyle name="常规 2 3 2 2 9 2" xfId="12577"/>
    <cellStyle name="常规 2 3 2 2 9 2 2" xfId="31425"/>
    <cellStyle name="常规 2 3 2 2 9 3" xfId="22001"/>
    <cellStyle name="常规 2 3 2 3" xfId="79"/>
    <cellStyle name="常规 2 3 2 3 10" xfId="9502"/>
    <cellStyle name="常规 2 3 2 3 10 2" xfId="28347"/>
    <cellStyle name="常规 2 3 2 3 11" xfId="18925"/>
    <cellStyle name="常规 2 3 2 3 2" xfId="80"/>
    <cellStyle name="常规 2 3 2 3 2 10" xfId="18926"/>
    <cellStyle name="常规 2 3 2 3 2 2" xfId="81"/>
    <cellStyle name="常规 2 3 2 3 2 2 2" xfId="480"/>
    <cellStyle name="常规 2 3 2 3 2 2 2 2" xfId="1264"/>
    <cellStyle name="常规 2 3 2 3 2 2 2 2 2" xfId="4400"/>
    <cellStyle name="常规 2 3 2 3 2 2 2 2 2 2" xfId="13820"/>
    <cellStyle name="常规 2 3 2 3 2 2 2 2 2 2 2" xfId="32668"/>
    <cellStyle name="常规 2 3 2 3 2 2 2 2 2 3" xfId="23244"/>
    <cellStyle name="常规 2 3 2 3 2 2 2 2 3" xfId="7536"/>
    <cellStyle name="常规 2 3 2 3 2 2 2 2 3 2" xfId="16956"/>
    <cellStyle name="常规 2 3 2 3 2 2 2 2 3 2 2" xfId="35804"/>
    <cellStyle name="常规 2 3 2 3 2 2 2 2 3 3" xfId="26380"/>
    <cellStyle name="常规 2 3 2 3 2 2 2 2 4" xfId="10684"/>
    <cellStyle name="常规 2 3 2 3 2 2 2 2 4 2" xfId="29532"/>
    <cellStyle name="常规 2 3 2 3 2 2 2 2 5" xfId="20108"/>
    <cellStyle name="常规 2 3 2 3 2 2 2 3" xfId="2048"/>
    <cellStyle name="常规 2 3 2 3 2 2 2 3 2" xfId="5184"/>
    <cellStyle name="常规 2 3 2 3 2 2 2 3 2 2" xfId="14604"/>
    <cellStyle name="常规 2 3 2 3 2 2 2 3 2 2 2" xfId="33452"/>
    <cellStyle name="常规 2 3 2 3 2 2 2 3 2 3" xfId="24028"/>
    <cellStyle name="常规 2 3 2 3 2 2 2 3 3" xfId="8320"/>
    <cellStyle name="常规 2 3 2 3 2 2 2 3 3 2" xfId="17740"/>
    <cellStyle name="常规 2 3 2 3 2 2 2 3 3 2 2" xfId="36588"/>
    <cellStyle name="常规 2 3 2 3 2 2 2 3 3 3" xfId="27164"/>
    <cellStyle name="常规 2 3 2 3 2 2 2 3 4" xfId="11468"/>
    <cellStyle name="常规 2 3 2 3 2 2 2 3 4 2" xfId="30316"/>
    <cellStyle name="常规 2 3 2 3 2 2 2 3 5" xfId="20892"/>
    <cellStyle name="常规 2 3 2 3 2 2 2 4" xfId="2832"/>
    <cellStyle name="常规 2 3 2 3 2 2 2 4 2" xfId="5968"/>
    <cellStyle name="常规 2 3 2 3 2 2 2 4 2 2" xfId="15388"/>
    <cellStyle name="常规 2 3 2 3 2 2 2 4 2 2 2" xfId="34236"/>
    <cellStyle name="常规 2 3 2 3 2 2 2 4 2 3" xfId="24812"/>
    <cellStyle name="常规 2 3 2 3 2 2 2 4 3" xfId="9104"/>
    <cellStyle name="常规 2 3 2 3 2 2 2 4 3 2" xfId="18524"/>
    <cellStyle name="常规 2 3 2 3 2 2 2 4 3 2 2" xfId="37372"/>
    <cellStyle name="常规 2 3 2 3 2 2 2 4 3 3" xfId="27948"/>
    <cellStyle name="常规 2 3 2 3 2 2 2 4 4" xfId="12252"/>
    <cellStyle name="常规 2 3 2 3 2 2 2 4 4 2" xfId="31100"/>
    <cellStyle name="常规 2 3 2 3 2 2 2 4 5" xfId="21676"/>
    <cellStyle name="常规 2 3 2 3 2 2 2 5" xfId="3616"/>
    <cellStyle name="常规 2 3 2 3 2 2 2 5 2" xfId="13036"/>
    <cellStyle name="常规 2 3 2 3 2 2 2 5 2 2" xfId="31884"/>
    <cellStyle name="常规 2 3 2 3 2 2 2 5 3" xfId="22460"/>
    <cellStyle name="常规 2 3 2 3 2 2 2 6" xfId="6752"/>
    <cellStyle name="常规 2 3 2 3 2 2 2 6 2" xfId="16172"/>
    <cellStyle name="常规 2 3 2 3 2 2 2 6 2 2" xfId="35020"/>
    <cellStyle name="常规 2 3 2 3 2 2 2 6 3" xfId="25596"/>
    <cellStyle name="常规 2 3 2 3 2 2 2 7" xfId="9900"/>
    <cellStyle name="常规 2 3 2 3 2 2 2 7 2" xfId="28748"/>
    <cellStyle name="常规 2 3 2 3 2 2 2 8" xfId="19324"/>
    <cellStyle name="常规 2 3 2 3 2 2 3" xfId="869"/>
    <cellStyle name="常规 2 3 2 3 2 2 3 2" xfId="4005"/>
    <cellStyle name="常规 2 3 2 3 2 2 3 2 2" xfId="13425"/>
    <cellStyle name="常规 2 3 2 3 2 2 3 2 2 2" xfId="32273"/>
    <cellStyle name="常规 2 3 2 3 2 2 3 2 3" xfId="22849"/>
    <cellStyle name="常规 2 3 2 3 2 2 3 3" xfId="7141"/>
    <cellStyle name="常规 2 3 2 3 2 2 3 3 2" xfId="16561"/>
    <cellStyle name="常规 2 3 2 3 2 2 3 3 2 2" xfId="35409"/>
    <cellStyle name="常规 2 3 2 3 2 2 3 3 3" xfId="25985"/>
    <cellStyle name="常规 2 3 2 3 2 2 3 4" xfId="10289"/>
    <cellStyle name="常规 2 3 2 3 2 2 3 4 2" xfId="29137"/>
    <cellStyle name="常规 2 3 2 3 2 2 3 5" xfId="19713"/>
    <cellStyle name="常规 2 3 2 3 2 2 4" xfId="1653"/>
    <cellStyle name="常规 2 3 2 3 2 2 4 2" xfId="4789"/>
    <cellStyle name="常规 2 3 2 3 2 2 4 2 2" xfId="14209"/>
    <cellStyle name="常规 2 3 2 3 2 2 4 2 2 2" xfId="33057"/>
    <cellStyle name="常规 2 3 2 3 2 2 4 2 3" xfId="23633"/>
    <cellStyle name="常规 2 3 2 3 2 2 4 3" xfId="7925"/>
    <cellStyle name="常规 2 3 2 3 2 2 4 3 2" xfId="17345"/>
    <cellStyle name="常规 2 3 2 3 2 2 4 3 2 2" xfId="36193"/>
    <cellStyle name="常规 2 3 2 3 2 2 4 3 3" xfId="26769"/>
    <cellStyle name="常规 2 3 2 3 2 2 4 4" xfId="11073"/>
    <cellStyle name="常规 2 3 2 3 2 2 4 4 2" xfId="29921"/>
    <cellStyle name="常规 2 3 2 3 2 2 4 5" xfId="20497"/>
    <cellStyle name="常规 2 3 2 3 2 2 5" xfId="2437"/>
    <cellStyle name="常规 2 3 2 3 2 2 5 2" xfId="5573"/>
    <cellStyle name="常规 2 3 2 3 2 2 5 2 2" xfId="14993"/>
    <cellStyle name="常规 2 3 2 3 2 2 5 2 2 2" xfId="33841"/>
    <cellStyle name="常规 2 3 2 3 2 2 5 2 3" xfId="24417"/>
    <cellStyle name="常规 2 3 2 3 2 2 5 3" xfId="8709"/>
    <cellStyle name="常规 2 3 2 3 2 2 5 3 2" xfId="18129"/>
    <cellStyle name="常规 2 3 2 3 2 2 5 3 2 2" xfId="36977"/>
    <cellStyle name="常规 2 3 2 3 2 2 5 3 3" xfId="27553"/>
    <cellStyle name="常规 2 3 2 3 2 2 5 4" xfId="11857"/>
    <cellStyle name="常规 2 3 2 3 2 2 5 4 2" xfId="30705"/>
    <cellStyle name="常规 2 3 2 3 2 2 5 5" xfId="21281"/>
    <cellStyle name="常规 2 3 2 3 2 2 6" xfId="3256"/>
    <cellStyle name="常规 2 3 2 3 2 2 6 2" xfId="12676"/>
    <cellStyle name="常规 2 3 2 3 2 2 6 2 2" xfId="31524"/>
    <cellStyle name="常规 2 3 2 3 2 2 6 3" xfId="22100"/>
    <cellStyle name="常规 2 3 2 3 2 2 7" xfId="6357"/>
    <cellStyle name="常规 2 3 2 3 2 2 7 2" xfId="15777"/>
    <cellStyle name="常规 2 3 2 3 2 2 7 2 2" xfId="34625"/>
    <cellStyle name="常规 2 3 2 3 2 2 7 3" xfId="25201"/>
    <cellStyle name="常规 2 3 2 3 2 2 8" xfId="9504"/>
    <cellStyle name="常规 2 3 2 3 2 2 8 2" xfId="28349"/>
    <cellStyle name="常规 2 3 2 3 2 2 9" xfId="18927"/>
    <cellStyle name="常规 2 3 2 3 2 3" xfId="479"/>
    <cellStyle name="常规 2 3 2 3 2 3 2" xfId="1263"/>
    <cellStyle name="常规 2 3 2 3 2 3 2 2" xfId="4399"/>
    <cellStyle name="常规 2 3 2 3 2 3 2 2 2" xfId="13819"/>
    <cellStyle name="常规 2 3 2 3 2 3 2 2 2 2" xfId="32667"/>
    <cellStyle name="常规 2 3 2 3 2 3 2 2 3" xfId="23243"/>
    <cellStyle name="常规 2 3 2 3 2 3 2 3" xfId="7535"/>
    <cellStyle name="常规 2 3 2 3 2 3 2 3 2" xfId="16955"/>
    <cellStyle name="常规 2 3 2 3 2 3 2 3 2 2" xfId="35803"/>
    <cellStyle name="常规 2 3 2 3 2 3 2 3 3" xfId="26379"/>
    <cellStyle name="常规 2 3 2 3 2 3 2 4" xfId="10683"/>
    <cellStyle name="常规 2 3 2 3 2 3 2 4 2" xfId="29531"/>
    <cellStyle name="常规 2 3 2 3 2 3 2 5" xfId="20107"/>
    <cellStyle name="常规 2 3 2 3 2 3 3" xfId="2047"/>
    <cellStyle name="常规 2 3 2 3 2 3 3 2" xfId="5183"/>
    <cellStyle name="常规 2 3 2 3 2 3 3 2 2" xfId="14603"/>
    <cellStyle name="常规 2 3 2 3 2 3 3 2 2 2" xfId="33451"/>
    <cellStyle name="常规 2 3 2 3 2 3 3 2 3" xfId="24027"/>
    <cellStyle name="常规 2 3 2 3 2 3 3 3" xfId="8319"/>
    <cellStyle name="常规 2 3 2 3 2 3 3 3 2" xfId="17739"/>
    <cellStyle name="常规 2 3 2 3 2 3 3 3 2 2" xfId="36587"/>
    <cellStyle name="常规 2 3 2 3 2 3 3 3 3" xfId="27163"/>
    <cellStyle name="常规 2 3 2 3 2 3 3 4" xfId="11467"/>
    <cellStyle name="常规 2 3 2 3 2 3 3 4 2" xfId="30315"/>
    <cellStyle name="常规 2 3 2 3 2 3 3 5" xfId="20891"/>
    <cellStyle name="常规 2 3 2 3 2 3 4" xfId="2831"/>
    <cellStyle name="常规 2 3 2 3 2 3 4 2" xfId="5967"/>
    <cellStyle name="常规 2 3 2 3 2 3 4 2 2" xfId="15387"/>
    <cellStyle name="常规 2 3 2 3 2 3 4 2 2 2" xfId="34235"/>
    <cellStyle name="常规 2 3 2 3 2 3 4 2 3" xfId="24811"/>
    <cellStyle name="常规 2 3 2 3 2 3 4 3" xfId="9103"/>
    <cellStyle name="常规 2 3 2 3 2 3 4 3 2" xfId="18523"/>
    <cellStyle name="常规 2 3 2 3 2 3 4 3 2 2" xfId="37371"/>
    <cellStyle name="常规 2 3 2 3 2 3 4 3 3" xfId="27947"/>
    <cellStyle name="常规 2 3 2 3 2 3 4 4" xfId="12251"/>
    <cellStyle name="常规 2 3 2 3 2 3 4 4 2" xfId="31099"/>
    <cellStyle name="常规 2 3 2 3 2 3 4 5" xfId="21675"/>
    <cellStyle name="常规 2 3 2 3 2 3 5" xfId="3615"/>
    <cellStyle name="常规 2 3 2 3 2 3 5 2" xfId="13035"/>
    <cellStyle name="常规 2 3 2 3 2 3 5 2 2" xfId="31883"/>
    <cellStyle name="常规 2 3 2 3 2 3 5 3" xfId="22459"/>
    <cellStyle name="常规 2 3 2 3 2 3 6" xfId="6751"/>
    <cellStyle name="常规 2 3 2 3 2 3 6 2" xfId="16171"/>
    <cellStyle name="常规 2 3 2 3 2 3 6 2 2" xfId="35019"/>
    <cellStyle name="常规 2 3 2 3 2 3 6 3" xfId="25595"/>
    <cellStyle name="常规 2 3 2 3 2 3 7" xfId="9899"/>
    <cellStyle name="常规 2 3 2 3 2 3 7 2" xfId="28747"/>
    <cellStyle name="常规 2 3 2 3 2 3 8" xfId="19323"/>
    <cellStyle name="常规 2 3 2 3 2 4" xfId="868"/>
    <cellStyle name="常规 2 3 2 3 2 4 2" xfId="4004"/>
    <cellStyle name="常规 2 3 2 3 2 4 2 2" xfId="13424"/>
    <cellStyle name="常规 2 3 2 3 2 4 2 2 2" xfId="32272"/>
    <cellStyle name="常规 2 3 2 3 2 4 2 3" xfId="22848"/>
    <cellStyle name="常规 2 3 2 3 2 4 3" xfId="7140"/>
    <cellStyle name="常规 2 3 2 3 2 4 3 2" xfId="16560"/>
    <cellStyle name="常规 2 3 2 3 2 4 3 2 2" xfId="35408"/>
    <cellStyle name="常规 2 3 2 3 2 4 3 3" xfId="25984"/>
    <cellStyle name="常规 2 3 2 3 2 4 4" xfId="10288"/>
    <cellStyle name="常规 2 3 2 3 2 4 4 2" xfId="29136"/>
    <cellStyle name="常规 2 3 2 3 2 4 5" xfId="19712"/>
    <cellStyle name="常规 2 3 2 3 2 5" xfId="1652"/>
    <cellStyle name="常规 2 3 2 3 2 5 2" xfId="4788"/>
    <cellStyle name="常规 2 3 2 3 2 5 2 2" xfId="14208"/>
    <cellStyle name="常规 2 3 2 3 2 5 2 2 2" xfId="33056"/>
    <cellStyle name="常规 2 3 2 3 2 5 2 3" xfId="23632"/>
    <cellStyle name="常规 2 3 2 3 2 5 3" xfId="7924"/>
    <cellStyle name="常规 2 3 2 3 2 5 3 2" xfId="17344"/>
    <cellStyle name="常规 2 3 2 3 2 5 3 2 2" xfId="36192"/>
    <cellStyle name="常规 2 3 2 3 2 5 3 3" xfId="26768"/>
    <cellStyle name="常规 2 3 2 3 2 5 4" xfId="11072"/>
    <cellStyle name="常规 2 3 2 3 2 5 4 2" xfId="29920"/>
    <cellStyle name="常规 2 3 2 3 2 5 5" xfId="20496"/>
    <cellStyle name="常规 2 3 2 3 2 6" xfId="2436"/>
    <cellStyle name="常规 2 3 2 3 2 6 2" xfId="5572"/>
    <cellStyle name="常规 2 3 2 3 2 6 2 2" xfId="14992"/>
    <cellStyle name="常规 2 3 2 3 2 6 2 2 2" xfId="33840"/>
    <cellStyle name="常规 2 3 2 3 2 6 2 3" xfId="24416"/>
    <cellStyle name="常规 2 3 2 3 2 6 3" xfId="8708"/>
    <cellStyle name="常规 2 3 2 3 2 6 3 2" xfId="18128"/>
    <cellStyle name="常规 2 3 2 3 2 6 3 2 2" xfId="36976"/>
    <cellStyle name="常规 2 3 2 3 2 6 3 3" xfId="27552"/>
    <cellStyle name="常规 2 3 2 3 2 6 4" xfId="11856"/>
    <cellStyle name="常规 2 3 2 3 2 6 4 2" xfId="30704"/>
    <cellStyle name="常规 2 3 2 3 2 6 5" xfId="21280"/>
    <cellStyle name="常规 2 3 2 3 2 7" xfId="3271"/>
    <cellStyle name="常规 2 3 2 3 2 7 2" xfId="12691"/>
    <cellStyle name="常规 2 3 2 3 2 7 2 2" xfId="31539"/>
    <cellStyle name="常规 2 3 2 3 2 7 3" xfId="22115"/>
    <cellStyle name="常规 2 3 2 3 2 8" xfId="6356"/>
    <cellStyle name="常规 2 3 2 3 2 8 2" xfId="15776"/>
    <cellStyle name="常规 2 3 2 3 2 8 2 2" xfId="34624"/>
    <cellStyle name="常规 2 3 2 3 2 8 3" xfId="25200"/>
    <cellStyle name="常规 2 3 2 3 2 9" xfId="9503"/>
    <cellStyle name="常规 2 3 2 3 2 9 2" xfId="28348"/>
    <cellStyle name="常规 2 3 2 3 3" xfId="82"/>
    <cellStyle name="常规 2 3 2 3 3 2" xfId="481"/>
    <cellStyle name="常规 2 3 2 3 3 2 2" xfId="1265"/>
    <cellStyle name="常规 2 3 2 3 3 2 2 2" xfId="4401"/>
    <cellStyle name="常规 2 3 2 3 3 2 2 2 2" xfId="13821"/>
    <cellStyle name="常规 2 3 2 3 3 2 2 2 2 2" xfId="32669"/>
    <cellStyle name="常规 2 3 2 3 3 2 2 2 3" xfId="23245"/>
    <cellStyle name="常规 2 3 2 3 3 2 2 3" xfId="7537"/>
    <cellStyle name="常规 2 3 2 3 3 2 2 3 2" xfId="16957"/>
    <cellStyle name="常规 2 3 2 3 3 2 2 3 2 2" xfId="35805"/>
    <cellStyle name="常规 2 3 2 3 3 2 2 3 3" xfId="26381"/>
    <cellStyle name="常规 2 3 2 3 3 2 2 4" xfId="10685"/>
    <cellStyle name="常规 2 3 2 3 3 2 2 4 2" xfId="29533"/>
    <cellStyle name="常规 2 3 2 3 3 2 2 5" xfId="20109"/>
    <cellStyle name="常规 2 3 2 3 3 2 3" xfId="2049"/>
    <cellStyle name="常规 2 3 2 3 3 2 3 2" xfId="5185"/>
    <cellStyle name="常规 2 3 2 3 3 2 3 2 2" xfId="14605"/>
    <cellStyle name="常规 2 3 2 3 3 2 3 2 2 2" xfId="33453"/>
    <cellStyle name="常规 2 3 2 3 3 2 3 2 3" xfId="24029"/>
    <cellStyle name="常规 2 3 2 3 3 2 3 3" xfId="8321"/>
    <cellStyle name="常规 2 3 2 3 3 2 3 3 2" xfId="17741"/>
    <cellStyle name="常规 2 3 2 3 3 2 3 3 2 2" xfId="36589"/>
    <cellStyle name="常规 2 3 2 3 3 2 3 3 3" xfId="27165"/>
    <cellStyle name="常规 2 3 2 3 3 2 3 4" xfId="11469"/>
    <cellStyle name="常规 2 3 2 3 3 2 3 4 2" xfId="30317"/>
    <cellStyle name="常规 2 3 2 3 3 2 3 5" xfId="20893"/>
    <cellStyle name="常规 2 3 2 3 3 2 4" xfId="2833"/>
    <cellStyle name="常规 2 3 2 3 3 2 4 2" xfId="5969"/>
    <cellStyle name="常规 2 3 2 3 3 2 4 2 2" xfId="15389"/>
    <cellStyle name="常规 2 3 2 3 3 2 4 2 2 2" xfId="34237"/>
    <cellStyle name="常规 2 3 2 3 3 2 4 2 3" xfId="24813"/>
    <cellStyle name="常规 2 3 2 3 3 2 4 3" xfId="9105"/>
    <cellStyle name="常规 2 3 2 3 3 2 4 3 2" xfId="18525"/>
    <cellStyle name="常规 2 3 2 3 3 2 4 3 2 2" xfId="37373"/>
    <cellStyle name="常规 2 3 2 3 3 2 4 3 3" xfId="27949"/>
    <cellStyle name="常规 2 3 2 3 3 2 4 4" xfId="12253"/>
    <cellStyle name="常规 2 3 2 3 3 2 4 4 2" xfId="31101"/>
    <cellStyle name="常规 2 3 2 3 3 2 4 5" xfId="21677"/>
    <cellStyle name="常规 2 3 2 3 3 2 5" xfId="3617"/>
    <cellStyle name="常规 2 3 2 3 3 2 5 2" xfId="13037"/>
    <cellStyle name="常规 2 3 2 3 3 2 5 2 2" xfId="31885"/>
    <cellStyle name="常规 2 3 2 3 3 2 5 3" xfId="22461"/>
    <cellStyle name="常规 2 3 2 3 3 2 6" xfId="6753"/>
    <cellStyle name="常规 2 3 2 3 3 2 6 2" xfId="16173"/>
    <cellStyle name="常规 2 3 2 3 3 2 6 2 2" xfId="35021"/>
    <cellStyle name="常规 2 3 2 3 3 2 6 3" xfId="25597"/>
    <cellStyle name="常规 2 3 2 3 3 2 7" xfId="9901"/>
    <cellStyle name="常规 2 3 2 3 3 2 7 2" xfId="28749"/>
    <cellStyle name="常规 2 3 2 3 3 2 8" xfId="19325"/>
    <cellStyle name="常规 2 3 2 3 3 3" xfId="870"/>
    <cellStyle name="常规 2 3 2 3 3 3 2" xfId="4006"/>
    <cellStyle name="常规 2 3 2 3 3 3 2 2" xfId="13426"/>
    <cellStyle name="常规 2 3 2 3 3 3 2 2 2" xfId="32274"/>
    <cellStyle name="常规 2 3 2 3 3 3 2 3" xfId="22850"/>
    <cellStyle name="常规 2 3 2 3 3 3 3" xfId="7142"/>
    <cellStyle name="常规 2 3 2 3 3 3 3 2" xfId="16562"/>
    <cellStyle name="常规 2 3 2 3 3 3 3 2 2" xfId="35410"/>
    <cellStyle name="常规 2 3 2 3 3 3 3 3" xfId="25986"/>
    <cellStyle name="常规 2 3 2 3 3 3 4" xfId="10290"/>
    <cellStyle name="常规 2 3 2 3 3 3 4 2" xfId="29138"/>
    <cellStyle name="常规 2 3 2 3 3 3 5" xfId="19714"/>
    <cellStyle name="常规 2 3 2 3 3 4" xfId="1654"/>
    <cellStyle name="常规 2 3 2 3 3 4 2" xfId="4790"/>
    <cellStyle name="常规 2 3 2 3 3 4 2 2" xfId="14210"/>
    <cellStyle name="常规 2 3 2 3 3 4 2 2 2" xfId="33058"/>
    <cellStyle name="常规 2 3 2 3 3 4 2 3" xfId="23634"/>
    <cellStyle name="常规 2 3 2 3 3 4 3" xfId="7926"/>
    <cellStyle name="常规 2 3 2 3 3 4 3 2" xfId="17346"/>
    <cellStyle name="常规 2 3 2 3 3 4 3 2 2" xfId="36194"/>
    <cellStyle name="常规 2 3 2 3 3 4 3 3" xfId="26770"/>
    <cellStyle name="常规 2 3 2 3 3 4 4" xfId="11074"/>
    <cellStyle name="常规 2 3 2 3 3 4 4 2" xfId="29922"/>
    <cellStyle name="常规 2 3 2 3 3 4 5" xfId="20498"/>
    <cellStyle name="常规 2 3 2 3 3 5" xfId="2438"/>
    <cellStyle name="常规 2 3 2 3 3 5 2" xfId="5574"/>
    <cellStyle name="常规 2 3 2 3 3 5 2 2" xfId="14994"/>
    <cellStyle name="常规 2 3 2 3 3 5 2 2 2" xfId="33842"/>
    <cellStyle name="常规 2 3 2 3 3 5 2 3" xfId="24418"/>
    <cellStyle name="常规 2 3 2 3 3 5 3" xfId="8710"/>
    <cellStyle name="常规 2 3 2 3 3 5 3 2" xfId="18130"/>
    <cellStyle name="常规 2 3 2 3 3 5 3 2 2" xfId="36978"/>
    <cellStyle name="常规 2 3 2 3 3 5 3 3" xfId="27554"/>
    <cellStyle name="常规 2 3 2 3 3 5 4" xfId="11858"/>
    <cellStyle name="常规 2 3 2 3 3 5 4 2" xfId="30706"/>
    <cellStyle name="常规 2 3 2 3 3 5 5" xfId="21282"/>
    <cellStyle name="常规 2 3 2 3 3 6" xfId="3255"/>
    <cellStyle name="常规 2 3 2 3 3 6 2" xfId="12675"/>
    <cellStyle name="常规 2 3 2 3 3 6 2 2" xfId="31523"/>
    <cellStyle name="常规 2 3 2 3 3 6 3" xfId="22099"/>
    <cellStyle name="常规 2 3 2 3 3 7" xfId="6358"/>
    <cellStyle name="常规 2 3 2 3 3 7 2" xfId="15778"/>
    <cellStyle name="常规 2 3 2 3 3 7 2 2" xfId="34626"/>
    <cellStyle name="常规 2 3 2 3 3 7 3" xfId="25202"/>
    <cellStyle name="常规 2 3 2 3 3 8" xfId="9505"/>
    <cellStyle name="常规 2 3 2 3 3 8 2" xfId="28350"/>
    <cellStyle name="常规 2 3 2 3 3 9" xfId="18928"/>
    <cellStyle name="常规 2 3 2 3 4" xfId="478"/>
    <cellStyle name="常规 2 3 2 3 4 2" xfId="1262"/>
    <cellStyle name="常规 2 3 2 3 4 2 2" xfId="4398"/>
    <cellStyle name="常规 2 3 2 3 4 2 2 2" xfId="13818"/>
    <cellStyle name="常规 2 3 2 3 4 2 2 2 2" xfId="32666"/>
    <cellStyle name="常规 2 3 2 3 4 2 2 3" xfId="23242"/>
    <cellStyle name="常规 2 3 2 3 4 2 3" xfId="7534"/>
    <cellStyle name="常规 2 3 2 3 4 2 3 2" xfId="16954"/>
    <cellStyle name="常规 2 3 2 3 4 2 3 2 2" xfId="35802"/>
    <cellStyle name="常规 2 3 2 3 4 2 3 3" xfId="26378"/>
    <cellStyle name="常规 2 3 2 3 4 2 4" xfId="10682"/>
    <cellStyle name="常规 2 3 2 3 4 2 4 2" xfId="29530"/>
    <cellStyle name="常规 2 3 2 3 4 2 5" xfId="20106"/>
    <cellStyle name="常规 2 3 2 3 4 3" xfId="2046"/>
    <cellStyle name="常规 2 3 2 3 4 3 2" xfId="5182"/>
    <cellStyle name="常规 2 3 2 3 4 3 2 2" xfId="14602"/>
    <cellStyle name="常规 2 3 2 3 4 3 2 2 2" xfId="33450"/>
    <cellStyle name="常规 2 3 2 3 4 3 2 3" xfId="24026"/>
    <cellStyle name="常规 2 3 2 3 4 3 3" xfId="8318"/>
    <cellStyle name="常规 2 3 2 3 4 3 3 2" xfId="17738"/>
    <cellStyle name="常规 2 3 2 3 4 3 3 2 2" xfId="36586"/>
    <cellStyle name="常规 2 3 2 3 4 3 3 3" xfId="27162"/>
    <cellStyle name="常规 2 3 2 3 4 3 4" xfId="11466"/>
    <cellStyle name="常规 2 3 2 3 4 3 4 2" xfId="30314"/>
    <cellStyle name="常规 2 3 2 3 4 3 5" xfId="20890"/>
    <cellStyle name="常规 2 3 2 3 4 4" xfId="2830"/>
    <cellStyle name="常规 2 3 2 3 4 4 2" xfId="5966"/>
    <cellStyle name="常规 2 3 2 3 4 4 2 2" xfId="15386"/>
    <cellStyle name="常规 2 3 2 3 4 4 2 2 2" xfId="34234"/>
    <cellStyle name="常规 2 3 2 3 4 4 2 3" xfId="24810"/>
    <cellStyle name="常规 2 3 2 3 4 4 3" xfId="9102"/>
    <cellStyle name="常规 2 3 2 3 4 4 3 2" xfId="18522"/>
    <cellStyle name="常规 2 3 2 3 4 4 3 2 2" xfId="37370"/>
    <cellStyle name="常规 2 3 2 3 4 4 3 3" xfId="27946"/>
    <cellStyle name="常规 2 3 2 3 4 4 4" xfId="12250"/>
    <cellStyle name="常规 2 3 2 3 4 4 4 2" xfId="31098"/>
    <cellStyle name="常规 2 3 2 3 4 4 5" xfId="21674"/>
    <cellStyle name="常规 2 3 2 3 4 5" xfId="3614"/>
    <cellStyle name="常规 2 3 2 3 4 5 2" xfId="13034"/>
    <cellStyle name="常规 2 3 2 3 4 5 2 2" xfId="31882"/>
    <cellStyle name="常规 2 3 2 3 4 5 3" xfId="22458"/>
    <cellStyle name="常规 2 3 2 3 4 6" xfId="6750"/>
    <cellStyle name="常规 2 3 2 3 4 6 2" xfId="16170"/>
    <cellStyle name="常规 2 3 2 3 4 6 2 2" xfId="35018"/>
    <cellStyle name="常规 2 3 2 3 4 6 3" xfId="25594"/>
    <cellStyle name="常规 2 3 2 3 4 7" xfId="9898"/>
    <cellStyle name="常规 2 3 2 3 4 7 2" xfId="28746"/>
    <cellStyle name="常规 2 3 2 3 4 8" xfId="19322"/>
    <cellStyle name="常规 2 3 2 3 5" xfId="867"/>
    <cellStyle name="常规 2 3 2 3 5 2" xfId="4003"/>
    <cellStyle name="常规 2 3 2 3 5 2 2" xfId="13423"/>
    <cellStyle name="常规 2 3 2 3 5 2 2 2" xfId="32271"/>
    <cellStyle name="常规 2 3 2 3 5 2 3" xfId="22847"/>
    <cellStyle name="常规 2 3 2 3 5 3" xfId="7139"/>
    <cellStyle name="常规 2 3 2 3 5 3 2" xfId="16559"/>
    <cellStyle name="常规 2 3 2 3 5 3 2 2" xfId="35407"/>
    <cellStyle name="常规 2 3 2 3 5 3 3" xfId="25983"/>
    <cellStyle name="常规 2 3 2 3 5 4" xfId="10287"/>
    <cellStyle name="常规 2 3 2 3 5 4 2" xfId="29135"/>
    <cellStyle name="常规 2 3 2 3 5 5" xfId="19711"/>
    <cellStyle name="常规 2 3 2 3 6" xfId="1651"/>
    <cellStyle name="常规 2 3 2 3 6 2" xfId="4787"/>
    <cellStyle name="常规 2 3 2 3 6 2 2" xfId="14207"/>
    <cellStyle name="常规 2 3 2 3 6 2 2 2" xfId="33055"/>
    <cellStyle name="常规 2 3 2 3 6 2 3" xfId="23631"/>
    <cellStyle name="常规 2 3 2 3 6 3" xfId="7923"/>
    <cellStyle name="常规 2 3 2 3 6 3 2" xfId="17343"/>
    <cellStyle name="常规 2 3 2 3 6 3 2 2" xfId="36191"/>
    <cellStyle name="常规 2 3 2 3 6 3 3" xfId="26767"/>
    <cellStyle name="常规 2 3 2 3 6 4" xfId="11071"/>
    <cellStyle name="常规 2 3 2 3 6 4 2" xfId="29919"/>
    <cellStyle name="常规 2 3 2 3 6 5" xfId="20495"/>
    <cellStyle name="常规 2 3 2 3 7" xfId="2435"/>
    <cellStyle name="常规 2 3 2 3 7 2" xfId="5571"/>
    <cellStyle name="常规 2 3 2 3 7 2 2" xfId="14991"/>
    <cellStyle name="常规 2 3 2 3 7 2 2 2" xfId="33839"/>
    <cellStyle name="常规 2 3 2 3 7 2 3" xfId="24415"/>
    <cellStyle name="常规 2 3 2 3 7 3" xfId="8707"/>
    <cellStyle name="常规 2 3 2 3 7 3 2" xfId="18127"/>
    <cellStyle name="常规 2 3 2 3 7 3 2 2" xfId="36975"/>
    <cellStyle name="常规 2 3 2 3 7 3 3" xfId="27551"/>
    <cellStyle name="常规 2 3 2 3 7 4" xfId="11855"/>
    <cellStyle name="常规 2 3 2 3 7 4 2" xfId="30703"/>
    <cellStyle name="常规 2 3 2 3 7 5" xfId="21279"/>
    <cellStyle name="常规 2 3 2 3 8" xfId="3202"/>
    <cellStyle name="常规 2 3 2 3 8 2" xfId="12622"/>
    <cellStyle name="常规 2 3 2 3 8 2 2" xfId="31470"/>
    <cellStyle name="常规 2 3 2 3 8 3" xfId="22046"/>
    <cellStyle name="常规 2 3 2 3 9" xfId="6355"/>
    <cellStyle name="常规 2 3 2 3 9 2" xfId="15775"/>
    <cellStyle name="常规 2 3 2 3 9 2 2" xfId="34623"/>
    <cellStyle name="常规 2 3 2 3 9 3" xfId="25199"/>
    <cellStyle name="常规 2 3 2 4" xfId="83"/>
    <cellStyle name="常规 2 3 2 4 10" xfId="18929"/>
    <cellStyle name="常规 2 3 2 4 2" xfId="84"/>
    <cellStyle name="常规 2 3 2 4 2 2" xfId="483"/>
    <cellStyle name="常规 2 3 2 4 2 2 2" xfId="1267"/>
    <cellStyle name="常规 2 3 2 4 2 2 2 2" xfId="4403"/>
    <cellStyle name="常规 2 3 2 4 2 2 2 2 2" xfId="13823"/>
    <cellStyle name="常规 2 3 2 4 2 2 2 2 2 2" xfId="32671"/>
    <cellStyle name="常规 2 3 2 4 2 2 2 2 3" xfId="23247"/>
    <cellStyle name="常规 2 3 2 4 2 2 2 3" xfId="7539"/>
    <cellStyle name="常规 2 3 2 4 2 2 2 3 2" xfId="16959"/>
    <cellStyle name="常规 2 3 2 4 2 2 2 3 2 2" xfId="35807"/>
    <cellStyle name="常规 2 3 2 4 2 2 2 3 3" xfId="26383"/>
    <cellStyle name="常规 2 3 2 4 2 2 2 4" xfId="10687"/>
    <cellStyle name="常规 2 3 2 4 2 2 2 4 2" xfId="29535"/>
    <cellStyle name="常规 2 3 2 4 2 2 2 5" xfId="20111"/>
    <cellStyle name="常规 2 3 2 4 2 2 3" xfId="2051"/>
    <cellStyle name="常规 2 3 2 4 2 2 3 2" xfId="5187"/>
    <cellStyle name="常规 2 3 2 4 2 2 3 2 2" xfId="14607"/>
    <cellStyle name="常规 2 3 2 4 2 2 3 2 2 2" xfId="33455"/>
    <cellStyle name="常规 2 3 2 4 2 2 3 2 3" xfId="24031"/>
    <cellStyle name="常规 2 3 2 4 2 2 3 3" xfId="8323"/>
    <cellStyle name="常规 2 3 2 4 2 2 3 3 2" xfId="17743"/>
    <cellStyle name="常规 2 3 2 4 2 2 3 3 2 2" xfId="36591"/>
    <cellStyle name="常规 2 3 2 4 2 2 3 3 3" xfId="27167"/>
    <cellStyle name="常规 2 3 2 4 2 2 3 4" xfId="11471"/>
    <cellStyle name="常规 2 3 2 4 2 2 3 4 2" xfId="30319"/>
    <cellStyle name="常规 2 3 2 4 2 2 3 5" xfId="20895"/>
    <cellStyle name="常规 2 3 2 4 2 2 4" xfId="2835"/>
    <cellStyle name="常规 2 3 2 4 2 2 4 2" xfId="5971"/>
    <cellStyle name="常规 2 3 2 4 2 2 4 2 2" xfId="15391"/>
    <cellStyle name="常规 2 3 2 4 2 2 4 2 2 2" xfId="34239"/>
    <cellStyle name="常规 2 3 2 4 2 2 4 2 3" xfId="24815"/>
    <cellStyle name="常规 2 3 2 4 2 2 4 3" xfId="9107"/>
    <cellStyle name="常规 2 3 2 4 2 2 4 3 2" xfId="18527"/>
    <cellStyle name="常规 2 3 2 4 2 2 4 3 2 2" xfId="37375"/>
    <cellStyle name="常规 2 3 2 4 2 2 4 3 3" xfId="27951"/>
    <cellStyle name="常规 2 3 2 4 2 2 4 4" xfId="12255"/>
    <cellStyle name="常规 2 3 2 4 2 2 4 4 2" xfId="31103"/>
    <cellStyle name="常规 2 3 2 4 2 2 4 5" xfId="21679"/>
    <cellStyle name="常规 2 3 2 4 2 2 5" xfId="3619"/>
    <cellStyle name="常规 2 3 2 4 2 2 5 2" xfId="13039"/>
    <cellStyle name="常规 2 3 2 4 2 2 5 2 2" xfId="31887"/>
    <cellStyle name="常规 2 3 2 4 2 2 5 3" xfId="22463"/>
    <cellStyle name="常规 2 3 2 4 2 2 6" xfId="6755"/>
    <cellStyle name="常规 2 3 2 4 2 2 6 2" xfId="16175"/>
    <cellStyle name="常规 2 3 2 4 2 2 6 2 2" xfId="35023"/>
    <cellStyle name="常规 2 3 2 4 2 2 6 3" xfId="25599"/>
    <cellStyle name="常规 2 3 2 4 2 2 7" xfId="9903"/>
    <cellStyle name="常规 2 3 2 4 2 2 7 2" xfId="28751"/>
    <cellStyle name="常规 2 3 2 4 2 2 8" xfId="19327"/>
    <cellStyle name="常规 2 3 2 4 2 3" xfId="872"/>
    <cellStyle name="常规 2 3 2 4 2 3 2" xfId="4008"/>
    <cellStyle name="常规 2 3 2 4 2 3 2 2" xfId="13428"/>
    <cellStyle name="常规 2 3 2 4 2 3 2 2 2" xfId="32276"/>
    <cellStyle name="常规 2 3 2 4 2 3 2 3" xfId="22852"/>
    <cellStyle name="常规 2 3 2 4 2 3 3" xfId="7144"/>
    <cellStyle name="常规 2 3 2 4 2 3 3 2" xfId="16564"/>
    <cellStyle name="常规 2 3 2 4 2 3 3 2 2" xfId="35412"/>
    <cellStyle name="常规 2 3 2 4 2 3 3 3" xfId="25988"/>
    <cellStyle name="常规 2 3 2 4 2 3 4" xfId="10292"/>
    <cellStyle name="常规 2 3 2 4 2 3 4 2" xfId="29140"/>
    <cellStyle name="常规 2 3 2 4 2 3 5" xfId="19716"/>
    <cellStyle name="常规 2 3 2 4 2 4" xfId="1656"/>
    <cellStyle name="常规 2 3 2 4 2 4 2" xfId="4792"/>
    <cellStyle name="常规 2 3 2 4 2 4 2 2" xfId="14212"/>
    <cellStyle name="常规 2 3 2 4 2 4 2 2 2" xfId="33060"/>
    <cellStyle name="常规 2 3 2 4 2 4 2 3" xfId="23636"/>
    <cellStyle name="常规 2 3 2 4 2 4 3" xfId="7928"/>
    <cellStyle name="常规 2 3 2 4 2 4 3 2" xfId="17348"/>
    <cellStyle name="常规 2 3 2 4 2 4 3 2 2" xfId="36196"/>
    <cellStyle name="常规 2 3 2 4 2 4 3 3" xfId="26772"/>
    <cellStyle name="常规 2 3 2 4 2 4 4" xfId="11076"/>
    <cellStyle name="常规 2 3 2 4 2 4 4 2" xfId="29924"/>
    <cellStyle name="常规 2 3 2 4 2 4 5" xfId="20500"/>
    <cellStyle name="常规 2 3 2 4 2 5" xfId="2440"/>
    <cellStyle name="常规 2 3 2 4 2 5 2" xfId="5576"/>
    <cellStyle name="常规 2 3 2 4 2 5 2 2" xfId="14996"/>
    <cellStyle name="常规 2 3 2 4 2 5 2 2 2" xfId="33844"/>
    <cellStyle name="常规 2 3 2 4 2 5 2 3" xfId="24420"/>
    <cellStyle name="常规 2 3 2 4 2 5 3" xfId="8712"/>
    <cellStyle name="常规 2 3 2 4 2 5 3 2" xfId="18132"/>
    <cellStyle name="常规 2 3 2 4 2 5 3 2 2" xfId="36980"/>
    <cellStyle name="常规 2 3 2 4 2 5 3 3" xfId="27556"/>
    <cellStyle name="常规 2 3 2 4 2 5 4" xfId="11860"/>
    <cellStyle name="常规 2 3 2 4 2 5 4 2" xfId="30708"/>
    <cellStyle name="常规 2 3 2 4 2 5 5" xfId="21284"/>
    <cellStyle name="常规 2 3 2 4 2 6" xfId="3141"/>
    <cellStyle name="常规 2 3 2 4 2 6 2" xfId="12561"/>
    <cellStyle name="常规 2 3 2 4 2 6 2 2" xfId="31409"/>
    <cellStyle name="常规 2 3 2 4 2 6 3" xfId="21985"/>
    <cellStyle name="常规 2 3 2 4 2 7" xfId="6360"/>
    <cellStyle name="常规 2 3 2 4 2 7 2" xfId="15780"/>
    <cellStyle name="常规 2 3 2 4 2 7 2 2" xfId="34628"/>
    <cellStyle name="常规 2 3 2 4 2 7 3" xfId="25204"/>
    <cellStyle name="常规 2 3 2 4 2 8" xfId="9507"/>
    <cellStyle name="常规 2 3 2 4 2 8 2" xfId="28352"/>
    <cellStyle name="常规 2 3 2 4 2 9" xfId="18930"/>
    <cellStyle name="常规 2 3 2 4 3" xfId="482"/>
    <cellStyle name="常规 2 3 2 4 3 2" xfId="1266"/>
    <cellStyle name="常规 2 3 2 4 3 2 2" xfId="4402"/>
    <cellStyle name="常规 2 3 2 4 3 2 2 2" xfId="13822"/>
    <cellStyle name="常规 2 3 2 4 3 2 2 2 2" xfId="32670"/>
    <cellStyle name="常规 2 3 2 4 3 2 2 3" xfId="23246"/>
    <cellStyle name="常规 2 3 2 4 3 2 3" xfId="7538"/>
    <cellStyle name="常规 2 3 2 4 3 2 3 2" xfId="16958"/>
    <cellStyle name="常规 2 3 2 4 3 2 3 2 2" xfId="35806"/>
    <cellStyle name="常规 2 3 2 4 3 2 3 3" xfId="26382"/>
    <cellStyle name="常规 2 3 2 4 3 2 4" xfId="10686"/>
    <cellStyle name="常规 2 3 2 4 3 2 4 2" xfId="29534"/>
    <cellStyle name="常规 2 3 2 4 3 2 5" xfId="20110"/>
    <cellStyle name="常规 2 3 2 4 3 3" xfId="2050"/>
    <cellStyle name="常规 2 3 2 4 3 3 2" xfId="5186"/>
    <cellStyle name="常规 2 3 2 4 3 3 2 2" xfId="14606"/>
    <cellStyle name="常规 2 3 2 4 3 3 2 2 2" xfId="33454"/>
    <cellStyle name="常规 2 3 2 4 3 3 2 3" xfId="24030"/>
    <cellStyle name="常规 2 3 2 4 3 3 3" xfId="8322"/>
    <cellStyle name="常规 2 3 2 4 3 3 3 2" xfId="17742"/>
    <cellStyle name="常规 2 3 2 4 3 3 3 2 2" xfId="36590"/>
    <cellStyle name="常规 2 3 2 4 3 3 3 3" xfId="27166"/>
    <cellStyle name="常规 2 3 2 4 3 3 4" xfId="11470"/>
    <cellStyle name="常规 2 3 2 4 3 3 4 2" xfId="30318"/>
    <cellStyle name="常规 2 3 2 4 3 3 5" xfId="20894"/>
    <cellStyle name="常规 2 3 2 4 3 4" xfId="2834"/>
    <cellStyle name="常规 2 3 2 4 3 4 2" xfId="5970"/>
    <cellStyle name="常规 2 3 2 4 3 4 2 2" xfId="15390"/>
    <cellStyle name="常规 2 3 2 4 3 4 2 2 2" xfId="34238"/>
    <cellStyle name="常规 2 3 2 4 3 4 2 3" xfId="24814"/>
    <cellStyle name="常规 2 3 2 4 3 4 3" xfId="9106"/>
    <cellStyle name="常规 2 3 2 4 3 4 3 2" xfId="18526"/>
    <cellStyle name="常规 2 3 2 4 3 4 3 2 2" xfId="37374"/>
    <cellStyle name="常规 2 3 2 4 3 4 3 3" xfId="27950"/>
    <cellStyle name="常规 2 3 2 4 3 4 4" xfId="12254"/>
    <cellStyle name="常规 2 3 2 4 3 4 4 2" xfId="31102"/>
    <cellStyle name="常规 2 3 2 4 3 4 5" xfId="21678"/>
    <cellStyle name="常规 2 3 2 4 3 5" xfId="3618"/>
    <cellStyle name="常规 2 3 2 4 3 5 2" xfId="13038"/>
    <cellStyle name="常规 2 3 2 4 3 5 2 2" xfId="31886"/>
    <cellStyle name="常规 2 3 2 4 3 5 3" xfId="22462"/>
    <cellStyle name="常规 2 3 2 4 3 6" xfId="6754"/>
    <cellStyle name="常规 2 3 2 4 3 6 2" xfId="16174"/>
    <cellStyle name="常规 2 3 2 4 3 6 2 2" xfId="35022"/>
    <cellStyle name="常规 2 3 2 4 3 6 3" xfId="25598"/>
    <cellStyle name="常规 2 3 2 4 3 7" xfId="9902"/>
    <cellStyle name="常规 2 3 2 4 3 7 2" xfId="28750"/>
    <cellStyle name="常规 2 3 2 4 3 8" xfId="19326"/>
    <cellStyle name="常规 2 3 2 4 4" xfId="871"/>
    <cellStyle name="常规 2 3 2 4 4 2" xfId="4007"/>
    <cellStyle name="常规 2 3 2 4 4 2 2" xfId="13427"/>
    <cellStyle name="常规 2 3 2 4 4 2 2 2" xfId="32275"/>
    <cellStyle name="常规 2 3 2 4 4 2 3" xfId="22851"/>
    <cellStyle name="常规 2 3 2 4 4 3" xfId="7143"/>
    <cellStyle name="常规 2 3 2 4 4 3 2" xfId="16563"/>
    <cellStyle name="常规 2 3 2 4 4 3 2 2" xfId="35411"/>
    <cellStyle name="常规 2 3 2 4 4 3 3" xfId="25987"/>
    <cellStyle name="常规 2 3 2 4 4 4" xfId="10291"/>
    <cellStyle name="常规 2 3 2 4 4 4 2" xfId="29139"/>
    <cellStyle name="常规 2 3 2 4 4 5" xfId="19715"/>
    <cellStyle name="常规 2 3 2 4 5" xfId="1655"/>
    <cellStyle name="常规 2 3 2 4 5 2" xfId="4791"/>
    <cellStyle name="常规 2 3 2 4 5 2 2" xfId="14211"/>
    <cellStyle name="常规 2 3 2 4 5 2 2 2" xfId="33059"/>
    <cellStyle name="常规 2 3 2 4 5 2 3" xfId="23635"/>
    <cellStyle name="常规 2 3 2 4 5 3" xfId="7927"/>
    <cellStyle name="常规 2 3 2 4 5 3 2" xfId="17347"/>
    <cellStyle name="常规 2 3 2 4 5 3 2 2" xfId="36195"/>
    <cellStyle name="常规 2 3 2 4 5 3 3" xfId="26771"/>
    <cellStyle name="常规 2 3 2 4 5 4" xfId="11075"/>
    <cellStyle name="常规 2 3 2 4 5 4 2" xfId="29923"/>
    <cellStyle name="常规 2 3 2 4 5 5" xfId="20499"/>
    <cellStyle name="常规 2 3 2 4 6" xfId="2439"/>
    <cellStyle name="常规 2 3 2 4 6 2" xfId="5575"/>
    <cellStyle name="常规 2 3 2 4 6 2 2" xfId="14995"/>
    <cellStyle name="常规 2 3 2 4 6 2 2 2" xfId="33843"/>
    <cellStyle name="常规 2 3 2 4 6 2 3" xfId="24419"/>
    <cellStyle name="常规 2 3 2 4 6 3" xfId="8711"/>
    <cellStyle name="常规 2 3 2 4 6 3 2" xfId="18131"/>
    <cellStyle name="常规 2 3 2 4 6 3 2 2" xfId="36979"/>
    <cellStyle name="常规 2 3 2 4 6 3 3" xfId="27555"/>
    <cellStyle name="常规 2 3 2 4 6 4" xfId="11859"/>
    <cellStyle name="常规 2 3 2 4 6 4 2" xfId="30707"/>
    <cellStyle name="常规 2 3 2 4 6 5" xfId="21283"/>
    <cellStyle name="常规 2 3 2 4 7" xfId="3254"/>
    <cellStyle name="常规 2 3 2 4 7 2" xfId="12674"/>
    <cellStyle name="常规 2 3 2 4 7 2 2" xfId="31522"/>
    <cellStyle name="常规 2 3 2 4 7 3" xfId="22098"/>
    <cellStyle name="常规 2 3 2 4 8" xfId="6359"/>
    <cellStyle name="常规 2 3 2 4 8 2" xfId="15779"/>
    <cellStyle name="常规 2 3 2 4 8 2 2" xfId="34627"/>
    <cellStyle name="常规 2 3 2 4 8 3" xfId="25203"/>
    <cellStyle name="常规 2 3 2 4 9" xfId="9506"/>
    <cellStyle name="常规 2 3 2 4 9 2" xfId="28351"/>
    <cellStyle name="常规 2 3 2 5" xfId="85"/>
    <cellStyle name="常规 2 3 2 5 2" xfId="484"/>
    <cellStyle name="常规 2 3 2 5 2 2" xfId="1268"/>
    <cellStyle name="常规 2 3 2 5 2 2 2" xfId="4404"/>
    <cellStyle name="常规 2 3 2 5 2 2 2 2" xfId="13824"/>
    <cellStyle name="常规 2 3 2 5 2 2 2 2 2" xfId="32672"/>
    <cellStyle name="常规 2 3 2 5 2 2 2 3" xfId="23248"/>
    <cellStyle name="常规 2 3 2 5 2 2 3" xfId="7540"/>
    <cellStyle name="常规 2 3 2 5 2 2 3 2" xfId="16960"/>
    <cellStyle name="常规 2 3 2 5 2 2 3 2 2" xfId="35808"/>
    <cellStyle name="常规 2 3 2 5 2 2 3 3" xfId="26384"/>
    <cellStyle name="常规 2 3 2 5 2 2 4" xfId="10688"/>
    <cellStyle name="常规 2 3 2 5 2 2 4 2" xfId="29536"/>
    <cellStyle name="常规 2 3 2 5 2 2 5" xfId="20112"/>
    <cellStyle name="常规 2 3 2 5 2 3" xfId="2052"/>
    <cellStyle name="常规 2 3 2 5 2 3 2" xfId="5188"/>
    <cellStyle name="常规 2 3 2 5 2 3 2 2" xfId="14608"/>
    <cellStyle name="常规 2 3 2 5 2 3 2 2 2" xfId="33456"/>
    <cellStyle name="常规 2 3 2 5 2 3 2 3" xfId="24032"/>
    <cellStyle name="常规 2 3 2 5 2 3 3" xfId="8324"/>
    <cellStyle name="常规 2 3 2 5 2 3 3 2" xfId="17744"/>
    <cellStyle name="常规 2 3 2 5 2 3 3 2 2" xfId="36592"/>
    <cellStyle name="常规 2 3 2 5 2 3 3 3" xfId="27168"/>
    <cellStyle name="常规 2 3 2 5 2 3 4" xfId="11472"/>
    <cellStyle name="常规 2 3 2 5 2 3 4 2" xfId="30320"/>
    <cellStyle name="常规 2 3 2 5 2 3 5" xfId="20896"/>
    <cellStyle name="常规 2 3 2 5 2 4" xfId="2836"/>
    <cellStyle name="常规 2 3 2 5 2 4 2" xfId="5972"/>
    <cellStyle name="常规 2 3 2 5 2 4 2 2" xfId="15392"/>
    <cellStyle name="常规 2 3 2 5 2 4 2 2 2" xfId="34240"/>
    <cellStyle name="常规 2 3 2 5 2 4 2 3" xfId="24816"/>
    <cellStyle name="常规 2 3 2 5 2 4 3" xfId="9108"/>
    <cellStyle name="常规 2 3 2 5 2 4 3 2" xfId="18528"/>
    <cellStyle name="常规 2 3 2 5 2 4 3 2 2" xfId="37376"/>
    <cellStyle name="常规 2 3 2 5 2 4 3 3" xfId="27952"/>
    <cellStyle name="常规 2 3 2 5 2 4 4" xfId="12256"/>
    <cellStyle name="常规 2 3 2 5 2 4 4 2" xfId="31104"/>
    <cellStyle name="常规 2 3 2 5 2 4 5" xfId="21680"/>
    <cellStyle name="常规 2 3 2 5 2 5" xfId="3620"/>
    <cellStyle name="常规 2 3 2 5 2 5 2" xfId="13040"/>
    <cellStyle name="常规 2 3 2 5 2 5 2 2" xfId="31888"/>
    <cellStyle name="常规 2 3 2 5 2 5 3" xfId="22464"/>
    <cellStyle name="常规 2 3 2 5 2 6" xfId="6756"/>
    <cellStyle name="常规 2 3 2 5 2 6 2" xfId="16176"/>
    <cellStyle name="常规 2 3 2 5 2 6 2 2" xfId="35024"/>
    <cellStyle name="常规 2 3 2 5 2 6 3" xfId="25600"/>
    <cellStyle name="常规 2 3 2 5 2 7" xfId="9904"/>
    <cellStyle name="常规 2 3 2 5 2 7 2" xfId="28752"/>
    <cellStyle name="常规 2 3 2 5 2 8" xfId="19328"/>
    <cellStyle name="常规 2 3 2 5 3" xfId="873"/>
    <cellStyle name="常规 2 3 2 5 3 2" xfId="4009"/>
    <cellStyle name="常规 2 3 2 5 3 2 2" xfId="13429"/>
    <cellStyle name="常规 2 3 2 5 3 2 2 2" xfId="32277"/>
    <cellStyle name="常规 2 3 2 5 3 2 3" xfId="22853"/>
    <cellStyle name="常规 2 3 2 5 3 3" xfId="7145"/>
    <cellStyle name="常规 2 3 2 5 3 3 2" xfId="16565"/>
    <cellStyle name="常规 2 3 2 5 3 3 2 2" xfId="35413"/>
    <cellStyle name="常规 2 3 2 5 3 3 3" xfId="25989"/>
    <cellStyle name="常规 2 3 2 5 3 4" xfId="10293"/>
    <cellStyle name="常规 2 3 2 5 3 4 2" xfId="29141"/>
    <cellStyle name="常规 2 3 2 5 3 5" xfId="19717"/>
    <cellStyle name="常规 2 3 2 5 4" xfId="1657"/>
    <cellStyle name="常规 2 3 2 5 4 2" xfId="4793"/>
    <cellStyle name="常规 2 3 2 5 4 2 2" xfId="14213"/>
    <cellStyle name="常规 2 3 2 5 4 2 2 2" xfId="33061"/>
    <cellStyle name="常规 2 3 2 5 4 2 3" xfId="23637"/>
    <cellStyle name="常规 2 3 2 5 4 3" xfId="7929"/>
    <cellStyle name="常规 2 3 2 5 4 3 2" xfId="17349"/>
    <cellStyle name="常规 2 3 2 5 4 3 2 2" xfId="36197"/>
    <cellStyle name="常规 2 3 2 5 4 3 3" xfId="26773"/>
    <cellStyle name="常规 2 3 2 5 4 4" xfId="11077"/>
    <cellStyle name="常规 2 3 2 5 4 4 2" xfId="29925"/>
    <cellStyle name="常规 2 3 2 5 4 5" xfId="20501"/>
    <cellStyle name="常规 2 3 2 5 5" xfId="2441"/>
    <cellStyle name="常规 2 3 2 5 5 2" xfId="5577"/>
    <cellStyle name="常规 2 3 2 5 5 2 2" xfId="14997"/>
    <cellStyle name="常规 2 3 2 5 5 2 2 2" xfId="33845"/>
    <cellStyle name="常规 2 3 2 5 5 2 3" xfId="24421"/>
    <cellStyle name="常规 2 3 2 5 5 3" xfId="8713"/>
    <cellStyle name="常规 2 3 2 5 5 3 2" xfId="18133"/>
    <cellStyle name="常规 2 3 2 5 5 3 2 2" xfId="36981"/>
    <cellStyle name="常规 2 3 2 5 5 3 3" xfId="27557"/>
    <cellStyle name="常规 2 3 2 5 5 4" xfId="11861"/>
    <cellStyle name="常规 2 3 2 5 5 4 2" xfId="30709"/>
    <cellStyle name="常规 2 3 2 5 5 5" xfId="21285"/>
    <cellStyle name="常规 2 3 2 5 6" xfId="3284"/>
    <cellStyle name="常规 2 3 2 5 6 2" xfId="12704"/>
    <cellStyle name="常规 2 3 2 5 6 2 2" xfId="31552"/>
    <cellStyle name="常规 2 3 2 5 6 3" xfId="22128"/>
    <cellStyle name="常规 2 3 2 5 7" xfId="6361"/>
    <cellStyle name="常规 2 3 2 5 7 2" xfId="15781"/>
    <cellStyle name="常规 2 3 2 5 7 2 2" xfId="34629"/>
    <cellStyle name="常规 2 3 2 5 7 3" xfId="25205"/>
    <cellStyle name="常规 2 3 2 5 8" xfId="9508"/>
    <cellStyle name="常规 2 3 2 5 8 2" xfId="28353"/>
    <cellStyle name="常规 2 3 2 5 9" xfId="18931"/>
    <cellStyle name="常规 2 3 2 6" xfId="469"/>
    <cellStyle name="常规 2 3 2 6 2" xfId="1253"/>
    <cellStyle name="常规 2 3 2 6 2 2" xfId="4389"/>
    <cellStyle name="常规 2 3 2 6 2 2 2" xfId="13809"/>
    <cellStyle name="常规 2 3 2 6 2 2 2 2" xfId="32657"/>
    <cellStyle name="常规 2 3 2 6 2 2 3" xfId="23233"/>
    <cellStyle name="常规 2 3 2 6 2 3" xfId="7525"/>
    <cellStyle name="常规 2 3 2 6 2 3 2" xfId="16945"/>
    <cellStyle name="常规 2 3 2 6 2 3 2 2" xfId="35793"/>
    <cellStyle name="常规 2 3 2 6 2 3 3" xfId="26369"/>
    <cellStyle name="常规 2 3 2 6 2 4" xfId="10673"/>
    <cellStyle name="常规 2 3 2 6 2 4 2" xfId="29521"/>
    <cellStyle name="常规 2 3 2 6 2 5" xfId="20097"/>
    <cellStyle name="常规 2 3 2 6 3" xfId="2037"/>
    <cellStyle name="常规 2 3 2 6 3 2" xfId="5173"/>
    <cellStyle name="常规 2 3 2 6 3 2 2" xfId="14593"/>
    <cellStyle name="常规 2 3 2 6 3 2 2 2" xfId="33441"/>
    <cellStyle name="常规 2 3 2 6 3 2 3" xfId="24017"/>
    <cellStyle name="常规 2 3 2 6 3 3" xfId="8309"/>
    <cellStyle name="常规 2 3 2 6 3 3 2" xfId="17729"/>
    <cellStyle name="常规 2 3 2 6 3 3 2 2" xfId="36577"/>
    <cellStyle name="常规 2 3 2 6 3 3 3" xfId="27153"/>
    <cellStyle name="常规 2 3 2 6 3 4" xfId="11457"/>
    <cellStyle name="常规 2 3 2 6 3 4 2" xfId="30305"/>
    <cellStyle name="常规 2 3 2 6 3 5" xfId="20881"/>
    <cellStyle name="常规 2 3 2 6 4" xfId="2821"/>
    <cellStyle name="常规 2 3 2 6 4 2" xfId="5957"/>
    <cellStyle name="常规 2 3 2 6 4 2 2" xfId="15377"/>
    <cellStyle name="常规 2 3 2 6 4 2 2 2" xfId="34225"/>
    <cellStyle name="常规 2 3 2 6 4 2 3" xfId="24801"/>
    <cellStyle name="常规 2 3 2 6 4 3" xfId="9093"/>
    <cellStyle name="常规 2 3 2 6 4 3 2" xfId="18513"/>
    <cellStyle name="常规 2 3 2 6 4 3 2 2" xfId="37361"/>
    <cellStyle name="常规 2 3 2 6 4 3 3" xfId="27937"/>
    <cellStyle name="常规 2 3 2 6 4 4" xfId="12241"/>
    <cellStyle name="常规 2 3 2 6 4 4 2" xfId="31089"/>
    <cellStyle name="常规 2 3 2 6 4 5" xfId="21665"/>
    <cellStyle name="常规 2 3 2 6 5" xfId="3605"/>
    <cellStyle name="常规 2 3 2 6 5 2" xfId="13025"/>
    <cellStyle name="常规 2 3 2 6 5 2 2" xfId="31873"/>
    <cellStyle name="常规 2 3 2 6 5 3" xfId="22449"/>
    <cellStyle name="常规 2 3 2 6 6" xfId="6741"/>
    <cellStyle name="常规 2 3 2 6 6 2" xfId="16161"/>
    <cellStyle name="常规 2 3 2 6 6 2 2" xfId="35009"/>
    <cellStyle name="常规 2 3 2 6 6 3" xfId="25585"/>
    <cellStyle name="常规 2 3 2 6 7" xfId="9889"/>
    <cellStyle name="常规 2 3 2 6 7 2" xfId="28737"/>
    <cellStyle name="常规 2 3 2 6 8" xfId="19313"/>
    <cellStyle name="常规 2 3 2 7" xfId="858"/>
    <cellStyle name="常规 2 3 2 7 2" xfId="3994"/>
    <cellStyle name="常规 2 3 2 7 2 2" xfId="13414"/>
    <cellStyle name="常规 2 3 2 7 2 2 2" xfId="32262"/>
    <cellStyle name="常规 2 3 2 7 2 3" xfId="22838"/>
    <cellStyle name="常规 2 3 2 7 3" xfId="7130"/>
    <cellStyle name="常规 2 3 2 7 3 2" xfId="16550"/>
    <cellStyle name="常规 2 3 2 7 3 2 2" xfId="35398"/>
    <cellStyle name="常规 2 3 2 7 3 3" xfId="25974"/>
    <cellStyle name="常规 2 3 2 7 4" xfId="10278"/>
    <cellStyle name="常规 2 3 2 7 4 2" xfId="29126"/>
    <cellStyle name="常规 2 3 2 7 5" xfId="19702"/>
    <cellStyle name="常规 2 3 2 8" xfId="1642"/>
    <cellStyle name="常规 2 3 2 8 2" xfId="4778"/>
    <cellStyle name="常规 2 3 2 8 2 2" xfId="14198"/>
    <cellStyle name="常规 2 3 2 8 2 2 2" xfId="33046"/>
    <cellStyle name="常规 2 3 2 8 2 3" xfId="23622"/>
    <cellStyle name="常规 2 3 2 8 3" xfId="7914"/>
    <cellStyle name="常规 2 3 2 8 3 2" xfId="17334"/>
    <cellStyle name="常规 2 3 2 8 3 2 2" xfId="36182"/>
    <cellStyle name="常规 2 3 2 8 3 3" xfId="26758"/>
    <cellStyle name="常规 2 3 2 8 4" xfId="11062"/>
    <cellStyle name="常规 2 3 2 8 4 2" xfId="29910"/>
    <cellStyle name="常规 2 3 2 8 5" xfId="20486"/>
    <cellStyle name="常规 2 3 2 9" xfId="2426"/>
    <cellStyle name="常规 2 3 2 9 2" xfId="5562"/>
    <cellStyle name="常规 2 3 2 9 2 2" xfId="14982"/>
    <cellStyle name="常规 2 3 2 9 2 2 2" xfId="33830"/>
    <cellStyle name="常规 2 3 2 9 2 3" xfId="24406"/>
    <cellStyle name="常规 2 3 2 9 3" xfId="8698"/>
    <cellStyle name="常规 2 3 2 9 3 2" xfId="18118"/>
    <cellStyle name="常规 2 3 2 9 3 2 2" xfId="36966"/>
    <cellStyle name="常规 2 3 2 9 3 3" xfId="27542"/>
    <cellStyle name="常规 2 3 2 9 4" xfId="11846"/>
    <cellStyle name="常规 2 3 2 9 4 2" xfId="30694"/>
    <cellStyle name="常规 2 3 2 9 5" xfId="21270"/>
    <cellStyle name="常规 2 3 3" xfId="86"/>
    <cellStyle name="常规 2 3 3 10" xfId="6362"/>
    <cellStyle name="常规 2 3 3 10 2" xfId="15782"/>
    <cellStyle name="常规 2 3 3 10 2 2" xfId="34630"/>
    <cellStyle name="常规 2 3 3 10 3" xfId="25206"/>
    <cellStyle name="常规 2 3 3 11" xfId="9509"/>
    <cellStyle name="常规 2 3 3 11 2" xfId="28354"/>
    <cellStyle name="常规 2 3 3 12" xfId="18932"/>
    <cellStyle name="常规 2 3 3 2" xfId="87"/>
    <cellStyle name="常规 2 3 3 2 10" xfId="9510"/>
    <cellStyle name="常规 2 3 3 2 10 2" xfId="28355"/>
    <cellStyle name="常规 2 3 3 2 11" xfId="18933"/>
    <cellStyle name="常规 2 3 3 2 2" xfId="88"/>
    <cellStyle name="常规 2 3 3 2 2 10" xfId="18934"/>
    <cellStyle name="常规 2 3 3 2 2 2" xfId="89"/>
    <cellStyle name="常规 2 3 3 2 2 2 2" xfId="488"/>
    <cellStyle name="常规 2 3 3 2 2 2 2 2" xfId="1272"/>
    <cellStyle name="常规 2 3 3 2 2 2 2 2 2" xfId="4408"/>
    <cellStyle name="常规 2 3 3 2 2 2 2 2 2 2" xfId="13828"/>
    <cellStyle name="常规 2 3 3 2 2 2 2 2 2 2 2" xfId="32676"/>
    <cellStyle name="常规 2 3 3 2 2 2 2 2 2 3" xfId="23252"/>
    <cellStyle name="常规 2 3 3 2 2 2 2 2 3" xfId="7544"/>
    <cellStyle name="常规 2 3 3 2 2 2 2 2 3 2" xfId="16964"/>
    <cellStyle name="常规 2 3 3 2 2 2 2 2 3 2 2" xfId="35812"/>
    <cellStyle name="常规 2 3 3 2 2 2 2 2 3 3" xfId="26388"/>
    <cellStyle name="常规 2 3 3 2 2 2 2 2 4" xfId="10692"/>
    <cellStyle name="常规 2 3 3 2 2 2 2 2 4 2" xfId="29540"/>
    <cellStyle name="常规 2 3 3 2 2 2 2 2 5" xfId="20116"/>
    <cellStyle name="常规 2 3 3 2 2 2 2 3" xfId="2056"/>
    <cellStyle name="常规 2 3 3 2 2 2 2 3 2" xfId="5192"/>
    <cellStyle name="常规 2 3 3 2 2 2 2 3 2 2" xfId="14612"/>
    <cellStyle name="常规 2 3 3 2 2 2 2 3 2 2 2" xfId="33460"/>
    <cellStyle name="常规 2 3 3 2 2 2 2 3 2 3" xfId="24036"/>
    <cellStyle name="常规 2 3 3 2 2 2 2 3 3" xfId="8328"/>
    <cellStyle name="常规 2 3 3 2 2 2 2 3 3 2" xfId="17748"/>
    <cellStyle name="常规 2 3 3 2 2 2 2 3 3 2 2" xfId="36596"/>
    <cellStyle name="常规 2 3 3 2 2 2 2 3 3 3" xfId="27172"/>
    <cellStyle name="常规 2 3 3 2 2 2 2 3 4" xfId="11476"/>
    <cellStyle name="常规 2 3 3 2 2 2 2 3 4 2" xfId="30324"/>
    <cellStyle name="常规 2 3 3 2 2 2 2 3 5" xfId="20900"/>
    <cellStyle name="常规 2 3 3 2 2 2 2 4" xfId="2840"/>
    <cellStyle name="常规 2 3 3 2 2 2 2 4 2" xfId="5976"/>
    <cellStyle name="常规 2 3 3 2 2 2 2 4 2 2" xfId="15396"/>
    <cellStyle name="常规 2 3 3 2 2 2 2 4 2 2 2" xfId="34244"/>
    <cellStyle name="常规 2 3 3 2 2 2 2 4 2 3" xfId="24820"/>
    <cellStyle name="常规 2 3 3 2 2 2 2 4 3" xfId="9112"/>
    <cellStyle name="常规 2 3 3 2 2 2 2 4 3 2" xfId="18532"/>
    <cellStyle name="常规 2 3 3 2 2 2 2 4 3 2 2" xfId="37380"/>
    <cellStyle name="常规 2 3 3 2 2 2 2 4 3 3" xfId="27956"/>
    <cellStyle name="常规 2 3 3 2 2 2 2 4 4" xfId="12260"/>
    <cellStyle name="常规 2 3 3 2 2 2 2 4 4 2" xfId="31108"/>
    <cellStyle name="常规 2 3 3 2 2 2 2 4 5" xfId="21684"/>
    <cellStyle name="常规 2 3 3 2 2 2 2 5" xfId="3624"/>
    <cellStyle name="常规 2 3 3 2 2 2 2 5 2" xfId="13044"/>
    <cellStyle name="常规 2 3 3 2 2 2 2 5 2 2" xfId="31892"/>
    <cellStyle name="常规 2 3 3 2 2 2 2 5 3" xfId="22468"/>
    <cellStyle name="常规 2 3 3 2 2 2 2 6" xfId="6760"/>
    <cellStyle name="常规 2 3 3 2 2 2 2 6 2" xfId="16180"/>
    <cellStyle name="常规 2 3 3 2 2 2 2 6 2 2" xfId="35028"/>
    <cellStyle name="常规 2 3 3 2 2 2 2 6 3" xfId="25604"/>
    <cellStyle name="常规 2 3 3 2 2 2 2 7" xfId="9908"/>
    <cellStyle name="常规 2 3 3 2 2 2 2 7 2" xfId="28756"/>
    <cellStyle name="常规 2 3 3 2 2 2 2 8" xfId="19332"/>
    <cellStyle name="常规 2 3 3 2 2 2 3" xfId="877"/>
    <cellStyle name="常规 2 3 3 2 2 2 3 2" xfId="4013"/>
    <cellStyle name="常规 2 3 3 2 2 2 3 2 2" xfId="13433"/>
    <cellStyle name="常规 2 3 3 2 2 2 3 2 2 2" xfId="32281"/>
    <cellStyle name="常规 2 3 3 2 2 2 3 2 3" xfId="22857"/>
    <cellStyle name="常规 2 3 3 2 2 2 3 3" xfId="7149"/>
    <cellStyle name="常规 2 3 3 2 2 2 3 3 2" xfId="16569"/>
    <cellStyle name="常规 2 3 3 2 2 2 3 3 2 2" xfId="35417"/>
    <cellStyle name="常规 2 3 3 2 2 2 3 3 3" xfId="25993"/>
    <cellStyle name="常规 2 3 3 2 2 2 3 4" xfId="10297"/>
    <cellStyle name="常规 2 3 3 2 2 2 3 4 2" xfId="29145"/>
    <cellStyle name="常规 2 3 3 2 2 2 3 5" xfId="19721"/>
    <cellStyle name="常规 2 3 3 2 2 2 4" xfId="1661"/>
    <cellStyle name="常规 2 3 3 2 2 2 4 2" xfId="4797"/>
    <cellStyle name="常规 2 3 3 2 2 2 4 2 2" xfId="14217"/>
    <cellStyle name="常规 2 3 3 2 2 2 4 2 2 2" xfId="33065"/>
    <cellStyle name="常规 2 3 3 2 2 2 4 2 3" xfId="23641"/>
    <cellStyle name="常规 2 3 3 2 2 2 4 3" xfId="7933"/>
    <cellStyle name="常规 2 3 3 2 2 2 4 3 2" xfId="17353"/>
    <cellStyle name="常规 2 3 3 2 2 2 4 3 2 2" xfId="36201"/>
    <cellStyle name="常规 2 3 3 2 2 2 4 3 3" xfId="26777"/>
    <cellStyle name="常规 2 3 3 2 2 2 4 4" xfId="11081"/>
    <cellStyle name="常规 2 3 3 2 2 2 4 4 2" xfId="29929"/>
    <cellStyle name="常规 2 3 3 2 2 2 4 5" xfId="20505"/>
    <cellStyle name="常规 2 3 3 2 2 2 5" xfId="2445"/>
    <cellStyle name="常规 2 3 3 2 2 2 5 2" xfId="5581"/>
    <cellStyle name="常规 2 3 3 2 2 2 5 2 2" xfId="15001"/>
    <cellStyle name="常规 2 3 3 2 2 2 5 2 2 2" xfId="33849"/>
    <cellStyle name="常规 2 3 3 2 2 2 5 2 3" xfId="24425"/>
    <cellStyle name="常规 2 3 3 2 2 2 5 3" xfId="8717"/>
    <cellStyle name="常规 2 3 3 2 2 2 5 3 2" xfId="18137"/>
    <cellStyle name="常规 2 3 3 2 2 2 5 3 2 2" xfId="36985"/>
    <cellStyle name="常规 2 3 3 2 2 2 5 3 3" xfId="27561"/>
    <cellStyle name="常规 2 3 3 2 2 2 5 4" xfId="11865"/>
    <cellStyle name="常规 2 3 3 2 2 2 5 4 2" xfId="30713"/>
    <cellStyle name="常规 2 3 3 2 2 2 5 5" xfId="21289"/>
    <cellStyle name="常规 2 3 3 2 2 2 6" xfId="3302"/>
    <cellStyle name="常规 2 3 3 2 2 2 6 2" xfId="12722"/>
    <cellStyle name="常规 2 3 3 2 2 2 6 2 2" xfId="31570"/>
    <cellStyle name="常规 2 3 3 2 2 2 6 3" xfId="22146"/>
    <cellStyle name="常规 2 3 3 2 2 2 7" xfId="6365"/>
    <cellStyle name="常规 2 3 3 2 2 2 7 2" xfId="15785"/>
    <cellStyle name="常规 2 3 3 2 2 2 7 2 2" xfId="34633"/>
    <cellStyle name="常规 2 3 3 2 2 2 7 3" xfId="25209"/>
    <cellStyle name="常规 2 3 3 2 2 2 8" xfId="9512"/>
    <cellStyle name="常规 2 3 3 2 2 2 8 2" xfId="28357"/>
    <cellStyle name="常规 2 3 3 2 2 2 9" xfId="18935"/>
    <cellStyle name="常规 2 3 3 2 2 3" xfId="487"/>
    <cellStyle name="常规 2 3 3 2 2 3 2" xfId="1271"/>
    <cellStyle name="常规 2 3 3 2 2 3 2 2" xfId="4407"/>
    <cellStyle name="常规 2 3 3 2 2 3 2 2 2" xfId="13827"/>
    <cellStyle name="常规 2 3 3 2 2 3 2 2 2 2" xfId="32675"/>
    <cellStyle name="常规 2 3 3 2 2 3 2 2 3" xfId="23251"/>
    <cellStyle name="常规 2 3 3 2 2 3 2 3" xfId="7543"/>
    <cellStyle name="常规 2 3 3 2 2 3 2 3 2" xfId="16963"/>
    <cellStyle name="常规 2 3 3 2 2 3 2 3 2 2" xfId="35811"/>
    <cellStyle name="常规 2 3 3 2 2 3 2 3 3" xfId="26387"/>
    <cellStyle name="常规 2 3 3 2 2 3 2 4" xfId="10691"/>
    <cellStyle name="常规 2 3 3 2 2 3 2 4 2" xfId="29539"/>
    <cellStyle name="常规 2 3 3 2 2 3 2 5" xfId="20115"/>
    <cellStyle name="常规 2 3 3 2 2 3 3" xfId="2055"/>
    <cellStyle name="常规 2 3 3 2 2 3 3 2" xfId="5191"/>
    <cellStyle name="常规 2 3 3 2 2 3 3 2 2" xfId="14611"/>
    <cellStyle name="常规 2 3 3 2 2 3 3 2 2 2" xfId="33459"/>
    <cellStyle name="常规 2 3 3 2 2 3 3 2 3" xfId="24035"/>
    <cellStyle name="常规 2 3 3 2 2 3 3 3" xfId="8327"/>
    <cellStyle name="常规 2 3 3 2 2 3 3 3 2" xfId="17747"/>
    <cellStyle name="常规 2 3 3 2 2 3 3 3 2 2" xfId="36595"/>
    <cellStyle name="常规 2 3 3 2 2 3 3 3 3" xfId="27171"/>
    <cellStyle name="常规 2 3 3 2 2 3 3 4" xfId="11475"/>
    <cellStyle name="常规 2 3 3 2 2 3 3 4 2" xfId="30323"/>
    <cellStyle name="常规 2 3 3 2 2 3 3 5" xfId="20899"/>
    <cellStyle name="常规 2 3 3 2 2 3 4" xfId="2839"/>
    <cellStyle name="常规 2 3 3 2 2 3 4 2" xfId="5975"/>
    <cellStyle name="常规 2 3 3 2 2 3 4 2 2" xfId="15395"/>
    <cellStyle name="常规 2 3 3 2 2 3 4 2 2 2" xfId="34243"/>
    <cellStyle name="常规 2 3 3 2 2 3 4 2 3" xfId="24819"/>
    <cellStyle name="常规 2 3 3 2 2 3 4 3" xfId="9111"/>
    <cellStyle name="常规 2 3 3 2 2 3 4 3 2" xfId="18531"/>
    <cellStyle name="常规 2 3 3 2 2 3 4 3 2 2" xfId="37379"/>
    <cellStyle name="常规 2 3 3 2 2 3 4 3 3" xfId="27955"/>
    <cellStyle name="常规 2 3 3 2 2 3 4 4" xfId="12259"/>
    <cellStyle name="常规 2 3 3 2 2 3 4 4 2" xfId="31107"/>
    <cellStyle name="常规 2 3 3 2 2 3 4 5" xfId="21683"/>
    <cellStyle name="常规 2 3 3 2 2 3 5" xfId="3623"/>
    <cellStyle name="常规 2 3 3 2 2 3 5 2" xfId="13043"/>
    <cellStyle name="常规 2 3 3 2 2 3 5 2 2" xfId="31891"/>
    <cellStyle name="常规 2 3 3 2 2 3 5 3" xfId="22467"/>
    <cellStyle name="常规 2 3 3 2 2 3 6" xfId="6759"/>
    <cellStyle name="常规 2 3 3 2 2 3 6 2" xfId="16179"/>
    <cellStyle name="常规 2 3 3 2 2 3 6 2 2" xfId="35027"/>
    <cellStyle name="常规 2 3 3 2 2 3 6 3" xfId="25603"/>
    <cellStyle name="常规 2 3 3 2 2 3 7" xfId="9907"/>
    <cellStyle name="常规 2 3 3 2 2 3 7 2" xfId="28755"/>
    <cellStyle name="常规 2 3 3 2 2 3 8" xfId="19331"/>
    <cellStyle name="常规 2 3 3 2 2 4" xfId="876"/>
    <cellStyle name="常规 2 3 3 2 2 4 2" xfId="4012"/>
    <cellStyle name="常规 2 3 3 2 2 4 2 2" xfId="13432"/>
    <cellStyle name="常规 2 3 3 2 2 4 2 2 2" xfId="32280"/>
    <cellStyle name="常规 2 3 3 2 2 4 2 3" xfId="22856"/>
    <cellStyle name="常规 2 3 3 2 2 4 3" xfId="7148"/>
    <cellStyle name="常规 2 3 3 2 2 4 3 2" xfId="16568"/>
    <cellStyle name="常规 2 3 3 2 2 4 3 2 2" xfId="35416"/>
    <cellStyle name="常规 2 3 3 2 2 4 3 3" xfId="25992"/>
    <cellStyle name="常规 2 3 3 2 2 4 4" xfId="10296"/>
    <cellStyle name="常规 2 3 3 2 2 4 4 2" xfId="29144"/>
    <cellStyle name="常规 2 3 3 2 2 4 5" xfId="19720"/>
    <cellStyle name="常规 2 3 3 2 2 5" xfId="1660"/>
    <cellStyle name="常规 2 3 3 2 2 5 2" xfId="4796"/>
    <cellStyle name="常规 2 3 3 2 2 5 2 2" xfId="14216"/>
    <cellStyle name="常规 2 3 3 2 2 5 2 2 2" xfId="33064"/>
    <cellStyle name="常规 2 3 3 2 2 5 2 3" xfId="23640"/>
    <cellStyle name="常规 2 3 3 2 2 5 3" xfId="7932"/>
    <cellStyle name="常规 2 3 3 2 2 5 3 2" xfId="17352"/>
    <cellStyle name="常规 2 3 3 2 2 5 3 2 2" xfId="36200"/>
    <cellStyle name="常规 2 3 3 2 2 5 3 3" xfId="26776"/>
    <cellStyle name="常规 2 3 3 2 2 5 4" xfId="11080"/>
    <cellStyle name="常规 2 3 3 2 2 5 4 2" xfId="29928"/>
    <cellStyle name="常规 2 3 3 2 2 5 5" xfId="20504"/>
    <cellStyle name="常规 2 3 3 2 2 6" xfId="2444"/>
    <cellStyle name="常规 2 3 3 2 2 6 2" xfId="5580"/>
    <cellStyle name="常规 2 3 3 2 2 6 2 2" xfId="15000"/>
    <cellStyle name="常规 2 3 3 2 2 6 2 2 2" xfId="33848"/>
    <cellStyle name="常规 2 3 3 2 2 6 2 3" xfId="24424"/>
    <cellStyle name="常规 2 3 3 2 2 6 3" xfId="8716"/>
    <cellStyle name="常规 2 3 3 2 2 6 3 2" xfId="18136"/>
    <cellStyle name="常规 2 3 3 2 2 6 3 2 2" xfId="36984"/>
    <cellStyle name="常规 2 3 3 2 2 6 3 3" xfId="27560"/>
    <cellStyle name="常规 2 3 3 2 2 6 4" xfId="11864"/>
    <cellStyle name="常规 2 3 3 2 2 6 4 2" xfId="30712"/>
    <cellStyle name="常规 2 3 3 2 2 6 5" xfId="21288"/>
    <cellStyle name="常规 2 3 3 2 2 7" xfId="3301"/>
    <cellStyle name="常规 2 3 3 2 2 7 2" xfId="12721"/>
    <cellStyle name="常规 2 3 3 2 2 7 2 2" xfId="31569"/>
    <cellStyle name="常规 2 3 3 2 2 7 3" xfId="22145"/>
    <cellStyle name="常规 2 3 3 2 2 8" xfId="6364"/>
    <cellStyle name="常规 2 3 3 2 2 8 2" xfId="15784"/>
    <cellStyle name="常规 2 3 3 2 2 8 2 2" xfId="34632"/>
    <cellStyle name="常规 2 3 3 2 2 8 3" xfId="25208"/>
    <cellStyle name="常规 2 3 3 2 2 9" xfId="9511"/>
    <cellStyle name="常规 2 3 3 2 2 9 2" xfId="28356"/>
    <cellStyle name="常规 2 3 3 2 3" xfId="90"/>
    <cellStyle name="常规 2 3 3 2 3 2" xfId="489"/>
    <cellStyle name="常规 2 3 3 2 3 2 2" xfId="1273"/>
    <cellStyle name="常规 2 3 3 2 3 2 2 2" xfId="4409"/>
    <cellStyle name="常规 2 3 3 2 3 2 2 2 2" xfId="13829"/>
    <cellStyle name="常规 2 3 3 2 3 2 2 2 2 2" xfId="32677"/>
    <cellStyle name="常规 2 3 3 2 3 2 2 2 3" xfId="23253"/>
    <cellStyle name="常规 2 3 3 2 3 2 2 3" xfId="7545"/>
    <cellStyle name="常规 2 3 3 2 3 2 2 3 2" xfId="16965"/>
    <cellStyle name="常规 2 3 3 2 3 2 2 3 2 2" xfId="35813"/>
    <cellStyle name="常规 2 3 3 2 3 2 2 3 3" xfId="26389"/>
    <cellStyle name="常规 2 3 3 2 3 2 2 4" xfId="10693"/>
    <cellStyle name="常规 2 3 3 2 3 2 2 4 2" xfId="29541"/>
    <cellStyle name="常规 2 3 3 2 3 2 2 5" xfId="20117"/>
    <cellStyle name="常规 2 3 3 2 3 2 3" xfId="2057"/>
    <cellStyle name="常规 2 3 3 2 3 2 3 2" xfId="5193"/>
    <cellStyle name="常规 2 3 3 2 3 2 3 2 2" xfId="14613"/>
    <cellStyle name="常规 2 3 3 2 3 2 3 2 2 2" xfId="33461"/>
    <cellStyle name="常规 2 3 3 2 3 2 3 2 3" xfId="24037"/>
    <cellStyle name="常规 2 3 3 2 3 2 3 3" xfId="8329"/>
    <cellStyle name="常规 2 3 3 2 3 2 3 3 2" xfId="17749"/>
    <cellStyle name="常规 2 3 3 2 3 2 3 3 2 2" xfId="36597"/>
    <cellStyle name="常规 2 3 3 2 3 2 3 3 3" xfId="27173"/>
    <cellStyle name="常规 2 3 3 2 3 2 3 4" xfId="11477"/>
    <cellStyle name="常规 2 3 3 2 3 2 3 4 2" xfId="30325"/>
    <cellStyle name="常规 2 3 3 2 3 2 3 5" xfId="20901"/>
    <cellStyle name="常规 2 3 3 2 3 2 4" xfId="2841"/>
    <cellStyle name="常规 2 3 3 2 3 2 4 2" xfId="5977"/>
    <cellStyle name="常规 2 3 3 2 3 2 4 2 2" xfId="15397"/>
    <cellStyle name="常规 2 3 3 2 3 2 4 2 2 2" xfId="34245"/>
    <cellStyle name="常规 2 3 3 2 3 2 4 2 3" xfId="24821"/>
    <cellStyle name="常规 2 3 3 2 3 2 4 3" xfId="9113"/>
    <cellStyle name="常规 2 3 3 2 3 2 4 3 2" xfId="18533"/>
    <cellStyle name="常规 2 3 3 2 3 2 4 3 2 2" xfId="37381"/>
    <cellStyle name="常规 2 3 3 2 3 2 4 3 3" xfId="27957"/>
    <cellStyle name="常规 2 3 3 2 3 2 4 4" xfId="12261"/>
    <cellStyle name="常规 2 3 3 2 3 2 4 4 2" xfId="31109"/>
    <cellStyle name="常规 2 3 3 2 3 2 4 5" xfId="21685"/>
    <cellStyle name="常规 2 3 3 2 3 2 5" xfId="3625"/>
    <cellStyle name="常规 2 3 3 2 3 2 5 2" xfId="13045"/>
    <cellStyle name="常规 2 3 3 2 3 2 5 2 2" xfId="31893"/>
    <cellStyle name="常规 2 3 3 2 3 2 5 3" xfId="22469"/>
    <cellStyle name="常规 2 3 3 2 3 2 6" xfId="6761"/>
    <cellStyle name="常规 2 3 3 2 3 2 6 2" xfId="16181"/>
    <cellStyle name="常规 2 3 3 2 3 2 6 2 2" xfId="35029"/>
    <cellStyle name="常规 2 3 3 2 3 2 6 3" xfId="25605"/>
    <cellStyle name="常规 2 3 3 2 3 2 7" xfId="9909"/>
    <cellStyle name="常规 2 3 3 2 3 2 7 2" xfId="28757"/>
    <cellStyle name="常规 2 3 3 2 3 2 8" xfId="19333"/>
    <cellStyle name="常规 2 3 3 2 3 3" xfId="878"/>
    <cellStyle name="常规 2 3 3 2 3 3 2" xfId="4014"/>
    <cellStyle name="常规 2 3 3 2 3 3 2 2" xfId="13434"/>
    <cellStyle name="常规 2 3 3 2 3 3 2 2 2" xfId="32282"/>
    <cellStyle name="常规 2 3 3 2 3 3 2 3" xfId="22858"/>
    <cellStyle name="常规 2 3 3 2 3 3 3" xfId="7150"/>
    <cellStyle name="常规 2 3 3 2 3 3 3 2" xfId="16570"/>
    <cellStyle name="常规 2 3 3 2 3 3 3 2 2" xfId="35418"/>
    <cellStyle name="常规 2 3 3 2 3 3 3 3" xfId="25994"/>
    <cellStyle name="常规 2 3 3 2 3 3 4" xfId="10298"/>
    <cellStyle name="常规 2 3 3 2 3 3 4 2" xfId="29146"/>
    <cellStyle name="常规 2 3 3 2 3 3 5" xfId="19722"/>
    <cellStyle name="常规 2 3 3 2 3 4" xfId="1662"/>
    <cellStyle name="常规 2 3 3 2 3 4 2" xfId="4798"/>
    <cellStyle name="常规 2 3 3 2 3 4 2 2" xfId="14218"/>
    <cellStyle name="常规 2 3 3 2 3 4 2 2 2" xfId="33066"/>
    <cellStyle name="常规 2 3 3 2 3 4 2 3" xfId="23642"/>
    <cellStyle name="常规 2 3 3 2 3 4 3" xfId="7934"/>
    <cellStyle name="常规 2 3 3 2 3 4 3 2" xfId="17354"/>
    <cellStyle name="常规 2 3 3 2 3 4 3 2 2" xfId="36202"/>
    <cellStyle name="常规 2 3 3 2 3 4 3 3" xfId="26778"/>
    <cellStyle name="常规 2 3 3 2 3 4 4" xfId="11082"/>
    <cellStyle name="常规 2 3 3 2 3 4 4 2" xfId="29930"/>
    <cellStyle name="常规 2 3 3 2 3 4 5" xfId="20506"/>
    <cellStyle name="常规 2 3 3 2 3 5" xfId="2446"/>
    <cellStyle name="常规 2 3 3 2 3 5 2" xfId="5582"/>
    <cellStyle name="常规 2 3 3 2 3 5 2 2" xfId="15002"/>
    <cellStyle name="常规 2 3 3 2 3 5 2 2 2" xfId="33850"/>
    <cellStyle name="常规 2 3 3 2 3 5 2 3" xfId="24426"/>
    <cellStyle name="常规 2 3 3 2 3 5 3" xfId="8718"/>
    <cellStyle name="常规 2 3 3 2 3 5 3 2" xfId="18138"/>
    <cellStyle name="常规 2 3 3 2 3 5 3 2 2" xfId="36986"/>
    <cellStyle name="常规 2 3 3 2 3 5 3 3" xfId="27562"/>
    <cellStyle name="常规 2 3 3 2 3 5 4" xfId="11866"/>
    <cellStyle name="常规 2 3 3 2 3 5 4 2" xfId="30714"/>
    <cellStyle name="常规 2 3 3 2 3 5 5" xfId="21290"/>
    <cellStyle name="常规 2 3 3 2 3 6" xfId="3303"/>
    <cellStyle name="常规 2 3 3 2 3 6 2" xfId="12723"/>
    <cellStyle name="常规 2 3 3 2 3 6 2 2" xfId="31571"/>
    <cellStyle name="常规 2 3 3 2 3 6 3" xfId="22147"/>
    <cellStyle name="常规 2 3 3 2 3 7" xfId="6366"/>
    <cellStyle name="常规 2 3 3 2 3 7 2" xfId="15786"/>
    <cellStyle name="常规 2 3 3 2 3 7 2 2" xfId="34634"/>
    <cellStyle name="常规 2 3 3 2 3 7 3" xfId="25210"/>
    <cellStyle name="常规 2 3 3 2 3 8" xfId="9513"/>
    <cellStyle name="常规 2 3 3 2 3 8 2" xfId="28358"/>
    <cellStyle name="常规 2 3 3 2 3 9" xfId="18936"/>
    <cellStyle name="常规 2 3 3 2 4" xfId="486"/>
    <cellStyle name="常规 2 3 3 2 4 2" xfId="1270"/>
    <cellStyle name="常规 2 3 3 2 4 2 2" xfId="4406"/>
    <cellStyle name="常规 2 3 3 2 4 2 2 2" xfId="13826"/>
    <cellStyle name="常规 2 3 3 2 4 2 2 2 2" xfId="32674"/>
    <cellStyle name="常规 2 3 3 2 4 2 2 3" xfId="23250"/>
    <cellStyle name="常规 2 3 3 2 4 2 3" xfId="7542"/>
    <cellStyle name="常规 2 3 3 2 4 2 3 2" xfId="16962"/>
    <cellStyle name="常规 2 3 3 2 4 2 3 2 2" xfId="35810"/>
    <cellStyle name="常规 2 3 3 2 4 2 3 3" xfId="26386"/>
    <cellStyle name="常规 2 3 3 2 4 2 4" xfId="10690"/>
    <cellStyle name="常规 2 3 3 2 4 2 4 2" xfId="29538"/>
    <cellStyle name="常规 2 3 3 2 4 2 5" xfId="20114"/>
    <cellStyle name="常规 2 3 3 2 4 3" xfId="2054"/>
    <cellStyle name="常规 2 3 3 2 4 3 2" xfId="5190"/>
    <cellStyle name="常规 2 3 3 2 4 3 2 2" xfId="14610"/>
    <cellStyle name="常规 2 3 3 2 4 3 2 2 2" xfId="33458"/>
    <cellStyle name="常规 2 3 3 2 4 3 2 3" xfId="24034"/>
    <cellStyle name="常规 2 3 3 2 4 3 3" xfId="8326"/>
    <cellStyle name="常规 2 3 3 2 4 3 3 2" xfId="17746"/>
    <cellStyle name="常规 2 3 3 2 4 3 3 2 2" xfId="36594"/>
    <cellStyle name="常规 2 3 3 2 4 3 3 3" xfId="27170"/>
    <cellStyle name="常规 2 3 3 2 4 3 4" xfId="11474"/>
    <cellStyle name="常规 2 3 3 2 4 3 4 2" xfId="30322"/>
    <cellStyle name="常规 2 3 3 2 4 3 5" xfId="20898"/>
    <cellStyle name="常规 2 3 3 2 4 4" xfId="2838"/>
    <cellStyle name="常规 2 3 3 2 4 4 2" xfId="5974"/>
    <cellStyle name="常规 2 3 3 2 4 4 2 2" xfId="15394"/>
    <cellStyle name="常规 2 3 3 2 4 4 2 2 2" xfId="34242"/>
    <cellStyle name="常规 2 3 3 2 4 4 2 3" xfId="24818"/>
    <cellStyle name="常规 2 3 3 2 4 4 3" xfId="9110"/>
    <cellStyle name="常规 2 3 3 2 4 4 3 2" xfId="18530"/>
    <cellStyle name="常规 2 3 3 2 4 4 3 2 2" xfId="37378"/>
    <cellStyle name="常规 2 3 3 2 4 4 3 3" xfId="27954"/>
    <cellStyle name="常规 2 3 3 2 4 4 4" xfId="12258"/>
    <cellStyle name="常规 2 3 3 2 4 4 4 2" xfId="31106"/>
    <cellStyle name="常规 2 3 3 2 4 4 5" xfId="21682"/>
    <cellStyle name="常规 2 3 3 2 4 5" xfId="3622"/>
    <cellStyle name="常规 2 3 3 2 4 5 2" xfId="13042"/>
    <cellStyle name="常规 2 3 3 2 4 5 2 2" xfId="31890"/>
    <cellStyle name="常规 2 3 3 2 4 5 3" xfId="22466"/>
    <cellStyle name="常规 2 3 3 2 4 6" xfId="6758"/>
    <cellStyle name="常规 2 3 3 2 4 6 2" xfId="16178"/>
    <cellStyle name="常规 2 3 3 2 4 6 2 2" xfId="35026"/>
    <cellStyle name="常规 2 3 3 2 4 6 3" xfId="25602"/>
    <cellStyle name="常规 2 3 3 2 4 7" xfId="9906"/>
    <cellStyle name="常规 2 3 3 2 4 7 2" xfId="28754"/>
    <cellStyle name="常规 2 3 3 2 4 8" xfId="19330"/>
    <cellStyle name="常规 2 3 3 2 5" xfId="875"/>
    <cellStyle name="常规 2 3 3 2 5 2" xfId="4011"/>
    <cellStyle name="常规 2 3 3 2 5 2 2" xfId="13431"/>
    <cellStyle name="常规 2 3 3 2 5 2 2 2" xfId="32279"/>
    <cellStyle name="常规 2 3 3 2 5 2 3" xfId="22855"/>
    <cellStyle name="常规 2 3 3 2 5 3" xfId="7147"/>
    <cellStyle name="常规 2 3 3 2 5 3 2" xfId="16567"/>
    <cellStyle name="常规 2 3 3 2 5 3 2 2" xfId="35415"/>
    <cellStyle name="常规 2 3 3 2 5 3 3" xfId="25991"/>
    <cellStyle name="常规 2 3 3 2 5 4" xfId="10295"/>
    <cellStyle name="常规 2 3 3 2 5 4 2" xfId="29143"/>
    <cellStyle name="常规 2 3 3 2 5 5" xfId="19719"/>
    <cellStyle name="常规 2 3 3 2 6" xfId="1659"/>
    <cellStyle name="常规 2 3 3 2 6 2" xfId="4795"/>
    <cellStyle name="常规 2 3 3 2 6 2 2" xfId="14215"/>
    <cellStyle name="常规 2 3 3 2 6 2 2 2" xfId="33063"/>
    <cellStyle name="常规 2 3 3 2 6 2 3" xfId="23639"/>
    <cellStyle name="常规 2 3 3 2 6 3" xfId="7931"/>
    <cellStyle name="常规 2 3 3 2 6 3 2" xfId="17351"/>
    <cellStyle name="常规 2 3 3 2 6 3 2 2" xfId="36199"/>
    <cellStyle name="常规 2 3 3 2 6 3 3" xfId="26775"/>
    <cellStyle name="常规 2 3 3 2 6 4" xfId="11079"/>
    <cellStyle name="常规 2 3 3 2 6 4 2" xfId="29927"/>
    <cellStyle name="常规 2 3 3 2 6 5" xfId="20503"/>
    <cellStyle name="常规 2 3 3 2 7" xfId="2443"/>
    <cellStyle name="常规 2 3 3 2 7 2" xfId="5579"/>
    <cellStyle name="常规 2 3 3 2 7 2 2" xfId="14999"/>
    <cellStyle name="常规 2 3 3 2 7 2 2 2" xfId="33847"/>
    <cellStyle name="常规 2 3 3 2 7 2 3" xfId="24423"/>
    <cellStyle name="常规 2 3 3 2 7 3" xfId="8715"/>
    <cellStyle name="常规 2 3 3 2 7 3 2" xfId="18135"/>
    <cellStyle name="常规 2 3 3 2 7 3 2 2" xfId="36983"/>
    <cellStyle name="常规 2 3 3 2 7 3 3" xfId="27559"/>
    <cellStyle name="常规 2 3 3 2 7 4" xfId="11863"/>
    <cellStyle name="常规 2 3 3 2 7 4 2" xfId="30711"/>
    <cellStyle name="常规 2 3 3 2 7 5" xfId="21287"/>
    <cellStyle name="常规 2 3 3 2 8" xfId="3204"/>
    <cellStyle name="常规 2 3 3 2 8 2" xfId="12624"/>
    <cellStyle name="常规 2 3 3 2 8 2 2" xfId="31472"/>
    <cellStyle name="常规 2 3 3 2 8 3" xfId="22048"/>
    <cellStyle name="常规 2 3 3 2 9" xfId="6363"/>
    <cellStyle name="常规 2 3 3 2 9 2" xfId="15783"/>
    <cellStyle name="常规 2 3 3 2 9 2 2" xfId="34631"/>
    <cellStyle name="常规 2 3 3 2 9 3" xfId="25207"/>
    <cellStyle name="常规 2 3 3 3" xfId="91"/>
    <cellStyle name="常规 2 3 3 3 10" xfId="18937"/>
    <cellStyle name="常规 2 3 3 3 2" xfId="92"/>
    <cellStyle name="常规 2 3 3 3 2 2" xfId="491"/>
    <cellStyle name="常规 2 3 3 3 2 2 2" xfId="1275"/>
    <cellStyle name="常规 2 3 3 3 2 2 2 2" xfId="4411"/>
    <cellStyle name="常规 2 3 3 3 2 2 2 2 2" xfId="13831"/>
    <cellStyle name="常规 2 3 3 3 2 2 2 2 2 2" xfId="32679"/>
    <cellStyle name="常规 2 3 3 3 2 2 2 2 3" xfId="23255"/>
    <cellStyle name="常规 2 3 3 3 2 2 2 3" xfId="7547"/>
    <cellStyle name="常规 2 3 3 3 2 2 2 3 2" xfId="16967"/>
    <cellStyle name="常规 2 3 3 3 2 2 2 3 2 2" xfId="35815"/>
    <cellStyle name="常规 2 3 3 3 2 2 2 3 3" xfId="26391"/>
    <cellStyle name="常规 2 3 3 3 2 2 2 4" xfId="10695"/>
    <cellStyle name="常规 2 3 3 3 2 2 2 4 2" xfId="29543"/>
    <cellStyle name="常规 2 3 3 3 2 2 2 5" xfId="20119"/>
    <cellStyle name="常规 2 3 3 3 2 2 3" xfId="2059"/>
    <cellStyle name="常规 2 3 3 3 2 2 3 2" xfId="5195"/>
    <cellStyle name="常规 2 3 3 3 2 2 3 2 2" xfId="14615"/>
    <cellStyle name="常规 2 3 3 3 2 2 3 2 2 2" xfId="33463"/>
    <cellStyle name="常规 2 3 3 3 2 2 3 2 3" xfId="24039"/>
    <cellStyle name="常规 2 3 3 3 2 2 3 3" xfId="8331"/>
    <cellStyle name="常规 2 3 3 3 2 2 3 3 2" xfId="17751"/>
    <cellStyle name="常规 2 3 3 3 2 2 3 3 2 2" xfId="36599"/>
    <cellStyle name="常规 2 3 3 3 2 2 3 3 3" xfId="27175"/>
    <cellStyle name="常规 2 3 3 3 2 2 3 4" xfId="11479"/>
    <cellStyle name="常规 2 3 3 3 2 2 3 4 2" xfId="30327"/>
    <cellStyle name="常规 2 3 3 3 2 2 3 5" xfId="20903"/>
    <cellStyle name="常规 2 3 3 3 2 2 4" xfId="2843"/>
    <cellStyle name="常规 2 3 3 3 2 2 4 2" xfId="5979"/>
    <cellStyle name="常规 2 3 3 3 2 2 4 2 2" xfId="15399"/>
    <cellStyle name="常规 2 3 3 3 2 2 4 2 2 2" xfId="34247"/>
    <cellStyle name="常规 2 3 3 3 2 2 4 2 3" xfId="24823"/>
    <cellStyle name="常规 2 3 3 3 2 2 4 3" xfId="9115"/>
    <cellStyle name="常规 2 3 3 3 2 2 4 3 2" xfId="18535"/>
    <cellStyle name="常规 2 3 3 3 2 2 4 3 2 2" xfId="37383"/>
    <cellStyle name="常规 2 3 3 3 2 2 4 3 3" xfId="27959"/>
    <cellStyle name="常规 2 3 3 3 2 2 4 4" xfId="12263"/>
    <cellStyle name="常规 2 3 3 3 2 2 4 4 2" xfId="31111"/>
    <cellStyle name="常规 2 3 3 3 2 2 4 5" xfId="21687"/>
    <cellStyle name="常规 2 3 3 3 2 2 5" xfId="3627"/>
    <cellStyle name="常规 2 3 3 3 2 2 5 2" xfId="13047"/>
    <cellStyle name="常规 2 3 3 3 2 2 5 2 2" xfId="31895"/>
    <cellStyle name="常规 2 3 3 3 2 2 5 3" xfId="22471"/>
    <cellStyle name="常规 2 3 3 3 2 2 6" xfId="6763"/>
    <cellStyle name="常规 2 3 3 3 2 2 6 2" xfId="16183"/>
    <cellStyle name="常规 2 3 3 3 2 2 6 2 2" xfId="35031"/>
    <cellStyle name="常规 2 3 3 3 2 2 6 3" xfId="25607"/>
    <cellStyle name="常规 2 3 3 3 2 2 7" xfId="9911"/>
    <cellStyle name="常规 2 3 3 3 2 2 7 2" xfId="28759"/>
    <cellStyle name="常规 2 3 3 3 2 2 8" xfId="19335"/>
    <cellStyle name="常规 2 3 3 3 2 3" xfId="880"/>
    <cellStyle name="常规 2 3 3 3 2 3 2" xfId="4016"/>
    <cellStyle name="常规 2 3 3 3 2 3 2 2" xfId="13436"/>
    <cellStyle name="常规 2 3 3 3 2 3 2 2 2" xfId="32284"/>
    <cellStyle name="常规 2 3 3 3 2 3 2 3" xfId="22860"/>
    <cellStyle name="常规 2 3 3 3 2 3 3" xfId="7152"/>
    <cellStyle name="常规 2 3 3 3 2 3 3 2" xfId="16572"/>
    <cellStyle name="常规 2 3 3 3 2 3 3 2 2" xfId="35420"/>
    <cellStyle name="常规 2 3 3 3 2 3 3 3" xfId="25996"/>
    <cellStyle name="常规 2 3 3 3 2 3 4" xfId="10300"/>
    <cellStyle name="常规 2 3 3 3 2 3 4 2" xfId="29148"/>
    <cellStyle name="常规 2 3 3 3 2 3 5" xfId="19724"/>
    <cellStyle name="常规 2 3 3 3 2 4" xfId="1664"/>
    <cellStyle name="常规 2 3 3 3 2 4 2" xfId="4800"/>
    <cellStyle name="常规 2 3 3 3 2 4 2 2" xfId="14220"/>
    <cellStyle name="常规 2 3 3 3 2 4 2 2 2" xfId="33068"/>
    <cellStyle name="常规 2 3 3 3 2 4 2 3" xfId="23644"/>
    <cellStyle name="常规 2 3 3 3 2 4 3" xfId="7936"/>
    <cellStyle name="常规 2 3 3 3 2 4 3 2" xfId="17356"/>
    <cellStyle name="常规 2 3 3 3 2 4 3 2 2" xfId="36204"/>
    <cellStyle name="常规 2 3 3 3 2 4 3 3" xfId="26780"/>
    <cellStyle name="常规 2 3 3 3 2 4 4" xfId="11084"/>
    <cellStyle name="常规 2 3 3 3 2 4 4 2" xfId="29932"/>
    <cellStyle name="常规 2 3 3 3 2 4 5" xfId="20508"/>
    <cellStyle name="常规 2 3 3 3 2 5" xfId="2448"/>
    <cellStyle name="常规 2 3 3 3 2 5 2" xfId="5584"/>
    <cellStyle name="常规 2 3 3 3 2 5 2 2" xfId="15004"/>
    <cellStyle name="常规 2 3 3 3 2 5 2 2 2" xfId="33852"/>
    <cellStyle name="常规 2 3 3 3 2 5 2 3" xfId="24428"/>
    <cellStyle name="常规 2 3 3 3 2 5 3" xfId="8720"/>
    <cellStyle name="常规 2 3 3 3 2 5 3 2" xfId="18140"/>
    <cellStyle name="常规 2 3 3 3 2 5 3 2 2" xfId="36988"/>
    <cellStyle name="常规 2 3 3 3 2 5 3 3" xfId="27564"/>
    <cellStyle name="常规 2 3 3 3 2 5 4" xfId="11868"/>
    <cellStyle name="常规 2 3 3 3 2 5 4 2" xfId="30716"/>
    <cellStyle name="常规 2 3 3 3 2 5 5" xfId="21292"/>
    <cellStyle name="常规 2 3 3 3 2 6" xfId="3305"/>
    <cellStyle name="常规 2 3 3 3 2 6 2" xfId="12725"/>
    <cellStyle name="常规 2 3 3 3 2 6 2 2" xfId="31573"/>
    <cellStyle name="常规 2 3 3 3 2 6 3" xfId="22149"/>
    <cellStyle name="常规 2 3 3 3 2 7" xfId="6368"/>
    <cellStyle name="常规 2 3 3 3 2 7 2" xfId="15788"/>
    <cellStyle name="常规 2 3 3 3 2 7 2 2" xfId="34636"/>
    <cellStyle name="常规 2 3 3 3 2 7 3" xfId="25212"/>
    <cellStyle name="常规 2 3 3 3 2 8" xfId="9515"/>
    <cellStyle name="常规 2 3 3 3 2 8 2" xfId="28360"/>
    <cellStyle name="常规 2 3 3 3 2 9" xfId="18938"/>
    <cellStyle name="常规 2 3 3 3 3" xfId="490"/>
    <cellStyle name="常规 2 3 3 3 3 2" xfId="1274"/>
    <cellStyle name="常规 2 3 3 3 3 2 2" xfId="4410"/>
    <cellStyle name="常规 2 3 3 3 3 2 2 2" xfId="13830"/>
    <cellStyle name="常规 2 3 3 3 3 2 2 2 2" xfId="32678"/>
    <cellStyle name="常规 2 3 3 3 3 2 2 3" xfId="23254"/>
    <cellStyle name="常规 2 3 3 3 3 2 3" xfId="7546"/>
    <cellStyle name="常规 2 3 3 3 3 2 3 2" xfId="16966"/>
    <cellStyle name="常规 2 3 3 3 3 2 3 2 2" xfId="35814"/>
    <cellStyle name="常规 2 3 3 3 3 2 3 3" xfId="26390"/>
    <cellStyle name="常规 2 3 3 3 3 2 4" xfId="10694"/>
    <cellStyle name="常规 2 3 3 3 3 2 4 2" xfId="29542"/>
    <cellStyle name="常规 2 3 3 3 3 2 5" xfId="20118"/>
    <cellStyle name="常规 2 3 3 3 3 3" xfId="2058"/>
    <cellStyle name="常规 2 3 3 3 3 3 2" xfId="5194"/>
    <cellStyle name="常规 2 3 3 3 3 3 2 2" xfId="14614"/>
    <cellStyle name="常规 2 3 3 3 3 3 2 2 2" xfId="33462"/>
    <cellStyle name="常规 2 3 3 3 3 3 2 3" xfId="24038"/>
    <cellStyle name="常规 2 3 3 3 3 3 3" xfId="8330"/>
    <cellStyle name="常规 2 3 3 3 3 3 3 2" xfId="17750"/>
    <cellStyle name="常规 2 3 3 3 3 3 3 2 2" xfId="36598"/>
    <cellStyle name="常规 2 3 3 3 3 3 3 3" xfId="27174"/>
    <cellStyle name="常规 2 3 3 3 3 3 4" xfId="11478"/>
    <cellStyle name="常规 2 3 3 3 3 3 4 2" xfId="30326"/>
    <cellStyle name="常规 2 3 3 3 3 3 5" xfId="20902"/>
    <cellStyle name="常规 2 3 3 3 3 4" xfId="2842"/>
    <cellStyle name="常规 2 3 3 3 3 4 2" xfId="5978"/>
    <cellStyle name="常规 2 3 3 3 3 4 2 2" xfId="15398"/>
    <cellStyle name="常规 2 3 3 3 3 4 2 2 2" xfId="34246"/>
    <cellStyle name="常规 2 3 3 3 3 4 2 3" xfId="24822"/>
    <cellStyle name="常规 2 3 3 3 3 4 3" xfId="9114"/>
    <cellStyle name="常规 2 3 3 3 3 4 3 2" xfId="18534"/>
    <cellStyle name="常规 2 3 3 3 3 4 3 2 2" xfId="37382"/>
    <cellStyle name="常规 2 3 3 3 3 4 3 3" xfId="27958"/>
    <cellStyle name="常规 2 3 3 3 3 4 4" xfId="12262"/>
    <cellStyle name="常规 2 3 3 3 3 4 4 2" xfId="31110"/>
    <cellStyle name="常规 2 3 3 3 3 4 5" xfId="21686"/>
    <cellStyle name="常规 2 3 3 3 3 5" xfId="3626"/>
    <cellStyle name="常规 2 3 3 3 3 5 2" xfId="13046"/>
    <cellStyle name="常规 2 3 3 3 3 5 2 2" xfId="31894"/>
    <cellStyle name="常规 2 3 3 3 3 5 3" xfId="22470"/>
    <cellStyle name="常规 2 3 3 3 3 6" xfId="6762"/>
    <cellStyle name="常规 2 3 3 3 3 6 2" xfId="16182"/>
    <cellStyle name="常规 2 3 3 3 3 6 2 2" xfId="35030"/>
    <cellStyle name="常规 2 3 3 3 3 6 3" xfId="25606"/>
    <cellStyle name="常规 2 3 3 3 3 7" xfId="9910"/>
    <cellStyle name="常规 2 3 3 3 3 7 2" xfId="28758"/>
    <cellStyle name="常规 2 3 3 3 3 8" xfId="19334"/>
    <cellStyle name="常规 2 3 3 3 4" xfId="879"/>
    <cellStyle name="常规 2 3 3 3 4 2" xfId="4015"/>
    <cellStyle name="常规 2 3 3 3 4 2 2" xfId="13435"/>
    <cellStyle name="常规 2 3 3 3 4 2 2 2" xfId="32283"/>
    <cellStyle name="常规 2 3 3 3 4 2 3" xfId="22859"/>
    <cellStyle name="常规 2 3 3 3 4 3" xfId="7151"/>
    <cellStyle name="常规 2 3 3 3 4 3 2" xfId="16571"/>
    <cellStyle name="常规 2 3 3 3 4 3 2 2" xfId="35419"/>
    <cellStyle name="常规 2 3 3 3 4 3 3" xfId="25995"/>
    <cellStyle name="常规 2 3 3 3 4 4" xfId="10299"/>
    <cellStyle name="常规 2 3 3 3 4 4 2" xfId="29147"/>
    <cellStyle name="常规 2 3 3 3 4 5" xfId="19723"/>
    <cellStyle name="常规 2 3 3 3 5" xfId="1663"/>
    <cellStyle name="常规 2 3 3 3 5 2" xfId="4799"/>
    <cellStyle name="常规 2 3 3 3 5 2 2" xfId="14219"/>
    <cellStyle name="常规 2 3 3 3 5 2 2 2" xfId="33067"/>
    <cellStyle name="常规 2 3 3 3 5 2 3" xfId="23643"/>
    <cellStyle name="常规 2 3 3 3 5 3" xfId="7935"/>
    <cellStyle name="常规 2 3 3 3 5 3 2" xfId="17355"/>
    <cellStyle name="常规 2 3 3 3 5 3 2 2" xfId="36203"/>
    <cellStyle name="常规 2 3 3 3 5 3 3" xfId="26779"/>
    <cellStyle name="常规 2 3 3 3 5 4" xfId="11083"/>
    <cellStyle name="常规 2 3 3 3 5 4 2" xfId="29931"/>
    <cellStyle name="常规 2 3 3 3 5 5" xfId="20507"/>
    <cellStyle name="常规 2 3 3 3 6" xfId="2447"/>
    <cellStyle name="常规 2 3 3 3 6 2" xfId="5583"/>
    <cellStyle name="常规 2 3 3 3 6 2 2" xfId="15003"/>
    <cellStyle name="常规 2 3 3 3 6 2 2 2" xfId="33851"/>
    <cellStyle name="常规 2 3 3 3 6 2 3" xfId="24427"/>
    <cellStyle name="常规 2 3 3 3 6 3" xfId="8719"/>
    <cellStyle name="常规 2 3 3 3 6 3 2" xfId="18139"/>
    <cellStyle name="常规 2 3 3 3 6 3 2 2" xfId="36987"/>
    <cellStyle name="常规 2 3 3 3 6 3 3" xfId="27563"/>
    <cellStyle name="常规 2 3 3 3 6 4" xfId="11867"/>
    <cellStyle name="常规 2 3 3 3 6 4 2" xfId="30715"/>
    <cellStyle name="常规 2 3 3 3 6 5" xfId="21291"/>
    <cellStyle name="常规 2 3 3 3 7" xfId="3304"/>
    <cellStyle name="常规 2 3 3 3 7 2" xfId="12724"/>
    <cellStyle name="常规 2 3 3 3 7 2 2" xfId="31572"/>
    <cellStyle name="常规 2 3 3 3 7 3" xfId="22148"/>
    <cellStyle name="常规 2 3 3 3 8" xfId="6367"/>
    <cellStyle name="常规 2 3 3 3 8 2" xfId="15787"/>
    <cellStyle name="常规 2 3 3 3 8 2 2" xfId="34635"/>
    <cellStyle name="常规 2 3 3 3 8 3" xfId="25211"/>
    <cellStyle name="常规 2 3 3 3 9" xfId="9514"/>
    <cellStyle name="常规 2 3 3 3 9 2" xfId="28359"/>
    <cellStyle name="常规 2 3 3 4" xfId="93"/>
    <cellStyle name="常规 2 3 3 4 2" xfId="492"/>
    <cellStyle name="常规 2 3 3 4 2 2" xfId="1276"/>
    <cellStyle name="常规 2 3 3 4 2 2 2" xfId="4412"/>
    <cellStyle name="常规 2 3 3 4 2 2 2 2" xfId="13832"/>
    <cellStyle name="常规 2 3 3 4 2 2 2 2 2" xfId="32680"/>
    <cellStyle name="常规 2 3 3 4 2 2 2 3" xfId="23256"/>
    <cellStyle name="常规 2 3 3 4 2 2 3" xfId="7548"/>
    <cellStyle name="常规 2 3 3 4 2 2 3 2" xfId="16968"/>
    <cellStyle name="常规 2 3 3 4 2 2 3 2 2" xfId="35816"/>
    <cellStyle name="常规 2 3 3 4 2 2 3 3" xfId="26392"/>
    <cellStyle name="常规 2 3 3 4 2 2 4" xfId="10696"/>
    <cellStyle name="常规 2 3 3 4 2 2 4 2" xfId="29544"/>
    <cellStyle name="常规 2 3 3 4 2 2 5" xfId="20120"/>
    <cellStyle name="常规 2 3 3 4 2 3" xfId="2060"/>
    <cellStyle name="常规 2 3 3 4 2 3 2" xfId="5196"/>
    <cellStyle name="常规 2 3 3 4 2 3 2 2" xfId="14616"/>
    <cellStyle name="常规 2 3 3 4 2 3 2 2 2" xfId="33464"/>
    <cellStyle name="常规 2 3 3 4 2 3 2 3" xfId="24040"/>
    <cellStyle name="常规 2 3 3 4 2 3 3" xfId="8332"/>
    <cellStyle name="常规 2 3 3 4 2 3 3 2" xfId="17752"/>
    <cellStyle name="常规 2 3 3 4 2 3 3 2 2" xfId="36600"/>
    <cellStyle name="常规 2 3 3 4 2 3 3 3" xfId="27176"/>
    <cellStyle name="常规 2 3 3 4 2 3 4" xfId="11480"/>
    <cellStyle name="常规 2 3 3 4 2 3 4 2" xfId="30328"/>
    <cellStyle name="常规 2 3 3 4 2 3 5" xfId="20904"/>
    <cellStyle name="常规 2 3 3 4 2 4" xfId="2844"/>
    <cellStyle name="常规 2 3 3 4 2 4 2" xfId="5980"/>
    <cellStyle name="常规 2 3 3 4 2 4 2 2" xfId="15400"/>
    <cellStyle name="常规 2 3 3 4 2 4 2 2 2" xfId="34248"/>
    <cellStyle name="常规 2 3 3 4 2 4 2 3" xfId="24824"/>
    <cellStyle name="常规 2 3 3 4 2 4 3" xfId="9116"/>
    <cellStyle name="常规 2 3 3 4 2 4 3 2" xfId="18536"/>
    <cellStyle name="常规 2 3 3 4 2 4 3 2 2" xfId="37384"/>
    <cellStyle name="常规 2 3 3 4 2 4 3 3" xfId="27960"/>
    <cellStyle name="常规 2 3 3 4 2 4 4" xfId="12264"/>
    <cellStyle name="常规 2 3 3 4 2 4 4 2" xfId="31112"/>
    <cellStyle name="常规 2 3 3 4 2 4 5" xfId="21688"/>
    <cellStyle name="常规 2 3 3 4 2 5" xfId="3628"/>
    <cellStyle name="常规 2 3 3 4 2 5 2" xfId="13048"/>
    <cellStyle name="常规 2 3 3 4 2 5 2 2" xfId="31896"/>
    <cellStyle name="常规 2 3 3 4 2 5 3" xfId="22472"/>
    <cellStyle name="常规 2 3 3 4 2 6" xfId="6764"/>
    <cellStyle name="常规 2 3 3 4 2 6 2" xfId="16184"/>
    <cellStyle name="常规 2 3 3 4 2 6 2 2" xfId="35032"/>
    <cellStyle name="常规 2 3 3 4 2 6 3" xfId="25608"/>
    <cellStyle name="常规 2 3 3 4 2 7" xfId="9912"/>
    <cellStyle name="常规 2 3 3 4 2 7 2" xfId="28760"/>
    <cellStyle name="常规 2 3 3 4 2 8" xfId="19336"/>
    <cellStyle name="常规 2 3 3 4 3" xfId="881"/>
    <cellStyle name="常规 2 3 3 4 3 2" xfId="4017"/>
    <cellStyle name="常规 2 3 3 4 3 2 2" xfId="13437"/>
    <cellStyle name="常规 2 3 3 4 3 2 2 2" xfId="32285"/>
    <cellStyle name="常规 2 3 3 4 3 2 3" xfId="22861"/>
    <cellStyle name="常规 2 3 3 4 3 3" xfId="7153"/>
    <cellStyle name="常规 2 3 3 4 3 3 2" xfId="16573"/>
    <cellStyle name="常规 2 3 3 4 3 3 2 2" xfId="35421"/>
    <cellStyle name="常规 2 3 3 4 3 3 3" xfId="25997"/>
    <cellStyle name="常规 2 3 3 4 3 4" xfId="10301"/>
    <cellStyle name="常规 2 3 3 4 3 4 2" xfId="29149"/>
    <cellStyle name="常规 2 3 3 4 3 5" xfId="19725"/>
    <cellStyle name="常规 2 3 3 4 4" xfId="1665"/>
    <cellStyle name="常规 2 3 3 4 4 2" xfId="4801"/>
    <cellStyle name="常规 2 3 3 4 4 2 2" xfId="14221"/>
    <cellStyle name="常规 2 3 3 4 4 2 2 2" xfId="33069"/>
    <cellStyle name="常规 2 3 3 4 4 2 3" xfId="23645"/>
    <cellStyle name="常规 2 3 3 4 4 3" xfId="7937"/>
    <cellStyle name="常规 2 3 3 4 4 3 2" xfId="17357"/>
    <cellStyle name="常规 2 3 3 4 4 3 2 2" xfId="36205"/>
    <cellStyle name="常规 2 3 3 4 4 3 3" xfId="26781"/>
    <cellStyle name="常规 2 3 3 4 4 4" xfId="11085"/>
    <cellStyle name="常规 2 3 3 4 4 4 2" xfId="29933"/>
    <cellStyle name="常规 2 3 3 4 4 5" xfId="20509"/>
    <cellStyle name="常规 2 3 3 4 5" xfId="2449"/>
    <cellStyle name="常规 2 3 3 4 5 2" xfId="5585"/>
    <cellStyle name="常规 2 3 3 4 5 2 2" xfId="15005"/>
    <cellStyle name="常规 2 3 3 4 5 2 2 2" xfId="33853"/>
    <cellStyle name="常规 2 3 3 4 5 2 3" xfId="24429"/>
    <cellStyle name="常规 2 3 3 4 5 3" xfId="8721"/>
    <cellStyle name="常规 2 3 3 4 5 3 2" xfId="18141"/>
    <cellStyle name="常规 2 3 3 4 5 3 2 2" xfId="36989"/>
    <cellStyle name="常规 2 3 3 4 5 3 3" xfId="27565"/>
    <cellStyle name="常规 2 3 3 4 5 4" xfId="11869"/>
    <cellStyle name="常规 2 3 3 4 5 4 2" xfId="30717"/>
    <cellStyle name="常规 2 3 3 4 5 5" xfId="21293"/>
    <cellStyle name="常规 2 3 3 4 6" xfId="3306"/>
    <cellStyle name="常规 2 3 3 4 6 2" xfId="12726"/>
    <cellStyle name="常规 2 3 3 4 6 2 2" xfId="31574"/>
    <cellStyle name="常规 2 3 3 4 6 3" xfId="22150"/>
    <cellStyle name="常规 2 3 3 4 7" xfId="6369"/>
    <cellStyle name="常规 2 3 3 4 7 2" xfId="15789"/>
    <cellStyle name="常规 2 3 3 4 7 2 2" xfId="34637"/>
    <cellStyle name="常规 2 3 3 4 7 3" xfId="25213"/>
    <cellStyle name="常规 2 3 3 4 8" xfId="9516"/>
    <cellStyle name="常规 2 3 3 4 8 2" xfId="28361"/>
    <cellStyle name="常规 2 3 3 4 9" xfId="18939"/>
    <cellStyle name="常规 2 3 3 5" xfId="485"/>
    <cellStyle name="常规 2 3 3 5 2" xfId="1269"/>
    <cellStyle name="常规 2 3 3 5 2 2" xfId="4405"/>
    <cellStyle name="常规 2 3 3 5 2 2 2" xfId="13825"/>
    <cellStyle name="常规 2 3 3 5 2 2 2 2" xfId="32673"/>
    <cellStyle name="常规 2 3 3 5 2 2 3" xfId="23249"/>
    <cellStyle name="常规 2 3 3 5 2 3" xfId="7541"/>
    <cellStyle name="常规 2 3 3 5 2 3 2" xfId="16961"/>
    <cellStyle name="常规 2 3 3 5 2 3 2 2" xfId="35809"/>
    <cellStyle name="常规 2 3 3 5 2 3 3" xfId="26385"/>
    <cellStyle name="常规 2 3 3 5 2 4" xfId="10689"/>
    <cellStyle name="常规 2 3 3 5 2 4 2" xfId="29537"/>
    <cellStyle name="常规 2 3 3 5 2 5" xfId="20113"/>
    <cellStyle name="常规 2 3 3 5 3" xfId="2053"/>
    <cellStyle name="常规 2 3 3 5 3 2" xfId="5189"/>
    <cellStyle name="常规 2 3 3 5 3 2 2" xfId="14609"/>
    <cellStyle name="常规 2 3 3 5 3 2 2 2" xfId="33457"/>
    <cellStyle name="常规 2 3 3 5 3 2 3" xfId="24033"/>
    <cellStyle name="常规 2 3 3 5 3 3" xfId="8325"/>
    <cellStyle name="常规 2 3 3 5 3 3 2" xfId="17745"/>
    <cellStyle name="常规 2 3 3 5 3 3 2 2" xfId="36593"/>
    <cellStyle name="常规 2 3 3 5 3 3 3" xfId="27169"/>
    <cellStyle name="常规 2 3 3 5 3 4" xfId="11473"/>
    <cellStyle name="常规 2 3 3 5 3 4 2" xfId="30321"/>
    <cellStyle name="常规 2 3 3 5 3 5" xfId="20897"/>
    <cellStyle name="常规 2 3 3 5 4" xfId="2837"/>
    <cellStyle name="常规 2 3 3 5 4 2" xfId="5973"/>
    <cellStyle name="常规 2 3 3 5 4 2 2" xfId="15393"/>
    <cellStyle name="常规 2 3 3 5 4 2 2 2" xfId="34241"/>
    <cellStyle name="常规 2 3 3 5 4 2 3" xfId="24817"/>
    <cellStyle name="常规 2 3 3 5 4 3" xfId="9109"/>
    <cellStyle name="常规 2 3 3 5 4 3 2" xfId="18529"/>
    <cellStyle name="常规 2 3 3 5 4 3 2 2" xfId="37377"/>
    <cellStyle name="常规 2 3 3 5 4 3 3" xfId="27953"/>
    <cellStyle name="常规 2 3 3 5 4 4" xfId="12257"/>
    <cellStyle name="常规 2 3 3 5 4 4 2" xfId="31105"/>
    <cellStyle name="常规 2 3 3 5 4 5" xfId="21681"/>
    <cellStyle name="常规 2 3 3 5 5" xfId="3621"/>
    <cellStyle name="常规 2 3 3 5 5 2" xfId="13041"/>
    <cellStyle name="常规 2 3 3 5 5 2 2" xfId="31889"/>
    <cellStyle name="常规 2 3 3 5 5 3" xfId="22465"/>
    <cellStyle name="常规 2 3 3 5 6" xfId="6757"/>
    <cellStyle name="常规 2 3 3 5 6 2" xfId="16177"/>
    <cellStyle name="常规 2 3 3 5 6 2 2" xfId="35025"/>
    <cellStyle name="常规 2 3 3 5 6 3" xfId="25601"/>
    <cellStyle name="常规 2 3 3 5 7" xfId="9905"/>
    <cellStyle name="常规 2 3 3 5 7 2" xfId="28753"/>
    <cellStyle name="常规 2 3 3 5 8" xfId="19329"/>
    <cellStyle name="常规 2 3 3 6" xfId="874"/>
    <cellStyle name="常规 2 3 3 6 2" xfId="4010"/>
    <cellStyle name="常规 2 3 3 6 2 2" xfId="13430"/>
    <cellStyle name="常规 2 3 3 6 2 2 2" xfId="32278"/>
    <cellStyle name="常规 2 3 3 6 2 3" xfId="22854"/>
    <cellStyle name="常规 2 3 3 6 3" xfId="7146"/>
    <cellStyle name="常规 2 3 3 6 3 2" xfId="16566"/>
    <cellStyle name="常规 2 3 3 6 3 2 2" xfId="35414"/>
    <cellStyle name="常规 2 3 3 6 3 3" xfId="25990"/>
    <cellStyle name="常规 2 3 3 6 4" xfId="10294"/>
    <cellStyle name="常规 2 3 3 6 4 2" xfId="29142"/>
    <cellStyle name="常规 2 3 3 6 5" xfId="19718"/>
    <cellStyle name="常规 2 3 3 7" xfId="1658"/>
    <cellStyle name="常规 2 3 3 7 2" xfId="4794"/>
    <cellStyle name="常规 2 3 3 7 2 2" xfId="14214"/>
    <cellStyle name="常规 2 3 3 7 2 2 2" xfId="33062"/>
    <cellStyle name="常规 2 3 3 7 2 3" xfId="23638"/>
    <cellStyle name="常规 2 3 3 7 3" xfId="7930"/>
    <cellStyle name="常规 2 3 3 7 3 2" xfId="17350"/>
    <cellStyle name="常规 2 3 3 7 3 2 2" xfId="36198"/>
    <cellStyle name="常规 2 3 3 7 3 3" xfId="26774"/>
    <cellStyle name="常规 2 3 3 7 4" xfId="11078"/>
    <cellStyle name="常规 2 3 3 7 4 2" xfId="29926"/>
    <cellStyle name="常规 2 3 3 7 5" xfId="20502"/>
    <cellStyle name="常规 2 3 3 8" xfId="2442"/>
    <cellStyle name="常规 2 3 3 8 2" xfId="5578"/>
    <cellStyle name="常规 2 3 3 8 2 2" xfId="14998"/>
    <cellStyle name="常规 2 3 3 8 2 2 2" xfId="33846"/>
    <cellStyle name="常规 2 3 3 8 2 3" xfId="24422"/>
    <cellStyle name="常规 2 3 3 8 3" xfId="8714"/>
    <cellStyle name="常规 2 3 3 8 3 2" xfId="18134"/>
    <cellStyle name="常规 2 3 3 8 3 2 2" xfId="36982"/>
    <cellStyle name="常规 2 3 3 8 3 3" xfId="27558"/>
    <cellStyle name="常规 2 3 3 8 4" xfId="11862"/>
    <cellStyle name="常规 2 3 3 8 4 2" xfId="30710"/>
    <cellStyle name="常规 2 3 3 8 5" xfId="21286"/>
    <cellStyle name="常规 2 3 3 9" xfId="3158"/>
    <cellStyle name="常规 2 3 3 9 2" xfId="12578"/>
    <cellStyle name="常规 2 3 3 9 2 2" xfId="31426"/>
    <cellStyle name="常规 2 3 3 9 3" xfId="22002"/>
    <cellStyle name="常规 2 3 4" xfId="94"/>
    <cellStyle name="常规 2 3 4 10" xfId="9517"/>
    <cellStyle name="常规 2 3 4 10 2" xfId="28362"/>
    <cellStyle name="常规 2 3 4 11" xfId="18940"/>
    <cellStyle name="常规 2 3 4 2" xfId="95"/>
    <cellStyle name="常规 2 3 4 2 10" xfId="18941"/>
    <cellStyle name="常规 2 3 4 2 2" xfId="96"/>
    <cellStyle name="常规 2 3 4 2 2 2" xfId="495"/>
    <cellStyle name="常规 2 3 4 2 2 2 2" xfId="1279"/>
    <cellStyle name="常规 2 3 4 2 2 2 2 2" xfId="4415"/>
    <cellStyle name="常规 2 3 4 2 2 2 2 2 2" xfId="13835"/>
    <cellStyle name="常规 2 3 4 2 2 2 2 2 2 2" xfId="32683"/>
    <cellStyle name="常规 2 3 4 2 2 2 2 2 3" xfId="23259"/>
    <cellStyle name="常规 2 3 4 2 2 2 2 3" xfId="7551"/>
    <cellStyle name="常规 2 3 4 2 2 2 2 3 2" xfId="16971"/>
    <cellStyle name="常规 2 3 4 2 2 2 2 3 2 2" xfId="35819"/>
    <cellStyle name="常规 2 3 4 2 2 2 2 3 3" xfId="26395"/>
    <cellStyle name="常规 2 3 4 2 2 2 2 4" xfId="10699"/>
    <cellStyle name="常规 2 3 4 2 2 2 2 4 2" xfId="29547"/>
    <cellStyle name="常规 2 3 4 2 2 2 2 5" xfId="20123"/>
    <cellStyle name="常规 2 3 4 2 2 2 3" xfId="2063"/>
    <cellStyle name="常规 2 3 4 2 2 2 3 2" xfId="5199"/>
    <cellStyle name="常规 2 3 4 2 2 2 3 2 2" xfId="14619"/>
    <cellStyle name="常规 2 3 4 2 2 2 3 2 2 2" xfId="33467"/>
    <cellStyle name="常规 2 3 4 2 2 2 3 2 3" xfId="24043"/>
    <cellStyle name="常规 2 3 4 2 2 2 3 3" xfId="8335"/>
    <cellStyle name="常规 2 3 4 2 2 2 3 3 2" xfId="17755"/>
    <cellStyle name="常规 2 3 4 2 2 2 3 3 2 2" xfId="36603"/>
    <cellStyle name="常规 2 3 4 2 2 2 3 3 3" xfId="27179"/>
    <cellStyle name="常规 2 3 4 2 2 2 3 4" xfId="11483"/>
    <cellStyle name="常规 2 3 4 2 2 2 3 4 2" xfId="30331"/>
    <cellStyle name="常规 2 3 4 2 2 2 3 5" xfId="20907"/>
    <cellStyle name="常规 2 3 4 2 2 2 4" xfId="2847"/>
    <cellStyle name="常规 2 3 4 2 2 2 4 2" xfId="5983"/>
    <cellStyle name="常规 2 3 4 2 2 2 4 2 2" xfId="15403"/>
    <cellStyle name="常规 2 3 4 2 2 2 4 2 2 2" xfId="34251"/>
    <cellStyle name="常规 2 3 4 2 2 2 4 2 3" xfId="24827"/>
    <cellStyle name="常规 2 3 4 2 2 2 4 3" xfId="9119"/>
    <cellStyle name="常规 2 3 4 2 2 2 4 3 2" xfId="18539"/>
    <cellStyle name="常规 2 3 4 2 2 2 4 3 2 2" xfId="37387"/>
    <cellStyle name="常规 2 3 4 2 2 2 4 3 3" xfId="27963"/>
    <cellStyle name="常规 2 3 4 2 2 2 4 4" xfId="12267"/>
    <cellStyle name="常规 2 3 4 2 2 2 4 4 2" xfId="31115"/>
    <cellStyle name="常规 2 3 4 2 2 2 4 5" xfId="21691"/>
    <cellStyle name="常规 2 3 4 2 2 2 5" xfId="3631"/>
    <cellStyle name="常规 2 3 4 2 2 2 5 2" xfId="13051"/>
    <cellStyle name="常规 2 3 4 2 2 2 5 2 2" xfId="31899"/>
    <cellStyle name="常规 2 3 4 2 2 2 5 3" xfId="22475"/>
    <cellStyle name="常规 2 3 4 2 2 2 6" xfId="6767"/>
    <cellStyle name="常规 2 3 4 2 2 2 6 2" xfId="16187"/>
    <cellStyle name="常规 2 3 4 2 2 2 6 2 2" xfId="35035"/>
    <cellStyle name="常规 2 3 4 2 2 2 6 3" xfId="25611"/>
    <cellStyle name="常规 2 3 4 2 2 2 7" xfId="9915"/>
    <cellStyle name="常规 2 3 4 2 2 2 7 2" xfId="28763"/>
    <cellStyle name="常规 2 3 4 2 2 2 8" xfId="19339"/>
    <cellStyle name="常规 2 3 4 2 2 3" xfId="884"/>
    <cellStyle name="常规 2 3 4 2 2 3 2" xfId="4020"/>
    <cellStyle name="常规 2 3 4 2 2 3 2 2" xfId="13440"/>
    <cellStyle name="常规 2 3 4 2 2 3 2 2 2" xfId="32288"/>
    <cellStyle name="常规 2 3 4 2 2 3 2 3" xfId="22864"/>
    <cellStyle name="常规 2 3 4 2 2 3 3" xfId="7156"/>
    <cellStyle name="常规 2 3 4 2 2 3 3 2" xfId="16576"/>
    <cellStyle name="常规 2 3 4 2 2 3 3 2 2" xfId="35424"/>
    <cellStyle name="常规 2 3 4 2 2 3 3 3" xfId="26000"/>
    <cellStyle name="常规 2 3 4 2 2 3 4" xfId="10304"/>
    <cellStyle name="常规 2 3 4 2 2 3 4 2" xfId="29152"/>
    <cellStyle name="常规 2 3 4 2 2 3 5" xfId="19728"/>
    <cellStyle name="常规 2 3 4 2 2 4" xfId="1668"/>
    <cellStyle name="常规 2 3 4 2 2 4 2" xfId="4804"/>
    <cellStyle name="常规 2 3 4 2 2 4 2 2" xfId="14224"/>
    <cellStyle name="常规 2 3 4 2 2 4 2 2 2" xfId="33072"/>
    <cellStyle name="常规 2 3 4 2 2 4 2 3" xfId="23648"/>
    <cellStyle name="常规 2 3 4 2 2 4 3" xfId="7940"/>
    <cellStyle name="常规 2 3 4 2 2 4 3 2" xfId="17360"/>
    <cellStyle name="常规 2 3 4 2 2 4 3 2 2" xfId="36208"/>
    <cellStyle name="常规 2 3 4 2 2 4 3 3" xfId="26784"/>
    <cellStyle name="常规 2 3 4 2 2 4 4" xfId="11088"/>
    <cellStyle name="常规 2 3 4 2 2 4 4 2" xfId="29936"/>
    <cellStyle name="常规 2 3 4 2 2 4 5" xfId="20512"/>
    <cellStyle name="常规 2 3 4 2 2 5" xfId="2452"/>
    <cellStyle name="常规 2 3 4 2 2 5 2" xfId="5588"/>
    <cellStyle name="常规 2 3 4 2 2 5 2 2" xfId="15008"/>
    <cellStyle name="常规 2 3 4 2 2 5 2 2 2" xfId="33856"/>
    <cellStyle name="常规 2 3 4 2 2 5 2 3" xfId="24432"/>
    <cellStyle name="常规 2 3 4 2 2 5 3" xfId="8724"/>
    <cellStyle name="常规 2 3 4 2 2 5 3 2" xfId="18144"/>
    <cellStyle name="常规 2 3 4 2 2 5 3 2 2" xfId="36992"/>
    <cellStyle name="常规 2 3 4 2 2 5 3 3" xfId="27568"/>
    <cellStyle name="常规 2 3 4 2 2 5 4" xfId="11872"/>
    <cellStyle name="常规 2 3 4 2 2 5 4 2" xfId="30720"/>
    <cellStyle name="常规 2 3 4 2 2 5 5" xfId="21296"/>
    <cellStyle name="常规 2 3 4 2 2 6" xfId="3308"/>
    <cellStyle name="常规 2 3 4 2 2 6 2" xfId="12728"/>
    <cellStyle name="常规 2 3 4 2 2 6 2 2" xfId="31576"/>
    <cellStyle name="常规 2 3 4 2 2 6 3" xfId="22152"/>
    <cellStyle name="常规 2 3 4 2 2 7" xfId="6372"/>
    <cellStyle name="常规 2 3 4 2 2 7 2" xfId="15792"/>
    <cellStyle name="常规 2 3 4 2 2 7 2 2" xfId="34640"/>
    <cellStyle name="常规 2 3 4 2 2 7 3" xfId="25216"/>
    <cellStyle name="常规 2 3 4 2 2 8" xfId="9519"/>
    <cellStyle name="常规 2 3 4 2 2 8 2" xfId="28364"/>
    <cellStyle name="常规 2 3 4 2 2 9" xfId="18942"/>
    <cellStyle name="常规 2 3 4 2 3" xfId="494"/>
    <cellStyle name="常规 2 3 4 2 3 2" xfId="1278"/>
    <cellStyle name="常规 2 3 4 2 3 2 2" xfId="4414"/>
    <cellStyle name="常规 2 3 4 2 3 2 2 2" xfId="13834"/>
    <cellStyle name="常规 2 3 4 2 3 2 2 2 2" xfId="32682"/>
    <cellStyle name="常规 2 3 4 2 3 2 2 3" xfId="23258"/>
    <cellStyle name="常规 2 3 4 2 3 2 3" xfId="7550"/>
    <cellStyle name="常规 2 3 4 2 3 2 3 2" xfId="16970"/>
    <cellStyle name="常规 2 3 4 2 3 2 3 2 2" xfId="35818"/>
    <cellStyle name="常规 2 3 4 2 3 2 3 3" xfId="26394"/>
    <cellStyle name="常规 2 3 4 2 3 2 4" xfId="10698"/>
    <cellStyle name="常规 2 3 4 2 3 2 4 2" xfId="29546"/>
    <cellStyle name="常规 2 3 4 2 3 2 5" xfId="20122"/>
    <cellStyle name="常规 2 3 4 2 3 3" xfId="2062"/>
    <cellStyle name="常规 2 3 4 2 3 3 2" xfId="5198"/>
    <cellStyle name="常规 2 3 4 2 3 3 2 2" xfId="14618"/>
    <cellStyle name="常规 2 3 4 2 3 3 2 2 2" xfId="33466"/>
    <cellStyle name="常规 2 3 4 2 3 3 2 3" xfId="24042"/>
    <cellStyle name="常规 2 3 4 2 3 3 3" xfId="8334"/>
    <cellStyle name="常规 2 3 4 2 3 3 3 2" xfId="17754"/>
    <cellStyle name="常规 2 3 4 2 3 3 3 2 2" xfId="36602"/>
    <cellStyle name="常规 2 3 4 2 3 3 3 3" xfId="27178"/>
    <cellStyle name="常规 2 3 4 2 3 3 4" xfId="11482"/>
    <cellStyle name="常规 2 3 4 2 3 3 4 2" xfId="30330"/>
    <cellStyle name="常规 2 3 4 2 3 3 5" xfId="20906"/>
    <cellStyle name="常规 2 3 4 2 3 4" xfId="2846"/>
    <cellStyle name="常规 2 3 4 2 3 4 2" xfId="5982"/>
    <cellStyle name="常规 2 3 4 2 3 4 2 2" xfId="15402"/>
    <cellStyle name="常规 2 3 4 2 3 4 2 2 2" xfId="34250"/>
    <cellStyle name="常规 2 3 4 2 3 4 2 3" xfId="24826"/>
    <cellStyle name="常规 2 3 4 2 3 4 3" xfId="9118"/>
    <cellStyle name="常规 2 3 4 2 3 4 3 2" xfId="18538"/>
    <cellStyle name="常规 2 3 4 2 3 4 3 2 2" xfId="37386"/>
    <cellStyle name="常规 2 3 4 2 3 4 3 3" xfId="27962"/>
    <cellStyle name="常规 2 3 4 2 3 4 4" xfId="12266"/>
    <cellStyle name="常规 2 3 4 2 3 4 4 2" xfId="31114"/>
    <cellStyle name="常规 2 3 4 2 3 4 5" xfId="21690"/>
    <cellStyle name="常规 2 3 4 2 3 5" xfId="3630"/>
    <cellStyle name="常规 2 3 4 2 3 5 2" xfId="13050"/>
    <cellStyle name="常规 2 3 4 2 3 5 2 2" xfId="31898"/>
    <cellStyle name="常规 2 3 4 2 3 5 3" xfId="22474"/>
    <cellStyle name="常规 2 3 4 2 3 6" xfId="6766"/>
    <cellStyle name="常规 2 3 4 2 3 6 2" xfId="16186"/>
    <cellStyle name="常规 2 3 4 2 3 6 2 2" xfId="35034"/>
    <cellStyle name="常规 2 3 4 2 3 6 3" xfId="25610"/>
    <cellStyle name="常规 2 3 4 2 3 7" xfId="9914"/>
    <cellStyle name="常规 2 3 4 2 3 7 2" xfId="28762"/>
    <cellStyle name="常规 2 3 4 2 3 8" xfId="19338"/>
    <cellStyle name="常规 2 3 4 2 4" xfId="883"/>
    <cellStyle name="常规 2 3 4 2 4 2" xfId="4019"/>
    <cellStyle name="常规 2 3 4 2 4 2 2" xfId="13439"/>
    <cellStyle name="常规 2 3 4 2 4 2 2 2" xfId="32287"/>
    <cellStyle name="常规 2 3 4 2 4 2 3" xfId="22863"/>
    <cellStyle name="常规 2 3 4 2 4 3" xfId="7155"/>
    <cellStyle name="常规 2 3 4 2 4 3 2" xfId="16575"/>
    <cellStyle name="常规 2 3 4 2 4 3 2 2" xfId="35423"/>
    <cellStyle name="常规 2 3 4 2 4 3 3" xfId="25999"/>
    <cellStyle name="常规 2 3 4 2 4 4" xfId="10303"/>
    <cellStyle name="常规 2 3 4 2 4 4 2" xfId="29151"/>
    <cellStyle name="常规 2 3 4 2 4 5" xfId="19727"/>
    <cellStyle name="常规 2 3 4 2 5" xfId="1667"/>
    <cellStyle name="常规 2 3 4 2 5 2" xfId="4803"/>
    <cellStyle name="常规 2 3 4 2 5 2 2" xfId="14223"/>
    <cellStyle name="常规 2 3 4 2 5 2 2 2" xfId="33071"/>
    <cellStyle name="常规 2 3 4 2 5 2 3" xfId="23647"/>
    <cellStyle name="常规 2 3 4 2 5 3" xfId="7939"/>
    <cellStyle name="常规 2 3 4 2 5 3 2" xfId="17359"/>
    <cellStyle name="常规 2 3 4 2 5 3 2 2" xfId="36207"/>
    <cellStyle name="常规 2 3 4 2 5 3 3" xfId="26783"/>
    <cellStyle name="常规 2 3 4 2 5 4" xfId="11087"/>
    <cellStyle name="常规 2 3 4 2 5 4 2" xfId="29935"/>
    <cellStyle name="常规 2 3 4 2 5 5" xfId="20511"/>
    <cellStyle name="常规 2 3 4 2 6" xfId="2451"/>
    <cellStyle name="常规 2 3 4 2 6 2" xfId="5587"/>
    <cellStyle name="常规 2 3 4 2 6 2 2" xfId="15007"/>
    <cellStyle name="常规 2 3 4 2 6 2 2 2" xfId="33855"/>
    <cellStyle name="常规 2 3 4 2 6 2 3" xfId="24431"/>
    <cellStyle name="常规 2 3 4 2 6 3" xfId="8723"/>
    <cellStyle name="常规 2 3 4 2 6 3 2" xfId="18143"/>
    <cellStyle name="常规 2 3 4 2 6 3 2 2" xfId="36991"/>
    <cellStyle name="常规 2 3 4 2 6 3 3" xfId="27567"/>
    <cellStyle name="常规 2 3 4 2 6 4" xfId="11871"/>
    <cellStyle name="常规 2 3 4 2 6 4 2" xfId="30719"/>
    <cellStyle name="常规 2 3 4 2 6 5" xfId="21295"/>
    <cellStyle name="常规 2 3 4 2 7" xfId="3307"/>
    <cellStyle name="常规 2 3 4 2 7 2" xfId="12727"/>
    <cellStyle name="常规 2 3 4 2 7 2 2" xfId="31575"/>
    <cellStyle name="常规 2 3 4 2 7 3" xfId="22151"/>
    <cellStyle name="常规 2 3 4 2 8" xfId="6371"/>
    <cellStyle name="常规 2 3 4 2 8 2" xfId="15791"/>
    <cellStyle name="常规 2 3 4 2 8 2 2" xfId="34639"/>
    <cellStyle name="常规 2 3 4 2 8 3" xfId="25215"/>
    <cellStyle name="常规 2 3 4 2 9" xfId="9518"/>
    <cellStyle name="常规 2 3 4 2 9 2" xfId="28363"/>
    <cellStyle name="常规 2 3 4 3" xfId="97"/>
    <cellStyle name="常规 2 3 4 3 2" xfId="496"/>
    <cellStyle name="常规 2 3 4 3 2 2" xfId="1280"/>
    <cellStyle name="常规 2 3 4 3 2 2 2" xfId="4416"/>
    <cellStyle name="常规 2 3 4 3 2 2 2 2" xfId="13836"/>
    <cellStyle name="常规 2 3 4 3 2 2 2 2 2" xfId="32684"/>
    <cellStyle name="常规 2 3 4 3 2 2 2 3" xfId="23260"/>
    <cellStyle name="常规 2 3 4 3 2 2 3" xfId="7552"/>
    <cellStyle name="常规 2 3 4 3 2 2 3 2" xfId="16972"/>
    <cellStyle name="常规 2 3 4 3 2 2 3 2 2" xfId="35820"/>
    <cellStyle name="常规 2 3 4 3 2 2 3 3" xfId="26396"/>
    <cellStyle name="常规 2 3 4 3 2 2 4" xfId="10700"/>
    <cellStyle name="常规 2 3 4 3 2 2 4 2" xfId="29548"/>
    <cellStyle name="常规 2 3 4 3 2 2 5" xfId="20124"/>
    <cellStyle name="常规 2 3 4 3 2 3" xfId="2064"/>
    <cellStyle name="常规 2 3 4 3 2 3 2" xfId="5200"/>
    <cellStyle name="常规 2 3 4 3 2 3 2 2" xfId="14620"/>
    <cellStyle name="常规 2 3 4 3 2 3 2 2 2" xfId="33468"/>
    <cellStyle name="常规 2 3 4 3 2 3 2 3" xfId="24044"/>
    <cellStyle name="常规 2 3 4 3 2 3 3" xfId="8336"/>
    <cellStyle name="常规 2 3 4 3 2 3 3 2" xfId="17756"/>
    <cellStyle name="常规 2 3 4 3 2 3 3 2 2" xfId="36604"/>
    <cellStyle name="常规 2 3 4 3 2 3 3 3" xfId="27180"/>
    <cellStyle name="常规 2 3 4 3 2 3 4" xfId="11484"/>
    <cellStyle name="常规 2 3 4 3 2 3 4 2" xfId="30332"/>
    <cellStyle name="常规 2 3 4 3 2 3 5" xfId="20908"/>
    <cellStyle name="常规 2 3 4 3 2 4" xfId="2848"/>
    <cellStyle name="常规 2 3 4 3 2 4 2" xfId="5984"/>
    <cellStyle name="常规 2 3 4 3 2 4 2 2" xfId="15404"/>
    <cellStyle name="常规 2 3 4 3 2 4 2 2 2" xfId="34252"/>
    <cellStyle name="常规 2 3 4 3 2 4 2 3" xfId="24828"/>
    <cellStyle name="常规 2 3 4 3 2 4 3" xfId="9120"/>
    <cellStyle name="常规 2 3 4 3 2 4 3 2" xfId="18540"/>
    <cellStyle name="常规 2 3 4 3 2 4 3 2 2" xfId="37388"/>
    <cellStyle name="常规 2 3 4 3 2 4 3 3" xfId="27964"/>
    <cellStyle name="常规 2 3 4 3 2 4 4" xfId="12268"/>
    <cellStyle name="常规 2 3 4 3 2 4 4 2" xfId="31116"/>
    <cellStyle name="常规 2 3 4 3 2 4 5" xfId="21692"/>
    <cellStyle name="常规 2 3 4 3 2 5" xfId="3632"/>
    <cellStyle name="常规 2 3 4 3 2 5 2" xfId="13052"/>
    <cellStyle name="常规 2 3 4 3 2 5 2 2" xfId="31900"/>
    <cellStyle name="常规 2 3 4 3 2 5 3" xfId="22476"/>
    <cellStyle name="常规 2 3 4 3 2 6" xfId="6768"/>
    <cellStyle name="常规 2 3 4 3 2 6 2" xfId="16188"/>
    <cellStyle name="常规 2 3 4 3 2 6 2 2" xfId="35036"/>
    <cellStyle name="常规 2 3 4 3 2 6 3" xfId="25612"/>
    <cellStyle name="常规 2 3 4 3 2 7" xfId="9916"/>
    <cellStyle name="常规 2 3 4 3 2 7 2" xfId="28764"/>
    <cellStyle name="常规 2 3 4 3 2 8" xfId="19340"/>
    <cellStyle name="常规 2 3 4 3 3" xfId="885"/>
    <cellStyle name="常规 2 3 4 3 3 2" xfId="4021"/>
    <cellStyle name="常规 2 3 4 3 3 2 2" xfId="13441"/>
    <cellStyle name="常规 2 3 4 3 3 2 2 2" xfId="32289"/>
    <cellStyle name="常规 2 3 4 3 3 2 3" xfId="22865"/>
    <cellStyle name="常规 2 3 4 3 3 3" xfId="7157"/>
    <cellStyle name="常规 2 3 4 3 3 3 2" xfId="16577"/>
    <cellStyle name="常规 2 3 4 3 3 3 2 2" xfId="35425"/>
    <cellStyle name="常规 2 3 4 3 3 3 3" xfId="26001"/>
    <cellStyle name="常规 2 3 4 3 3 4" xfId="10305"/>
    <cellStyle name="常规 2 3 4 3 3 4 2" xfId="29153"/>
    <cellStyle name="常规 2 3 4 3 3 5" xfId="19729"/>
    <cellStyle name="常规 2 3 4 3 4" xfId="1669"/>
    <cellStyle name="常规 2 3 4 3 4 2" xfId="4805"/>
    <cellStyle name="常规 2 3 4 3 4 2 2" xfId="14225"/>
    <cellStyle name="常规 2 3 4 3 4 2 2 2" xfId="33073"/>
    <cellStyle name="常规 2 3 4 3 4 2 3" xfId="23649"/>
    <cellStyle name="常规 2 3 4 3 4 3" xfId="7941"/>
    <cellStyle name="常规 2 3 4 3 4 3 2" xfId="17361"/>
    <cellStyle name="常规 2 3 4 3 4 3 2 2" xfId="36209"/>
    <cellStyle name="常规 2 3 4 3 4 3 3" xfId="26785"/>
    <cellStyle name="常规 2 3 4 3 4 4" xfId="11089"/>
    <cellStyle name="常规 2 3 4 3 4 4 2" xfId="29937"/>
    <cellStyle name="常规 2 3 4 3 4 5" xfId="20513"/>
    <cellStyle name="常规 2 3 4 3 5" xfId="2453"/>
    <cellStyle name="常规 2 3 4 3 5 2" xfId="5589"/>
    <cellStyle name="常规 2 3 4 3 5 2 2" xfId="15009"/>
    <cellStyle name="常规 2 3 4 3 5 2 2 2" xfId="33857"/>
    <cellStyle name="常规 2 3 4 3 5 2 3" xfId="24433"/>
    <cellStyle name="常规 2 3 4 3 5 3" xfId="8725"/>
    <cellStyle name="常规 2 3 4 3 5 3 2" xfId="18145"/>
    <cellStyle name="常规 2 3 4 3 5 3 2 2" xfId="36993"/>
    <cellStyle name="常规 2 3 4 3 5 3 3" xfId="27569"/>
    <cellStyle name="常规 2 3 4 3 5 4" xfId="11873"/>
    <cellStyle name="常规 2 3 4 3 5 4 2" xfId="30721"/>
    <cellStyle name="常规 2 3 4 3 5 5" xfId="21297"/>
    <cellStyle name="常规 2 3 4 3 6" xfId="3309"/>
    <cellStyle name="常规 2 3 4 3 6 2" xfId="12729"/>
    <cellStyle name="常规 2 3 4 3 6 2 2" xfId="31577"/>
    <cellStyle name="常规 2 3 4 3 6 3" xfId="22153"/>
    <cellStyle name="常规 2 3 4 3 7" xfId="6373"/>
    <cellStyle name="常规 2 3 4 3 7 2" xfId="15793"/>
    <cellStyle name="常规 2 3 4 3 7 2 2" xfId="34641"/>
    <cellStyle name="常规 2 3 4 3 7 3" xfId="25217"/>
    <cellStyle name="常规 2 3 4 3 8" xfId="9520"/>
    <cellStyle name="常规 2 3 4 3 8 2" xfId="28365"/>
    <cellStyle name="常规 2 3 4 3 9" xfId="18943"/>
    <cellStyle name="常规 2 3 4 4" xfId="493"/>
    <cellStyle name="常规 2 3 4 4 2" xfId="1277"/>
    <cellStyle name="常规 2 3 4 4 2 2" xfId="4413"/>
    <cellStyle name="常规 2 3 4 4 2 2 2" xfId="13833"/>
    <cellStyle name="常规 2 3 4 4 2 2 2 2" xfId="32681"/>
    <cellStyle name="常规 2 3 4 4 2 2 3" xfId="23257"/>
    <cellStyle name="常规 2 3 4 4 2 3" xfId="7549"/>
    <cellStyle name="常规 2 3 4 4 2 3 2" xfId="16969"/>
    <cellStyle name="常规 2 3 4 4 2 3 2 2" xfId="35817"/>
    <cellStyle name="常规 2 3 4 4 2 3 3" xfId="26393"/>
    <cellStyle name="常规 2 3 4 4 2 4" xfId="10697"/>
    <cellStyle name="常规 2 3 4 4 2 4 2" xfId="29545"/>
    <cellStyle name="常规 2 3 4 4 2 5" xfId="20121"/>
    <cellStyle name="常规 2 3 4 4 3" xfId="2061"/>
    <cellStyle name="常规 2 3 4 4 3 2" xfId="5197"/>
    <cellStyle name="常规 2 3 4 4 3 2 2" xfId="14617"/>
    <cellStyle name="常规 2 3 4 4 3 2 2 2" xfId="33465"/>
    <cellStyle name="常规 2 3 4 4 3 2 3" xfId="24041"/>
    <cellStyle name="常规 2 3 4 4 3 3" xfId="8333"/>
    <cellStyle name="常规 2 3 4 4 3 3 2" xfId="17753"/>
    <cellStyle name="常规 2 3 4 4 3 3 2 2" xfId="36601"/>
    <cellStyle name="常规 2 3 4 4 3 3 3" xfId="27177"/>
    <cellStyle name="常规 2 3 4 4 3 4" xfId="11481"/>
    <cellStyle name="常规 2 3 4 4 3 4 2" xfId="30329"/>
    <cellStyle name="常规 2 3 4 4 3 5" xfId="20905"/>
    <cellStyle name="常规 2 3 4 4 4" xfId="2845"/>
    <cellStyle name="常规 2 3 4 4 4 2" xfId="5981"/>
    <cellStyle name="常规 2 3 4 4 4 2 2" xfId="15401"/>
    <cellStyle name="常规 2 3 4 4 4 2 2 2" xfId="34249"/>
    <cellStyle name="常规 2 3 4 4 4 2 3" xfId="24825"/>
    <cellStyle name="常规 2 3 4 4 4 3" xfId="9117"/>
    <cellStyle name="常规 2 3 4 4 4 3 2" xfId="18537"/>
    <cellStyle name="常规 2 3 4 4 4 3 2 2" xfId="37385"/>
    <cellStyle name="常规 2 3 4 4 4 3 3" xfId="27961"/>
    <cellStyle name="常规 2 3 4 4 4 4" xfId="12265"/>
    <cellStyle name="常规 2 3 4 4 4 4 2" xfId="31113"/>
    <cellStyle name="常规 2 3 4 4 4 5" xfId="21689"/>
    <cellStyle name="常规 2 3 4 4 5" xfId="3629"/>
    <cellStyle name="常规 2 3 4 4 5 2" xfId="13049"/>
    <cellStyle name="常规 2 3 4 4 5 2 2" xfId="31897"/>
    <cellStyle name="常规 2 3 4 4 5 3" xfId="22473"/>
    <cellStyle name="常规 2 3 4 4 6" xfId="6765"/>
    <cellStyle name="常规 2 3 4 4 6 2" xfId="16185"/>
    <cellStyle name="常规 2 3 4 4 6 2 2" xfId="35033"/>
    <cellStyle name="常规 2 3 4 4 6 3" xfId="25609"/>
    <cellStyle name="常规 2 3 4 4 7" xfId="9913"/>
    <cellStyle name="常规 2 3 4 4 7 2" xfId="28761"/>
    <cellStyle name="常规 2 3 4 4 8" xfId="19337"/>
    <cellStyle name="常规 2 3 4 5" xfId="882"/>
    <cellStyle name="常规 2 3 4 5 2" xfId="4018"/>
    <cellStyle name="常规 2 3 4 5 2 2" xfId="13438"/>
    <cellStyle name="常规 2 3 4 5 2 2 2" xfId="32286"/>
    <cellStyle name="常规 2 3 4 5 2 3" xfId="22862"/>
    <cellStyle name="常规 2 3 4 5 3" xfId="7154"/>
    <cellStyle name="常规 2 3 4 5 3 2" xfId="16574"/>
    <cellStyle name="常规 2 3 4 5 3 2 2" xfId="35422"/>
    <cellStyle name="常规 2 3 4 5 3 3" xfId="25998"/>
    <cellStyle name="常规 2 3 4 5 4" xfId="10302"/>
    <cellStyle name="常规 2 3 4 5 4 2" xfId="29150"/>
    <cellStyle name="常规 2 3 4 5 5" xfId="19726"/>
    <cellStyle name="常规 2 3 4 6" xfId="1666"/>
    <cellStyle name="常规 2 3 4 6 2" xfId="4802"/>
    <cellStyle name="常规 2 3 4 6 2 2" xfId="14222"/>
    <cellStyle name="常规 2 3 4 6 2 2 2" xfId="33070"/>
    <cellStyle name="常规 2 3 4 6 2 3" xfId="23646"/>
    <cellStyle name="常规 2 3 4 6 3" xfId="7938"/>
    <cellStyle name="常规 2 3 4 6 3 2" xfId="17358"/>
    <cellStyle name="常规 2 3 4 6 3 2 2" xfId="36206"/>
    <cellStyle name="常规 2 3 4 6 3 3" xfId="26782"/>
    <cellStyle name="常规 2 3 4 6 4" xfId="11086"/>
    <cellStyle name="常规 2 3 4 6 4 2" xfId="29934"/>
    <cellStyle name="常规 2 3 4 6 5" xfId="20510"/>
    <cellStyle name="常规 2 3 4 7" xfId="2450"/>
    <cellStyle name="常规 2 3 4 7 2" xfId="5586"/>
    <cellStyle name="常规 2 3 4 7 2 2" xfId="15006"/>
    <cellStyle name="常规 2 3 4 7 2 2 2" xfId="33854"/>
    <cellStyle name="常规 2 3 4 7 2 3" xfId="24430"/>
    <cellStyle name="常规 2 3 4 7 3" xfId="8722"/>
    <cellStyle name="常规 2 3 4 7 3 2" xfId="18142"/>
    <cellStyle name="常规 2 3 4 7 3 2 2" xfId="36990"/>
    <cellStyle name="常规 2 3 4 7 3 3" xfId="27566"/>
    <cellStyle name="常规 2 3 4 7 4" xfId="11870"/>
    <cellStyle name="常规 2 3 4 7 4 2" xfId="30718"/>
    <cellStyle name="常规 2 3 4 7 5" xfId="21294"/>
    <cellStyle name="常规 2 3 4 8" xfId="3201"/>
    <cellStyle name="常规 2 3 4 8 2" xfId="12621"/>
    <cellStyle name="常规 2 3 4 8 2 2" xfId="31469"/>
    <cellStyle name="常规 2 3 4 8 3" xfId="22045"/>
    <cellStyle name="常规 2 3 4 9" xfId="6370"/>
    <cellStyle name="常规 2 3 4 9 2" xfId="15790"/>
    <cellStyle name="常规 2 3 4 9 2 2" xfId="34638"/>
    <cellStyle name="常规 2 3 4 9 3" xfId="25214"/>
    <cellStyle name="常规 2 3 5" xfId="98"/>
    <cellStyle name="常规 2 3 5 10" xfId="18944"/>
    <cellStyle name="常规 2 3 5 2" xfId="99"/>
    <cellStyle name="常规 2 3 5 2 2" xfId="498"/>
    <cellStyle name="常规 2 3 5 2 2 2" xfId="1282"/>
    <cellStyle name="常规 2 3 5 2 2 2 2" xfId="4418"/>
    <cellStyle name="常规 2 3 5 2 2 2 2 2" xfId="13838"/>
    <cellStyle name="常规 2 3 5 2 2 2 2 2 2" xfId="32686"/>
    <cellStyle name="常规 2 3 5 2 2 2 2 3" xfId="23262"/>
    <cellStyle name="常规 2 3 5 2 2 2 3" xfId="7554"/>
    <cellStyle name="常规 2 3 5 2 2 2 3 2" xfId="16974"/>
    <cellStyle name="常规 2 3 5 2 2 2 3 2 2" xfId="35822"/>
    <cellStyle name="常规 2 3 5 2 2 2 3 3" xfId="26398"/>
    <cellStyle name="常规 2 3 5 2 2 2 4" xfId="10702"/>
    <cellStyle name="常规 2 3 5 2 2 2 4 2" xfId="29550"/>
    <cellStyle name="常规 2 3 5 2 2 2 5" xfId="20126"/>
    <cellStyle name="常规 2 3 5 2 2 3" xfId="2066"/>
    <cellStyle name="常规 2 3 5 2 2 3 2" xfId="5202"/>
    <cellStyle name="常规 2 3 5 2 2 3 2 2" xfId="14622"/>
    <cellStyle name="常规 2 3 5 2 2 3 2 2 2" xfId="33470"/>
    <cellStyle name="常规 2 3 5 2 2 3 2 3" xfId="24046"/>
    <cellStyle name="常规 2 3 5 2 2 3 3" xfId="8338"/>
    <cellStyle name="常规 2 3 5 2 2 3 3 2" xfId="17758"/>
    <cellStyle name="常规 2 3 5 2 2 3 3 2 2" xfId="36606"/>
    <cellStyle name="常规 2 3 5 2 2 3 3 3" xfId="27182"/>
    <cellStyle name="常规 2 3 5 2 2 3 4" xfId="11486"/>
    <cellStyle name="常规 2 3 5 2 2 3 4 2" xfId="30334"/>
    <cellStyle name="常规 2 3 5 2 2 3 5" xfId="20910"/>
    <cellStyle name="常规 2 3 5 2 2 4" xfId="2850"/>
    <cellStyle name="常规 2 3 5 2 2 4 2" xfId="5986"/>
    <cellStyle name="常规 2 3 5 2 2 4 2 2" xfId="15406"/>
    <cellStyle name="常规 2 3 5 2 2 4 2 2 2" xfId="34254"/>
    <cellStyle name="常规 2 3 5 2 2 4 2 3" xfId="24830"/>
    <cellStyle name="常规 2 3 5 2 2 4 3" xfId="9122"/>
    <cellStyle name="常规 2 3 5 2 2 4 3 2" xfId="18542"/>
    <cellStyle name="常规 2 3 5 2 2 4 3 2 2" xfId="37390"/>
    <cellStyle name="常规 2 3 5 2 2 4 3 3" xfId="27966"/>
    <cellStyle name="常规 2 3 5 2 2 4 4" xfId="12270"/>
    <cellStyle name="常规 2 3 5 2 2 4 4 2" xfId="31118"/>
    <cellStyle name="常规 2 3 5 2 2 4 5" xfId="21694"/>
    <cellStyle name="常规 2 3 5 2 2 5" xfId="3634"/>
    <cellStyle name="常规 2 3 5 2 2 5 2" xfId="13054"/>
    <cellStyle name="常规 2 3 5 2 2 5 2 2" xfId="31902"/>
    <cellStyle name="常规 2 3 5 2 2 5 3" xfId="22478"/>
    <cellStyle name="常规 2 3 5 2 2 6" xfId="6770"/>
    <cellStyle name="常规 2 3 5 2 2 6 2" xfId="16190"/>
    <cellStyle name="常规 2 3 5 2 2 6 2 2" xfId="35038"/>
    <cellStyle name="常规 2 3 5 2 2 6 3" xfId="25614"/>
    <cellStyle name="常规 2 3 5 2 2 7" xfId="9918"/>
    <cellStyle name="常规 2 3 5 2 2 7 2" xfId="28766"/>
    <cellStyle name="常规 2 3 5 2 2 8" xfId="19342"/>
    <cellStyle name="常规 2 3 5 2 3" xfId="887"/>
    <cellStyle name="常规 2 3 5 2 3 2" xfId="4023"/>
    <cellStyle name="常规 2 3 5 2 3 2 2" xfId="13443"/>
    <cellStyle name="常规 2 3 5 2 3 2 2 2" xfId="32291"/>
    <cellStyle name="常规 2 3 5 2 3 2 3" xfId="22867"/>
    <cellStyle name="常规 2 3 5 2 3 3" xfId="7159"/>
    <cellStyle name="常规 2 3 5 2 3 3 2" xfId="16579"/>
    <cellStyle name="常规 2 3 5 2 3 3 2 2" xfId="35427"/>
    <cellStyle name="常规 2 3 5 2 3 3 3" xfId="26003"/>
    <cellStyle name="常规 2 3 5 2 3 4" xfId="10307"/>
    <cellStyle name="常规 2 3 5 2 3 4 2" xfId="29155"/>
    <cellStyle name="常规 2 3 5 2 3 5" xfId="19731"/>
    <cellStyle name="常规 2 3 5 2 4" xfId="1671"/>
    <cellStyle name="常规 2 3 5 2 4 2" xfId="4807"/>
    <cellStyle name="常规 2 3 5 2 4 2 2" xfId="14227"/>
    <cellStyle name="常规 2 3 5 2 4 2 2 2" xfId="33075"/>
    <cellStyle name="常规 2 3 5 2 4 2 3" xfId="23651"/>
    <cellStyle name="常规 2 3 5 2 4 3" xfId="7943"/>
    <cellStyle name="常规 2 3 5 2 4 3 2" xfId="17363"/>
    <cellStyle name="常规 2 3 5 2 4 3 2 2" xfId="36211"/>
    <cellStyle name="常规 2 3 5 2 4 3 3" xfId="26787"/>
    <cellStyle name="常规 2 3 5 2 4 4" xfId="11091"/>
    <cellStyle name="常规 2 3 5 2 4 4 2" xfId="29939"/>
    <cellStyle name="常规 2 3 5 2 4 5" xfId="20515"/>
    <cellStyle name="常规 2 3 5 2 5" xfId="2455"/>
    <cellStyle name="常规 2 3 5 2 5 2" xfId="5591"/>
    <cellStyle name="常规 2 3 5 2 5 2 2" xfId="15011"/>
    <cellStyle name="常规 2 3 5 2 5 2 2 2" xfId="33859"/>
    <cellStyle name="常规 2 3 5 2 5 2 3" xfId="24435"/>
    <cellStyle name="常规 2 3 5 2 5 3" xfId="8727"/>
    <cellStyle name="常规 2 3 5 2 5 3 2" xfId="18147"/>
    <cellStyle name="常规 2 3 5 2 5 3 2 2" xfId="36995"/>
    <cellStyle name="常规 2 3 5 2 5 3 3" xfId="27571"/>
    <cellStyle name="常规 2 3 5 2 5 4" xfId="11875"/>
    <cellStyle name="常规 2 3 5 2 5 4 2" xfId="30723"/>
    <cellStyle name="常规 2 3 5 2 5 5" xfId="21299"/>
    <cellStyle name="常规 2 3 5 2 6" xfId="3311"/>
    <cellStyle name="常规 2 3 5 2 6 2" xfId="12731"/>
    <cellStyle name="常规 2 3 5 2 6 2 2" xfId="31579"/>
    <cellStyle name="常规 2 3 5 2 6 3" xfId="22155"/>
    <cellStyle name="常规 2 3 5 2 7" xfId="6375"/>
    <cellStyle name="常规 2 3 5 2 7 2" xfId="15795"/>
    <cellStyle name="常规 2 3 5 2 7 2 2" xfId="34643"/>
    <cellStyle name="常规 2 3 5 2 7 3" xfId="25219"/>
    <cellStyle name="常规 2 3 5 2 8" xfId="9522"/>
    <cellStyle name="常规 2 3 5 2 8 2" xfId="28367"/>
    <cellStyle name="常规 2 3 5 2 9" xfId="18945"/>
    <cellStyle name="常规 2 3 5 3" xfId="497"/>
    <cellStyle name="常规 2 3 5 3 2" xfId="1281"/>
    <cellStyle name="常规 2 3 5 3 2 2" xfId="4417"/>
    <cellStyle name="常规 2 3 5 3 2 2 2" xfId="13837"/>
    <cellStyle name="常规 2 3 5 3 2 2 2 2" xfId="32685"/>
    <cellStyle name="常规 2 3 5 3 2 2 3" xfId="23261"/>
    <cellStyle name="常规 2 3 5 3 2 3" xfId="7553"/>
    <cellStyle name="常规 2 3 5 3 2 3 2" xfId="16973"/>
    <cellStyle name="常规 2 3 5 3 2 3 2 2" xfId="35821"/>
    <cellStyle name="常规 2 3 5 3 2 3 3" xfId="26397"/>
    <cellStyle name="常规 2 3 5 3 2 4" xfId="10701"/>
    <cellStyle name="常规 2 3 5 3 2 4 2" xfId="29549"/>
    <cellStyle name="常规 2 3 5 3 2 5" xfId="20125"/>
    <cellStyle name="常规 2 3 5 3 3" xfId="2065"/>
    <cellStyle name="常规 2 3 5 3 3 2" xfId="5201"/>
    <cellStyle name="常规 2 3 5 3 3 2 2" xfId="14621"/>
    <cellStyle name="常规 2 3 5 3 3 2 2 2" xfId="33469"/>
    <cellStyle name="常规 2 3 5 3 3 2 3" xfId="24045"/>
    <cellStyle name="常规 2 3 5 3 3 3" xfId="8337"/>
    <cellStyle name="常规 2 3 5 3 3 3 2" xfId="17757"/>
    <cellStyle name="常规 2 3 5 3 3 3 2 2" xfId="36605"/>
    <cellStyle name="常规 2 3 5 3 3 3 3" xfId="27181"/>
    <cellStyle name="常规 2 3 5 3 3 4" xfId="11485"/>
    <cellStyle name="常规 2 3 5 3 3 4 2" xfId="30333"/>
    <cellStyle name="常规 2 3 5 3 3 5" xfId="20909"/>
    <cellStyle name="常规 2 3 5 3 4" xfId="2849"/>
    <cellStyle name="常规 2 3 5 3 4 2" xfId="5985"/>
    <cellStyle name="常规 2 3 5 3 4 2 2" xfId="15405"/>
    <cellStyle name="常规 2 3 5 3 4 2 2 2" xfId="34253"/>
    <cellStyle name="常规 2 3 5 3 4 2 3" xfId="24829"/>
    <cellStyle name="常规 2 3 5 3 4 3" xfId="9121"/>
    <cellStyle name="常规 2 3 5 3 4 3 2" xfId="18541"/>
    <cellStyle name="常规 2 3 5 3 4 3 2 2" xfId="37389"/>
    <cellStyle name="常规 2 3 5 3 4 3 3" xfId="27965"/>
    <cellStyle name="常规 2 3 5 3 4 4" xfId="12269"/>
    <cellStyle name="常规 2 3 5 3 4 4 2" xfId="31117"/>
    <cellStyle name="常规 2 3 5 3 4 5" xfId="21693"/>
    <cellStyle name="常规 2 3 5 3 5" xfId="3633"/>
    <cellStyle name="常规 2 3 5 3 5 2" xfId="13053"/>
    <cellStyle name="常规 2 3 5 3 5 2 2" xfId="31901"/>
    <cellStyle name="常规 2 3 5 3 5 3" xfId="22477"/>
    <cellStyle name="常规 2 3 5 3 6" xfId="6769"/>
    <cellStyle name="常规 2 3 5 3 6 2" xfId="16189"/>
    <cellStyle name="常规 2 3 5 3 6 2 2" xfId="35037"/>
    <cellStyle name="常规 2 3 5 3 6 3" xfId="25613"/>
    <cellStyle name="常规 2 3 5 3 7" xfId="9917"/>
    <cellStyle name="常规 2 3 5 3 7 2" xfId="28765"/>
    <cellStyle name="常规 2 3 5 3 8" xfId="19341"/>
    <cellStyle name="常规 2 3 5 4" xfId="886"/>
    <cellStyle name="常规 2 3 5 4 2" xfId="4022"/>
    <cellStyle name="常规 2 3 5 4 2 2" xfId="13442"/>
    <cellStyle name="常规 2 3 5 4 2 2 2" xfId="32290"/>
    <cellStyle name="常规 2 3 5 4 2 3" xfId="22866"/>
    <cellStyle name="常规 2 3 5 4 3" xfId="7158"/>
    <cellStyle name="常规 2 3 5 4 3 2" xfId="16578"/>
    <cellStyle name="常规 2 3 5 4 3 2 2" xfId="35426"/>
    <cellStyle name="常规 2 3 5 4 3 3" xfId="26002"/>
    <cellStyle name="常规 2 3 5 4 4" xfId="10306"/>
    <cellStyle name="常规 2 3 5 4 4 2" xfId="29154"/>
    <cellStyle name="常规 2 3 5 4 5" xfId="19730"/>
    <cellStyle name="常规 2 3 5 5" xfId="1670"/>
    <cellStyle name="常规 2 3 5 5 2" xfId="4806"/>
    <cellStyle name="常规 2 3 5 5 2 2" xfId="14226"/>
    <cellStyle name="常规 2 3 5 5 2 2 2" xfId="33074"/>
    <cellStyle name="常规 2 3 5 5 2 3" xfId="23650"/>
    <cellStyle name="常规 2 3 5 5 3" xfId="7942"/>
    <cellStyle name="常规 2 3 5 5 3 2" xfId="17362"/>
    <cellStyle name="常规 2 3 5 5 3 2 2" xfId="36210"/>
    <cellStyle name="常规 2 3 5 5 3 3" xfId="26786"/>
    <cellStyle name="常规 2 3 5 5 4" xfId="11090"/>
    <cellStyle name="常规 2 3 5 5 4 2" xfId="29938"/>
    <cellStyle name="常规 2 3 5 5 5" xfId="20514"/>
    <cellStyle name="常规 2 3 5 6" xfId="2454"/>
    <cellStyle name="常规 2 3 5 6 2" xfId="5590"/>
    <cellStyle name="常规 2 3 5 6 2 2" xfId="15010"/>
    <cellStyle name="常规 2 3 5 6 2 2 2" xfId="33858"/>
    <cellStyle name="常规 2 3 5 6 2 3" xfId="24434"/>
    <cellStyle name="常规 2 3 5 6 3" xfId="8726"/>
    <cellStyle name="常规 2 3 5 6 3 2" xfId="18146"/>
    <cellStyle name="常规 2 3 5 6 3 2 2" xfId="36994"/>
    <cellStyle name="常规 2 3 5 6 3 3" xfId="27570"/>
    <cellStyle name="常规 2 3 5 6 4" xfId="11874"/>
    <cellStyle name="常规 2 3 5 6 4 2" xfId="30722"/>
    <cellStyle name="常规 2 3 5 6 5" xfId="21298"/>
    <cellStyle name="常规 2 3 5 7" xfId="3310"/>
    <cellStyle name="常规 2 3 5 7 2" xfId="12730"/>
    <cellStyle name="常规 2 3 5 7 2 2" xfId="31578"/>
    <cellStyle name="常规 2 3 5 7 3" xfId="22154"/>
    <cellStyle name="常规 2 3 5 8" xfId="6374"/>
    <cellStyle name="常规 2 3 5 8 2" xfId="15794"/>
    <cellStyle name="常规 2 3 5 8 2 2" xfId="34642"/>
    <cellStyle name="常规 2 3 5 8 3" xfId="25218"/>
    <cellStyle name="常规 2 3 5 9" xfId="9521"/>
    <cellStyle name="常规 2 3 5 9 2" xfId="28366"/>
    <cellStyle name="常规 2 3 6" xfId="100"/>
    <cellStyle name="常规 2 3 6 2" xfId="499"/>
    <cellStyle name="常规 2 3 6 2 2" xfId="1283"/>
    <cellStyle name="常规 2 3 6 2 2 2" xfId="4419"/>
    <cellStyle name="常规 2 3 6 2 2 2 2" xfId="13839"/>
    <cellStyle name="常规 2 3 6 2 2 2 2 2" xfId="32687"/>
    <cellStyle name="常规 2 3 6 2 2 2 3" xfId="23263"/>
    <cellStyle name="常规 2 3 6 2 2 3" xfId="7555"/>
    <cellStyle name="常规 2 3 6 2 2 3 2" xfId="16975"/>
    <cellStyle name="常规 2 3 6 2 2 3 2 2" xfId="35823"/>
    <cellStyle name="常规 2 3 6 2 2 3 3" xfId="26399"/>
    <cellStyle name="常规 2 3 6 2 2 4" xfId="10703"/>
    <cellStyle name="常规 2 3 6 2 2 4 2" xfId="29551"/>
    <cellStyle name="常规 2 3 6 2 2 5" xfId="20127"/>
    <cellStyle name="常规 2 3 6 2 3" xfId="2067"/>
    <cellStyle name="常规 2 3 6 2 3 2" xfId="5203"/>
    <cellStyle name="常规 2 3 6 2 3 2 2" xfId="14623"/>
    <cellStyle name="常规 2 3 6 2 3 2 2 2" xfId="33471"/>
    <cellStyle name="常规 2 3 6 2 3 2 3" xfId="24047"/>
    <cellStyle name="常规 2 3 6 2 3 3" xfId="8339"/>
    <cellStyle name="常规 2 3 6 2 3 3 2" xfId="17759"/>
    <cellStyle name="常规 2 3 6 2 3 3 2 2" xfId="36607"/>
    <cellStyle name="常规 2 3 6 2 3 3 3" xfId="27183"/>
    <cellStyle name="常规 2 3 6 2 3 4" xfId="11487"/>
    <cellStyle name="常规 2 3 6 2 3 4 2" xfId="30335"/>
    <cellStyle name="常规 2 3 6 2 3 5" xfId="20911"/>
    <cellStyle name="常规 2 3 6 2 4" xfId="2851"/>
    <cellStyle name="常规 2 3 6 2 4 2" xfId="5987"/>
    <cellStyle name="常规 2 3 6 2 4 2 2" xfId="15407"/>
    <cellStyle name="常规 2 3 6 2 4 2 2 2" xfId="34255"/>
    <cellStyle name="常规 2 3 6 2 4 2 3" xfId="24831"/>
    <cellStyle name="常规 2 3 6 2 4 3" xfId="9123"/>
    <cellStyle name="常规 2 3 6 2 4 3 2" xfId="18543"/>
    <cellStyle name="常规 2 3 6 2 4 3 2 2" xfId="37391"/>
    <cellStyle name="常规 2 3 6 2 4 3 3" xfId="27967"/>
    <cellStyle name="常规 2 3 6 2 4 4" xfId="12271"/>
    <cellStyle name="常规 2 3 6 2 4 4 2" xfId="31119"/>
    <cellStyle name="常规 2 3 6 2 4 5" xfId="21695"/>
    <cellStyle name="常规 2 3 6 2 5" xfId="3635"/>
    <cellStyle name="常规 2 3 6 2 5 2" xfId="13055"/>
    <cellStyle name="常规 2 3 6 2 5 2 2" xfId="31903"/>
    <cellStyle name="常规 2 3 6 2 5 3" xfId="22479"/>
    <cellStyle name="常规 2 3 6 2 6" xfId="6771"/>
    <cellStyle name="常规 2 3 6 2 6 2" xfId="16191"/>
    <cellStyle name="常规 2 3 6 2 6 2 2" xfId="35039"/>
    <cellStyle name="常规 2 3 6 2 6 3" xfId="25615"/>
    <cellStyle name="常规 2 3 6 2 7" xfId="9919"/>
    <cellStyle name="常规 2 3 6 2 7 2" xfId="28767"/>
    <cellStyle name="常规 2 3 6 2 8" xfId="19343"/>
    <cellStyle name="常规 2 3 6 3" xfId="888"/>
    <cellStyle name="常规 2 3 6 3 2" xfId="4024"/>
    <cellStyle name="常规 2 3 6 3 2 2" xfId="13444"/>
    <cellStyle name="常规 2 3 6 3 2 2 2" xfId="32292"/>
    <cellStyle name="常规 2 3 6 3 2 3" xfId="22868"/>
    <cellStyle name="常规 2 3 6 3 3" xfId="7160"/>
    <cellStyle name="常规 2 3 6 3 3 2" xfId="16580"/>
    <cellStyle name="常规 2 3 6 3 3 2 2" xfId="35428"/>
    <cellStyle name="常规 2 3 6 3 3 3" xfId="26004"/>
    <cellStyle name="常规 2 3 6 3 4" xfId="10308"/>
    <cellStyle name="常规 2 3 6 3 4 2" xfId="29156"/>
    <cellStyle name="常规 2 3 6 3 5" xfId="19732"/>
    <cellStyle name="常规 2 3 6 4" xfId="1672"/>
    <cellStyle name="常规 2 3 6 4 2" xfId="4808"/>
    <cellStyle name="常规 2 3 6 4 2 2" xfId="14228"/>
    <cellStyle name="常规 2 3 6 4 2 2 2" xfId="33076"/>
    <cellStyle name="常规 2 3 6 4 2 3" xfId="23652"/>
    <cellStyle name="常规 2 3 6 4 3" xfId="7944"/>
    <cellStyle name="常规 2 3 6 4 3 2" xfId="17364"/>
    <cellStyle name="常规 2 3 6 4 3 2 2" xfId="36212"/>
    <cellStyle name="常规 2 3 6 4 3 3" xfId="26788"/>
    <cellStyle name="常规 2 3 6 4 4" xfId="11092"/>
    <cellStyle name="常规 2 3 6 4 4 2" xfId="29940"/>
    <cellStyle name="常规 2 3 6 4 5" xfId="20516"/>
    <cellStyle name="常规 2 3 6 5" xfId="2456"/>
    <cellStyle name="常规 2 3 6 5 2" xfId="5592"/>
    <cellStyle name="常规 2 3 6 5 2 2" xfId="15012"/>
    <cellStyle name="常规 2 3 6 5 2 2 2" xfId="33860"/>
    <cellStyle name="常规 2 3 6 5 2 3" xfId="24436"/>
    <cellStyle name="常规 2 3 6 5 3" xfId="8728"/>
    <cellStyle name="常规 2 3 6 5 3 2" xfId="18148"/>
    <cellStyle name="常规 2 3 6 5 3 2 2" xfId="36996"/>
    <cellStyle name="常规 2 3 6 5 3 3" xfId="27572"/>
    <cellStyle name="常规 2 3 6 5 4" xfId="11876"/>
    <cellStyle name="常规 2 3 6 5 4 2" xfId="30724"/>
    <cellStyle name="常规 2 3 6 5 5" xfId="21300"/>
    <cellStyle name="常规 2 3 6 6" xfId="3312"/>
    <cellStyle name="常规 2 3 6 6 2" xfId="12732"/>
    <cellStyle name="常规 2 3 6 6 2 2" xfId="31580"/>
    <cellStyle name="常规 2 3 6 6 3" xfId="22156"/>
    <cellStyle name="常规 2 3 6 7" xfId="6376"/>
    <cellStyle name="常规 2 3 6 7 2" xfId="15796"/>
    <cellStyle name="常规 2 3 6 7 2 2" xfId="34644"/>
    <cellStyle name="常规 2 3 6 7 3" xfId="25220"/>
    <cellStyle name="常规 2 3 6 8" xfId="9523"/>
    <cellStyle name="常规 2 3 6 8 2" xfId="28368"/>
    <cellStyle name="常规 2 3 6 9" xfId="18946"/>
    <cellStyle name="常规 2 3 7" xfId="468"/>
    <cellStyle name="常规 2 3 7 2" xfId="1252"/>
    <cellStyle name="常规 2 3 7 2 2" xfId="4388"/>
    <cellStyle name="常规 2 3 7 2 2 2" xfId="13808"/>
    <cellStyle name="常规 2 3 7 2 2 2 2" xfId="32656"/>
    <cellStyle name="常规 2 3 7 2 2 3" xfId="23232"/>
    <cellStyle name="常规 2 3 7 2 3" xfId="7524"/>
    <cellStyle name="常规 2 3 7 2 3 2" xfId="16944"/>
    <cellStyle name="常规 2 3 7 2 3 2 2" xfId="35792"/>
    <cellStyle name="常规 2 3 7 2 3 3" xfId="26368"/>
    <cellStyle name="常规 2 3 7 2 4" xfId="10672"/>
    <cellStyle name="常规 2 3 7 2 4 2" xfId="29520"/>
    <cellStyle name="常规 2 3 7 2 5" xfId="20096"/>
    <cellStyle name="常规 2 3 7 3" xfId="2036"/>
    <cellStyle name="常规 2 3 7 3 2" xfId="5172"/>
    <cellStyle name="常规 2 3 7 3 2 2" xfId="14592"/>
    <cellStyle name="常规 2 3 7 3 2 2 2" xfId="33440"/>
    <cellStyle name="常规 2 3 7 3 2 3" xfId="24016"/>
    <cellStyle name="常规 2 3 7 3 3" xfId="8308"/>
    <cellStyle name="常规 2 3 7 3 3 2" xfId="17728"/>
    <cellStyle name="常规 2 3 7 3 3 2 2" xfId="36576"/>
    <cellStyle name="常规 2 3 7 3 3 3" xfId="27152"/>
    <cellStyle name="常规 2 3 7 3 4" xfId="11456"/>
    <cellStyle name="常规 2 3 7 3 4 2" xfId="30304"/>
    <cellStyle name="常规 2 3 7 3 5" xfId="20880"/>
    <cellStyle name="常规 2 3 7 4" xfId="2820"/>
    <cellStyle name="常规 2 3 7 4 2" xfId="5956"/>
    <cellStyle name="常规 2 3 7 4 2 2" xfId="15376"/>
    <cellStyle name="常规 2 3 7 4 2 2 2" xfId="34224"/>
    <cellStyle name="常规 2 3 7 4 2 3" xfId="24800"/>
    <cellStyle name="常规 2 3 7 4 3" xfId="9092"/>
    <cellStyle name="常规 2 3 7 4 3 2" xfId="18512"/>
    <cellStyle name="常规 2 3 7 4 3 2 2" xfId="37360"/>
    <cellStyle name="常规 2 3 7 4 3 3" xfId="27936"/>
    <cellStyle name="常规 2 3 7 4 4" xfId="12240"/>
    <cellStyle name="常规 2 3 7 4 4 2" xfId="31088"/>
    <cellStyle name="常规 2 3 7 4 5" xfId="21664"/>
    <cellStyle name="常规 2 3 7 5" xfId="3604"/>
    <cellStyle name="常规 2 3 7 5 2" xfId="13024"/>
    <cellStyle name="常规 2 3 7 5 2 2" xfId="31872"/>
    <cellStyle name="常规 2 3 7 5 3" xfId="22448"/>
    <cellStyle name="常规 2 3 7 6" xfId="6740"/>
    <cellStyle name="常规 2 3 7 6 2" xfId="16160"/>
    <cellStyle name="常规 2 3 7 6 2 2" xfId="35008"/>
    <cellStyle name="常规 2 3 7 6 3" xfId="25584"/>
    <cellStyle name="常规 2 3 7 7" xfId="9888"/>
    <cellStyle name="常规 2 3 7 7 2" xfId="28736"/>
    <cellStyle name="常规 2 3 7 8" xfId="19312"/>
    <cellStyle name="常规 2 3 8" xfId="857"/>
    <cellStyle name="常规 2 3 8 2" xfId="3993"/>
    <cellStyle name="常规 2 3 8 2 2" xfId="13413"/>
    <cellStyle name="常规 2 3 8 2 2 2" xfId="32261"/>
    <cellStyle name="常规 2 3 8 2 3" xfId="22837"/>
    <cellStyle name="常规 2 3 8 3" xfId="7129"/>
    <cellStyle name="常规 2 3 8 3 2" xfId="16549"/>
    <cellStyle name="常规 2 3 8 3 2 2" xfId="35397"/>
    <cellStyle name="常规 2 3 8 3 3" xfId="25973"/>
    <cellStyle name="常规 2 3 8 4" xfId="10277"/>
    <cellStyle name="常规 2 3 8 4 2" xfId="29125"/>
    <cellStyle name="常规 2 3 8 5" xfId="19701"/>
    <cellStyle name="常规 2 3 9" xfId="1641"/>
    <cellStyle name="常规 2 3 9 2" xfId="4777"/>
    <cellStyle name="常规 2 3 9 2 2" xfId="14197"/>
    <cellStyle name="常规 2 3 9 2 2 2" xfId="33045"/>
    <cellStyle name="常规 2 3 9 2 3" xfId="23621"/>
    <cellStyle name="常规 2 3 9 3" xfId="7913"/>
    <cellStyle name="常规 2 3 9 3 2" xfId="17333"/>
    <cellStyle name="常规 2 3 9 3 2 2" xfId="36181"/>
    <cellStyle name="常规 2 3 9 3 3" xfId="26757"/>
    <cellStyle name="常规 2 3 9 4" xfId="11061"/>
    <cellStyle name="常规 2 3 9 4 2" xfId="29909"/>
    <cellStyle name="常规 2 3 9 5" xfId="20485"/>
    <cellStyle name="常规 2 4" xfId="101"/>
    <cellStyle name="常规 2 4 10" xfId="3159"/>
    <cellStyle name="常规 2 4 10 2" xfId="12579"/>
    <cellStyle name="常规 2 4 10 2 2" xfId="31427"/>
    <cellStyle name="常规 2 4 10 3" xfId="22003"/>
    <cellStyle name="常规 2 4 11" xfId="6377"/>
    <cellStyle name="常规 2 4 11 2" xfId="15797"/>
    <cellStyle name="常规 2 4 11 2 2" xfId="34645"/>
    <cellStyle name="常规 2 4 11 3" xfId="25221"/>
    <cellStyle name="常规 2 4 12" xfId="9524"/>
    <cellStyle name="常规 2 4 12 2" xfId="28369"/>
    <cellStyle name="常规 2 4 13" xfId="18947"/>
    <cellStyle name="常规 2 4 2" xfId="102"/>
    <cellStyle name="常规 2 4 2 10" xfId="6378"/>
    <cellStyle name="常规 2 4 2 10 2" xfId="15798"/>
    <cellStyle name="常规 2 4 2 10 2 2" xfId="34646"/>
    <cellStyle name="常规 2 4 2 10 3" xfId="25222"/>
    <cellStyle name="常规 2 4 2 11" xfId="9525"/>
    <cellStyle name="常规 2 4 2 11 2" xfId="28370"/>
    <cellStyle name="常规 2 4 2 12" xfId="18948"/>
    <cellStyle name="常规 2 4 2 2" xfId="103"/>
    <cellStyle name="常规 2 4 2 2 10" xfId="9526"/>
    <cellStyle name="常规 2 4 2 2 10 2" xfId="28371"/>
    <cellStyle name="常规 2 4 2 2 11" xfId="18949"/>
    <cellStyle name="常规 2 4 2 2 2" xfId="104"/>
    <cellStyle name="常规 2 4 2 2 2 10" xfId="18950"/>
    <cellStyle name="常规 2 4 2 2 2 2" xfId="105"/>
    <cellStyle name="常规 2 4 2 2 2 2 2" xfId="504"/>
    <cellStyle name="常规 2 4 2 2 2 2 2 2" xfId="1288"/>
    <cellStyle name="常规 2 4 2 2 2 2 2 2 2" xfId="4424"/>
    <cellStyle name="常规 2 4 2 2 2 2 2 2 2 2" xfId="13844"/>
    <cellStyle name="常规 2 4 2 2 2 2 2 2 2 2 2" xfId="32692"/>
    <cellStyle name="常规 2 4 2 2 2 2 2 2 2 3" xfId="23268"/>
    <cellStyle name="常规 2 4 2 2 2 2 2 2 3" xfId="7560"/>
    <cellStyle name="常规 2 4 2 2 2 2 2 2 3 2" xfId="16980"/>
    <cellStyle name="常规 2 4 2 2 2 2 2 2 3 2 2" xfId="35828"/>
    <cellStyle name="常规 2 4 2 2 2 2 2 2 3 3" xfId="26404"/>
    <cellStyle name="常规 2 4 2 2 2 2 2 2 4" xfId="10708"/>
    <cellStyle name="常规 2 4 2 2 2 2 2 2 4 2" xfId="29556"/>
    <cellStyle name="常规 2 4 2 2 2 2 2 2 5" xfId="20132"/>
    <cellStyle name="常规 2 4 2 2 2 2 2 3" xfId="2072"/>
    <cellStyle name="常规 2 4 2 2 2 2 2 3 2" xfId="5208"/>
    <cellStyle name="常规 2 4 2 2 2 2 2 3 2 2" xfId="14628"/>
    <cellStyle name="常规 2 4 2 2 2 2 2 3 2 2 2" xfId="33476"/>
    <cellStyle name="常规 2 4 2 2 2 2 2 3 2 3" xfId="24052"/>
    <cellStyle name="常规 2 4 2 2 2 2 2 3 3" xfId="8344"/>
    <cellStyle name="常规 2 4 2 2 2 2 2 3 3 2" xfId="17764"/>
    <cellStyle name="常规 2 4 2 2 2 2 2 3 3 2 2" xfId="36612"/>
    <cellStyle name="常规 2 4 2 2 2 2 2 3 3 3" xfId="27188"/>
    <cellStyle name="常规 2 4 2 2 2 2 2 3 4" xfId="11492"/>
    <cellStyle name="常规 2 4 2 2 2 2 2 3 4 2" xfId="30340"/>
    <cellStyle name="常规 2 4 2 2 2 2 2 3 5" xfId="20916"/>
    <cellStyle name="常规 2 4 2 2 2 2 2 4" xfId="2856"/>
    <cellStyle name="常规 2 4 2 2 2 2 2 4 2" xfId="5992"/>
    <cellStyle name="常规 2 4 2 2 2 2 2 4 2 2" xfId="15412"/>
    <cellStyle name="常规 2 4 2 2 2 2 2 4 2 2 2" xfId="34260"/>
    <cellStyle name="常规 2 4 2 2 2 2 2 4 2 3" xfId="24836"/>
    <cellStyle name="常规 2 4 2 2 2 2 2 4 3" xfId="9128"/>
    <cellStyle name="常规 2 4 2 2 2 2 2 4 3 2" xfId="18548"/>
    <cellStyle name="常规 2 4 2 2 2 2 2 4 3 2 2" xfId="37396"/>
    <cellStyle name="常规 2 4 2 2 2 2 2 4 3 3" xfId="27972"/>
    <cellStyle name="常规 2 4 2 2 2 2 2 4 4" xfId="12276"/>
    <cellStyle name="常规 2 4 2 2 2 2 2 4 4 2" xfId="31124"/>
    <cellStyle name="常规 2 4 2 2 2 2 2 4 5" xfId="21700"/>
    <cellStyle name="常规 2 4 2 2 2 2 2 5" xfId="3640"/>
    <cellStyle name="常规 2 4 2 2 2 2 2 5 2" xfId="13060"/>
    <cellStyle name="常规 2 4 2 2 2 2 2 5 2 2" xfId="31908"/>
    <cellStyle name="常规 2 4 2 2 2 2 2 5 3" xfId="22484"/>
    <cellStyle name="常规 2 4 2 2 2 2 2 6" xfId="6776"/>
    <cellStyle name="常规 2 4 2 2 2 2 2 6 2" xfId="16196"/>
    <cellStyle name="常规 2 4 2 2 2 2 2 6 2 2" xfId="35044"/>
    <cellStyle name="常规 2 4 2 2 2 2 2 6 3" xfId="25620"/>
    <cellStyle name="常规 2 4 2 2 2 2 2 7" xfId="9924"/>
    <cellStyle name="常规 2 4 2 2 2 2 2 7 2" xfId="28772"/>
    <cellStyle name="常规 2 4 2 2 2 2 2 8" xfId="19348"/>
    <cellStyle name="常规 2 4 2 2 2 2 3" xfId="893"/>
    <cellStyle name="常规 2 4 2 2 2 2 3 2" xfId="4029"/>
    <cellStyle name="常规 2 4 2 2 2 2 3 2 2" xfId="13449"/>
    <cellStyle name="常规 2 4 2 2 2 2 3 2 2 2" xfId="32297"/>
    <cellStyle name="常规 2 4 2 2 2 2 3 2 3" xfId="22873"/>
    <cellStyle name="常规 2 4 2 2 2 2 3 3" xfId="7165"/>
    <cellStyle name="常规 2 4 2 2 2 2 3 3 2" xfId="16585"/>
    <cellStyle name="常规 2 4 2 2 2 2 3 3 2 2" xfId="35433"/>
    <cellStyle name="常规 2 4 2 2 2 2 3 3 3" xfId="26009"/>
    <cellStyle name="常规 2 4 2 2 2 2 3 4" xfId="10313"/>
    <cellStyle name="常规 2 4 2 2 2 2 3 4 2" xfId="29161"/>
    <cellStyle name="常规 2 4 2 2 2 2 3 5" xfId="19737"/>
    <cellStyle name="常规 2 4 2 2 2 2 4" xfId="1677"/>
    <cellStyle name="常规 2 4 2 2 2 2 4 2" xfId="4813"/>
    <cellStyle name="常规 2 4 2 2 2 2 4 2 2" xfId="14233"/>
    <cellStyle name="常规 2 4 2 2 2 2 4 2 2 2" xfId="33081"/>
    <cellStyle name="常规 2 4 2 2 2 2 4 2 3" xfId="23657"/>
    <cellStyle name="常规 2 4 2 2 2 2 4 3" xfId="7949"/>
    <cellStyle name="常规 2 4 2 2 2 2 4 3 2" xfId="17369"/>
    <cellStyle name="常规 2 4 2 2 2 2 4 3 2 2" xfId="36217"/>
    <cellStyle name="常规 2 4 2 2 2 2 4 3 3" xfId="26793"/>
    <cellStyle name="常规 2 4 2 2 2 2 4 4" xfId="11097"/>
    <cellStyle name="常规 2 4 2 2 2 2 4 4 2" xfId="29945"/>
    <cellStyle name="常规 2 4 2 2 2 2 4 5" xfId="20521"/>
    <cellStyle name="常规 2 4 2 2 2 2 5" xfId="2461"/>
    <cellStyle name="常规 2 4 2 2 2 2 5 2" xfId="5597"/>
    <cellStyle name="常规 2 4 2 2 2 2 5 2 2" xfId="15017"/>
    <cellStyle name="常规 2 4 2 2 2 2 5 2 2 2" xfId="33865"/>
    <cellStyle name="常规 2 4 2 2 2 2 5 2 3" xfId="24441"/>
    <cellStyle name="常规 2 4 2 2 2 2 5 3" xfId="8733"/>
    <cellStyle name="常规 2 4 2 2 2 2 5 3 2" xfId="18153"/>
    <cellStyle name="常规 2 4 2 2 2 2 5 3 2 2" xfId="37001"/>
    <cellStyle name="常规 2 4 2 2 2 2 5 3 3" xfId="27577"/>
    <cellStyle name="常规 2 4 2 2 2 2 5 4" xfId="11881"/>
    <cellStyle name="常规 2 4 2 2 2 2 5 4 2" xfId="30729"/>
    <cellStyle name="常规 2 4 2 2 2 2 5 5" xfId="21305"/>
    <cellStyle name="常规 2 4 2 2 2 2 6" xfId="3314"/>
    <cellStyle name="常规 2 4 2 2 2 2 6 2" xfId="12734"/>
    <cellStyle name="常规 2 4 2 2 2 2 6 2 2" xfId="31582"/>
    <cellStyle name="常规 2 4 2 2 2 2 6 3" xfId="22158"/>
    <cellStyle name="常规 2 4 2 2 2 2 7" xfId="6381"/>
    <cellStyle name="常规 2 4 2 2 2 2 7 2" xfId="15801"/>
    <cellStyle name="常规 2 4 2 2 2 2 7 2 2" xfId="34649"/>
    <cellStyle name="常规 2 4 2 2 2 2 7 3" xfId="25225"/>
    <cellStyle name="常规 2 4 2 2 2 2 8" xfId="9528"/>
    <cellStyle name="常规 2 4 2 2 2 2 8 2" xfId="28373"/>
    <cellStyle name="常规 2 4 2 2 2 2 9" xfId="18951"/>
    <cellStyle name="常规 2 4 2 2 2 3" xfId="503"/>
    <cellStyle name="常规 2 4 2 2 2 3 2" xfId="1287"/>
    <cellStyle name="常规 2 4 2 2 2 3 2 2" xfId="4423"/>
    <cellStyle name="常规 2 4 2 2 2 3 2 2 2" xfId="13843"/>
    <cellStyle name="常规 2 4 2 2 2 3 2 2 2 2" xfId="32691"/>
    <cellStyle name="常规 2 4 2 2 2 3 2 2 3" xfId="23267"/>
    <cellStyle name="常规 2 4 2 2 2 3 2 3" xfId="7559"/>
    <cellStyle name="常规 2 4 2 2 2 3 2 3 2" xfId="16979"/>
    <cellStyle name="常规 2 4 2 2 2 3 2 3 2 2" xfId="35827"/>
    <cellStyle name="常规 2 4 2 2 2 3 2 3 3" xfId="26403"/>
    <cellStyle name="常规 2 4 2 2 2 3 2 4" xfId="10707"/>
    <cellStyle name="常规 2 4 2 2 2 3 2 4 2" xfId="29555"/>
    <cellStyle name="常规 2 4 2 2 2 3 2 5" xfId="20131"/>
    <cellStyle name="常规 2 4 2 2 2 3 3" xfId="2071"/>
    <cellStyle name="常规 2 4 2 2 2 3 3 2" xfId="5207"/>
    <cellStyle name="常规 2 4 2 2 2 3 3 2 2" xfId="14627"/>
    <cellStyle name="常规 2 4 2 2 2 3 3 2 2 2" xfId="33475"/>
    <cellStyle name="常规 2 4 2 2 2 3 3 2 3" xfId="24051"/>
    <cellStyle name="常规 2 4 2 2 2 3 3 3" xfId="8343"/>
    <cellStyle name="常规 2 4 2 2 2 3 3 3 2" xfId="17763"/>
    <cellStyle name="常规 2 4 2 2 2 3 3 3 2 2" xfId="36611"/>
    <cellStyle name="常规 2 4 2 2 2 3 3 3 3" xfId="27187"/>
    <cellStyle name="常规 2 4 2 2 2 3 3 4" xfId="11491"/>
    <cellStyle name="常规 2 4 2 2 2 3 3 4 2" xfId="30339"/>
    <cellStyle name="常规 2 4 2 2 2 3 3 5" xfId="20915"/>
    <cellStyle name="常规 2 4 2 2 2 3 4" xfId="2855"/>
    <cellStyle name="常规 2 4 2 2 2 3 4 2" xfId="5991"/>
    <cellStyle name="常规 2 4 2 2 2 3 4 2 2" xfId="15411"/>
    <cellStyle name="常规 2 4 2 2 2 3 4 2 2 2" xfId="34259"/>
    <cellStyle name="常规 2 4 2 2 2 3 4 2 3" xfId="24835"/>
    <cellStyle name="常规 2 4 2 2 2 3 4 3" xfId="9127"/>
    <cellStyle name="常规 2 4 2 2 2 3 4 3 2" xfId="18547"/>
    <cellStyle name="常规 2 4 2 2 2 3 4 3 2 2" xfId="37395"/>
    <cellStyle name="常规 2 4 2 2 2 3 4 3 3" xfId="27971"/>
    <cellStyle name="常规 2 4 2 2 2 3 4 4" xfId="12275"/>
    <cellStyle name="常规 2 4 2 2 2 3 4 4 2" xfId="31123"/>
    <cellStyle name="常规 2 4 2 2 2 3 4 5" xfId="21699"/>
    <cellStyle name="常规 2 4 2 2 2 3 5" xfId="3639"/>
    <cellStyle name="常规 2 4 2 2 2 3 5 2" xfId="13059"/>
    <cellStyle name="常规 2 4 2 2 2 3 5 2 2" xfId="31907"/>
    <cellStyle name="常规 2 4 2 2 2 3 5 3" xfId="22483"/>
    <cellStyle name="常规 2 4 2 2 2 3 6" xfId="6775"/>
    <cellStyle name="常规 2 4 2 2 2 3 6 2" xfId="16195"/>
    <cellStyle name="常规 2 4 2 2 2 3 6 2 2" xfId="35043"/>
    <cellStyle name="常规 2 4 2 2 2 3 6 3" xfId="25619"/>
    <cellStyle name="常规 2 4 2 2 2 3 7" xfId="9923"/>
    <cellStyle name="常规 2 4 2 2 2 3 7 2" xfId="28771"/>
    <cellStyle name="常规 2 4 2 2 2 3 8" xfId="19347"/>
    <cellStyle name="常规 2 4 2 2 2 4" xfId="892"/>
    <cellStyle name="常规 2 4 2 2 2 4 2" xfId="4028"/>
    <cellStyle name="常规 2 4 2 2 2 4 2 2" xfId="13448"/>
    <cellStyle name="常规 2 4 2 2 2 4 2 2 2" xfId="32296"/>
    <cellStyle name="常规 2 4 2 2 2 4 2 3" xfId="22872"/>
    <cellStyle name="常规 2 4 2 2 2 4 3" xfId="7164"/>
    <cellStyle name="常规 2 4 2 2 2 4 3 2" xfId="16584"/>
    <cellStyle name="常规 2 4 2 2 2 4 3 2 2" xfId="35432"/>
    <cellStyle name="常规 2 4 2 2 2 4 3 3" xfId="26008"/>
    <cellStyle name="常规 2 4 2 2 2 4 4" xfId="10312"/>
    <cellStyle name="常规 2 4 2 2 2 4 4 2" xfId="29160"/>
    <cellStyle name="常规 2 4 2 2 2 4 5" xfId="19736"/>
    <cellStyle name="常规 2 4 2 2 2 5" xfId="1676"/>
    <cellStyle name="常规 2 4 2 2 2 5 2" xfId="4812"/>
    <cellStyle name="常规 2 4 2 2 2 5 2 2" xfId="14232"/>
    <cellStyle name="常规 2 4 2 2 2 5 2 2 2" xfId="33080"/>
    <cellStyle name="常规 2 4 2 2 2 5 2 3" xfId="23656"/>
    <cellStyle name="常规 2 4 2 2 2 5 3" xfId="7948"/>
    <cellStyle name="常规 2 4 2 2 2 5 3 2" xfId="17368"/>
    <cellStyle name="常规 2 4 2 2 2 5 3 2 2" xfId="36216"/>
    <cellStyle name="常规 2 4 2 2 2 5 3 3" xfId="26792"/>
    <cellStyle name="常规 2 4 2 2 2 5 4" xfId="11096"/>
    <cellStyle name="常规 2 4 2 2 2 5 4 2" xfId="29944"/>
    <cellStyle name="常规 2 4 2 2 2 5 5" xfId="20520"/>
    <cellStyle name="常规 2 4 2 2 2 6" xfId="2460"/>
    <cellStyle name="常规 2 4 2 2 2 6 2" xfId="5596"/>
    <cellStyle name="常规 2 4 2 2 2 6 2 2" xfId="15016"/>
    <cellStyle name="常规 2 4 2 2 2 6 2 2 2" xfId="33864"/>
    <cellStyle name="常规 2 4 2 2 2 6 2 3" xfId="24440"/>
    <cellStyle name="常规 2 4 2 2 2 6 3" xfId="8732"/>
    <cellStyle name="常规 2 4 2 2 2 6 3 2" xfId="18152"/>
    <cellStyle name="常规 2 4 2 2 2 6 3 2 2" xfId="37000"/>
    <cellStyle name="常规 2 4 2 2 2 6 3 3" xfId="27576"/>
    <cellStyle name="常规 2 4 2 2 2 6 4" xfId="11880"/>
    <cellStyle name="常规 2 4 2 2 2 6 4 2" xfId="30728"/>
    <cellStyle name="常规 2 4 2 2 2 6 5" xfId="21304"/>
    <cellStyle name="常规 2 4 2 2 2 7" xfId="3313"/>
    <cellStyle name="常规 2 4 2 2 2 7 2" xfId="12733"/>
    <cellStyle name="常规 2 4 2 2 2 7 2 2" xfId="31581"/>
    <cellStyle name="常规 2 4 2 2 2 7 3" xfId="22157"/>
    <cellStyle name="常规 2 4 2 2 2 8" xfId="6380"/>
    <cellStyle name="常规 2 4 2 2 2 8 2" xfId="15800"/>
    <cellStyle name="常规 2 4 2 2 2 8 2 2" xfId="34648"/>
    <cellStyle name="常规 2 4 2 2 2 8 3" xfId="25224"/>
    <cellStyle name="常规 2 4 2 2 2 9" xfId="9527"/>
    <cellStyle name="常规 2 4 2 2 2 9 2" xfId="28372"/>
    <cellStyle name="常规 2 4 2 2 3" xfId="106"/>
    <cellStyle name="常规 2 4 2 2 3 2" xfId="505"/>
    <cellStyle name="常规 2 4 2 2 3 2 2" xfId="1289"/>
    <cellStyle name="常规 2 4 2 2 3 2 2 2" xfId="4425"/>
    <cellStyle name="常规 2 4 2 2 3 2 2 2 2" xfId="13845"/>
    <cellStyle name="常规 2 4 2 2 3 2 2 2 2 2" xfId="32693"/>
    <cellStyle name="常规 2 4 2 2 3 2 2 2 3" xfId="23269"/>
    <cellStyle name="常规 2 4 2 2 3 2 2 3" xfId="7561"/>
    <cellStyle name="常规 2 4 2 2 3 2 2 3 2" xfId="16981"/>
    <cellStyle name="常规 2 4 2 2 3 2 2 3 2 2" xfId="35829"/>
    <cellStyle name="常规 2 4 2 2 3 2 2 3 3" xfId="26405"/>
    <cellStyle name="常规 2 4 2 2 3 2 2 4" xfId="10709"/>
    <cellStyle name="常规 2 4 2 2 3 2 2 4 2" xfId="29557"/>
    <cellStyle name="常规 2 4 2 2 3 2 2 5" xfId="20133"/>
    <cellStyle name="常规 2 4 2 2 3 2 3" xfId="2073"/>
    <cellStyle name="常规 2 4 2 2 3 2 3 2" xfId="5209"/>
    <cellStyle name="常规 2 4 2 2 3 2 3 2 2" xfId="14629"/>
    <cellStyle name="常规 2 4 2 2 3 2 3 2 2 2" xfId="33477"/>
    <cellStyle name="常规 2 4 2 2 3 2 3 2 3" xfId="24053"/>
    <cellStyle name="常规 2 4 2 2 3 2 3 3" xfId="8345"/>
    <cellStyle name="常规 2 4 2 2 3 2 3 3 2" xfId="17765"/>
    <cellStyle name="常规 2 4 2 2 3 2 3 3 2 2" xfId="36613"/>
    <cellStyle name="常规 2 4 2 2 3 2 3 3 3" xfId="27189"/>
    <cellStyle name="常规 2 4 2 2 3 2 3 4" xfId="11493"/>
    <cellStyle name="常规 2 4 2 2 3 2 3 4 2" xfId="30341"/>
    <cellStyle name="常规 2 4 2 2 3 2 3 5" xfId="20917"/>
    <cellStyle name="常规 2 4 2 2 3 2 4" xfId="2857"/>
    <cellStyle name="常规 2 4 2 2 3 2 4 2" xfId="5993"/>
    <cellStyle name="常规 2 4 2 2 3 2 4 2 2" xfId="15413"/>
    <cellStyle name="常规 2 4 2 2 3 2 4 2 2 2" xfId="34261"/>
    <cellStyle name="常规 2 4 2 2 3 2 4 2 3" xfId="24837"/>
    <cellStyle name="常规 2 4 2 2 3 2 4 3" xfId="9129"/>
    <cellStyle name="常规 2 4 2 2 3 2 4 3 2" xfId="18549"/>
    <cellStyle name="常规 2 4 2 2 3 2 4 3 2 2" xfId="37397"/>
    <cellStyle name="常规 2 4 2 2 3 2 4 3 3" xfId="27973"/>
    <cellStyle name="常规 2 4 2 2 3 2 4 4" xfId="12277"/>
    <cellStyle name="常规 2 4 2 2 3 2 4 4 2" xfId="31125"/>
    <cellStyle name="常规 2 4 2 2 3 2 4 5" xfId="21701"/>
    <cellStyle name="常规 2 4 2 2 3 2 5" xfId="3641"/>
    <cellStyle name="常规 2 4 2 2 3 2 5 2" xfId="13061"/>
    <cellStyle name="常规 2 4 2 2 3 2 5 2 2" xfId="31909"/>
    <cellStyle name="常规 2 4 2 2 3 2 5 3" xfId="22485"/>
    <cellStyle name="常规 2 4 2 2 3 2 6" xfId="6777"/>
    <cellStyle name="常规 2 4 2 2 3 2 6 2" xfId="16197"/>
    <cellStyle name="常规 2 4 2 2 3 2 6 2 2" xfId="35045"/>
    <cellStyle name="常规 2 4 2 2 3 2 6 3" xfId="25621"/>
    <cellStyle name="常规 2 4 2 2 3 2 7" xfId="9925"/>
    <cellStyle name="常规 2 4 2 2 3 2 7 2" xfId="28773"/>
    <cellStyle name="常规 2 4 2 2 3 2 8" xfId="19349"/>
    <cellStyle name="常规 2 4 2 2 3 3" xfId="894"/>
    <cellStyle name="常规 2 4 2 2 3 3 2" xfId="4030"/>
    <cellStyle name="常规 2 4 2 2 3 3 2 2" xfId="13450"/>
    <cellStyle name="常规 2 4 2 2 3 3 2 2 2" xfId="32298"/>
    <cellStyle name="常规 2 4 2 2 3 3 2 3" xfId="22874"/>
    <cellStyle name="常规 2 4 2 2 3 3 3" xfId="7166"/>
    <cellStyle name="常规 2 4 2 2 3 3 3 2" xfId="16586"/>
    <cellStyle name="常规 2 4 2 2 3 3 3 2 2" xfId="35434"/>
    <cellStyle name="常规 2 4 2 2 3 3 3 3" xfId="26010"/>
    <cellStyle name="常规 2 4 2 2 3 3 4" xfId="10314"/>
    <cellStyle name="常规 2 4 2 2 3 3 4 2" xfId="29162"/>
    <cellStyle name="常规 2 4 2 2 3 3 5" xfId="19738"/>
    <cellStyle name="常规 2 4 2 2 3 4" xfId="1678"/>
    <cellStyle name="常规 2 4 2 2 3 4 2" xfId="4814"/>
    <cellStyle name="常规 2 4 2 2 3 4 2 2" xfId="14234"/>
    <cellStyle name="常规 2 4 2 2 3 4 2 2 2" xfId="33082"/>
    <cellStyle name="常规 2 4 2 2 3 4 2 3" xfId="23658"/>
    <cellStyle name="常规 2 4 2 2 3 4 3" xfId="7950"/>
    <cellStyle name="常规 2 4 2 2 3 4 3 2" xfId="17370"/>
    <cellStyle name="常规 2 4 2 2 3 4 3 2 2" xfId="36218"/>
    <cellStyle name="常规 2 4 2 2 3 4 3 3" xfId="26794"/>
    <cellStyle name="常规 2 4 2 2 3 4 4" xfId="11098"/>
    <cellStyle name="常规 2 4 2 2 3 4 4 2" xfId="29946"/>
    <cellStyle name="常规 2 4 2 2 3 4 5" xfId="20522"/>
    <cellStyle name="常规 2 4 2 2 3 5" xfId="2462"/>
    <cellStyle name="常规 2 4 2 2 3 5 2" xfId="5598"/>
    <cellStyle name="常规 2 4 2 2 3 5 2 2" xfId="15018"/>
    <cellStyle name="常规 2 4 2 2 3 5 2 2 2" xfId="33866"/>
    <cellStyle name="常规 2 4 2 2 3 5 2 3" xfId="24442"/>
    <cellStyle name="常规 2 4 2 2 3 5 3" xfId="8734"/>
    <cellStyle name="常规 2 4 2 2 3 5 3 2" xfId="18154"/>
    <cellStyle name="常规 2 4 2 2 3 5 3 2 2" xfId="37002"/>
    <cellStyle name="常规 2 4 2 2 3 5 3 3" xfId="27578"/>
    <cellStyle name="常规 2 4 2 2 3 5 4" xfId="11882"/>
    <cellStyle name="常规 2 4 2 2 3 5 4 2" xfId="30730"/>
    <cellStyle name="常规 2 4 2 2 3 5 5" xfId="21306"/>
    <cellStyle name="常规 2 4 2 2 3 6" xfId="3315"/>
    <cellStyle name="常规 2 4 2 2 3 6 2" xfId="12735"/>
    <cellStyle name="常规 2 4 2 2 3 6 2 2" xfId="31583"/>
    <cellStyle name="常规 2 4 2 2 3 6 3" xfId="22159"/>
    <cellStyle name="常规 2 4 2 2 3 7" xfId="6382"/>
    <cellStyle name="常规 2 4 2 2 3 7 2" xfId="15802"/>
    <cellStyle name="常规 2 4 2 2 3 7 2 2" xfId="34650"/>
    <cellStyle name="常规 2 4 2 2 3 7 3" xfId="25226"/>
    <cellStyle name="常规 2 4 2 2 3 8" xfId="9529"/>
    <cellStyle name="常规 2 4 2 2 3 8 2" xfId="28374"/>
    <cellStyle name="常规 2 4 2 2 3 9" xfId="18952"/>
    <cellStyle name="常规 2 4 2 2 4" xfId="502"/>
    <cellStyle name="常规 2 4 2 2 4 2" xfId="1286"/>
    <cellStyle name="常规 2 4 2 2 4 2 2" xfId="4422"/>
    <cellStyle name="常规 2 4 2 2 4 2 2 2" xfId="13842"/>
    <cellStyle name="常规 2 4 2 2 4 2 2 2 2" xfId="32690"/>
    <cellStyle name="常规 2 4 2 2 4 2 2 3" xfId="23266"/>
    <cellStyle name="常规 2 4 2 2 4 2 3" xfId="7558"/>
    <cellStyle name="常规 2 4 2 2 4 2 3 2" xfId="16978"/>
    <cellStyle name="常规 2 4 2 2 4 2 3 2 2" xfId="35826"/>
    <cellStyle name="常规 2 4 2 2 4 2 3 3" xfId="26402"/>
    <cellStyle name="常规 2 4 2 2 4 2 4" xfId="10706"/>
    <cellStyle name="常规 2 4 2 2 4 2 4 2" xfId="29554"/>
    <cellStyle name="常规 2 4 2 2 4 2 5" xfId="20130"/>
    <cellStyle name="常规 2 4 2 2 4 3" xfId="2070"/>
    <cellStyle name="常规 2 4 2 2 4 3 2" xfId="5206"/>
    <cellStyle name="常规 2 4 2 2 4 3 2 2" xfId="14626"/>
    <cellStyle name="常规 2 4 2 2 4 3 2 2 2" xfId="33474"/>
    <cellStyle name="常规 2 4 2 2 4 3 2 3" xfId="24050"/>
    <cellStyle name="常规 2 4 2 2 4 3 3" xfId="8342"/>
    <cellStyle name="常规 2 4 2 2 4 3 3 2" xfId="17762"/>
    <cellStyle name="常规 2 4 2 2 4 3 3 2 2" xfId="36610"/>
    <cellStyle name="常规 2 4 2 2 4 3 3 3" xfId="27186"/>
    <cellStyle name="常规 2 4 2 2 4 3 4" xfId="11490"/>
    <cellStyle name="常规 2 4 2 2 4 3 4 2" xfId="30338"/>
    <cellStyle name="常规 2 4 2 2 4 3 5" xfId="20914"/>
    <cellStyle name="常规 2 4 2 2 4 4" xfId="2854"/>
    <cellStyle name="常规 2 4 2 2 4 4 2" xfId="5990"/>
    <cellStyle name="常规 2 4 2 2 4 4 2 2" xfId="15410"/>
    <cellStyle name="常规 2 4 2 2 4 4 2 2 2" xfId="34258"/>
    <cellStyle name="常规 2 4 2 2 4 4 2 3" xfId="24834"/>
    <cellStyle name="常规 2 4 2 2 4 4 3" xfId="9126"/>
    <cellStyle name="常规 2 4 2 2 4 4 3 2" xfId="18546"/>
    <cellStyle name="常规 2 4 2 2 4 4 3 2 2" xfId="37394"/>
    <cellStyle name="常规 2 4 2 2 4 4 3 3" xfId="27970"/>
    <cellStyle name="常规 2 4 2 2 4 4 4" xfId="12274"/>
    <cellStyle name="常规 2 4 2 2 4 4 4 2" xfId="31122"/>
    <cellStyle name="常规 2 4 2 2 4 4 5" xfId="21698"/>
    <cellStyle name="常规 2 4 2 2 4 5" xfId="3638"/>
    <cellStyle name="常规 2 4 2 2 4 5 2" xfId="13058"/>
    <cellStyle name="常规 2 4 2 2 4 5 2 2" xfId="31906"/>
    <cellStyle name="常规 2 4 2 2 4 5 3" xfId="22482"/>
    <cellStyle name="常规 2 4 2 2 4 6" xfId="6774"/>
    <cellStyle name="常规 2 4 2 2 4 6 2" xfId="16194"/>
    <cellStyle name="常规 2 4 2 2 4 6 2 2" xfId="35042"/>
    <cellStyle name="常规 2 4 2 2 4 6 3" xfId="25618"/>
    <cellStyle name="常规 2 4 2 2 4 7" xfId="9922"/>
    <cellStyle name="常规 2 4 2 2 4 7 2" xfId="28770"/>
    <cellStyle name="常规 2 4 2 2 4 8" xfId="19346"/>
    <cellStyle name="常规 2 4 2 2 5" xfId="891"/>
    <cellStyle name="常规 2 4 2 2 5 2" xfId="4027"/>
    <cellStyle name="常规 2 4 2 2 5 2 2" xfId="13447"/>
    <cellStyle name="常规 2 4 2 2 5 2 2 2" xfId="32295"/>
    <cellStyle name="常规 2 4 2 2 5 2 3" xfId="22871"/>
    <cellStyle name="常规 2 4 2 2 5 3" xfId="7163"/>
    <cellStyle name="常规 2 4 2 2 5 3 2" xfId="16583"/>
    <cellStyle name="常规 2 4 2 2 5 3 2 2" xfId="35431"/>
    <cellStyle name="常规 2 4 2 2 5 3 3" xfId="26007"/>
    <cellStyle name="常规 2 4 2 2 5 4" xfId="10311"/>
    <cellStyle name="常规 2 4 2 2 5 4 2" xfId="29159"/>
    <cellStyle name="常规 2 4 2 2 5 5" xfId="19735"/>
    <cellStyle name="常规 2 4 2 2 6" xfId="1675"/>
    <cellStyle name="常规 2 4 2 2 6 2" xfId="4811"/>
    <cellStyle name="常规 2 4 2 2 6 2 2" xfId="14231"/>
    <cellStyle name="常规 2 4 2 2 6 2 2 2" xfId="33079"/>
    <cellStyle name="常规 2 4 2 2 6 2 3" xfId="23655"/>
    <cellStyle name="常规 2 4 2 2 6 3" xfId="7947"/>
    <cellStyle name="常规 2 4 2 2 6 3 2" xfId="17367"/>
    <cellStyle name="常规 2 4 2 2 6 3 2 2" xfId="36215"/>
    <cellStyle name="常规 2 4 2 2 6 3 3" xfId="26791"/>
    <cellStyle name="常规 2 4 2 2 6 4" xfId="11095"/>
    <cellStyle name="常规 2 4 2 2 6 4 2" xfId="29943"/>
    <cellStyle name="常规 2 4 2 2 6 5" xfId="20519"/>
    <cellStyle name="常规 2 4 2 2 7" xfId="2459"/>
    <cellStyle name="常规 2 4 2 2 7 2" xfId="5595"/>
    <cellStyle name="常规 2 4 2 2 7 2 2" xfId="15015"/>
    <cellStyle name="常规 2 4 2 2 7 2 2 2" xfId="33863"/>
    <cellStyle name="常规 2 4 2 2 7 2 3" xfId="24439"/>
    <cellStyle name="常规 2 4 2 2 7 3" xfId="8731"/>
    <cellStyle name="常规 2 4 2 2 7 3 2" xfId="18151"/>
    <cellStyle name="常规 2 4 2 2 7 3 2 2" xfId="36999"/>
    <cellStyle name="常规 2 4 2 2 7 3 3" xfId="27575"/>
    <cellStyle name="常规 2 4 2 2 7 4" xfId="11879"/>
    <cellStyle name="常规 2 4 2 2 7 4 2" xfId="30727"/>
    <cellStyle name="常规 2 4 2 2 7 5" xfId="21303"/>
    <cellStyle name="常规 2 4 2 2 8" xfId="3206"/>
    <cellStyle name="常规 2 4 2 2 8 2" xfId="12626"/>
    <cellStyle name="常规 2 4 2 2 8 2 2" xfId="31474"/>
    <cellStyle name="常规 2 4 2 2 8 3" xfId="22050"/>
    <cellStyle name="常规 2 4 2 2 9" xfId="6379"/>
    <cellStyle name="常规 2 4 2 2 9 2" xfId="15799"/>
    <cellStyle name="常规 2 4 2 2 9 2 2" xfId="34647"/>
    <cellStyle name="常规 2 4 2 2 9 3" xfId="25223"/>
    <cellStyle name="常规 2 4 2 3" xfId="107"/>
    <cellStyle name="常规 2 4 2 3 10" xfId="18953"/>
    <cellStyle name="常规 2 4 2 3 2" xfId="108"/>
    <cellStyle name="常规 2 4 2 3 2 2" xfId="507"/>
    <cellStyle name="常规 2 4 2 3 2 2 2" xfId="1291"/>
    <cellStyle name="常规 2 4 2 3 2 2 2 2" xfId="4427"/>
    <cellStyle name="常规 2 4 2 3 2 2 2 2 2" xfId="13847"/>
    <cellStyle name="常规 2 4 2 3 2 2 2 2 2 2" xfId="32695"/>
    <cellStyle name="常规 2 4 2 3 2 2 2 2 3" xfId="23271"/>
    <cellStyle name="常规 2 4 2 3 2 2 2 3" xfId="7563"/>
    <cellStyle name="常规 2 4 2 3 2 2 2 3 2" xfId="16983"/>
    <cellStyle name="常规 2 4 2 3 2 2 2 3 2 2" xfId="35831"/>
    <cellStyle name="常规 2 4 2 3 2 2 2 3 3" xfId="26407"/>
    <cellStyle name="常规 2 4 2 3 2 2 2 4" xfId="10711"/>
    <cellStyle name="常规 2 4 2 3 2 2 2 4 2" xfId="29559"/>
    <cellStyle name="常规 2 4 2 3 2 2 2 5" xfId="20135"/>
    <cellStyle name="常规 2 4 2 3 2 2 3" xfId="2075"/>
    <cellStyle name="常规 2 4 2 3 2 2 3 2" xfId="5211"/>
    <cellStyle name="常规 2 4 2 3 2 2 3 2 2" xfId="14631"/>
    <cellStyle name="常规 2 4 2 3 2 2 3 2 2 2" xfId="33479"/>
    <cellStyle name="常规 2 4 2 3 2 2 3 2 3" xfId="24055"/>
    <cellStyle name="常规 2 4 2 3 2 2 3 3" xfId="8347"/>
    <cellStyle name="常规 2 4 2 3 2 2 3 3 2" xfId="17767"/>
    <cellStyle name="常规 2 4 2 3 2 2 3 3 2 2" xfId="36615"/>
    <cellStyle name="常规 2 4 2 3 2 2 3 3 3" xfId="27191"/>
    <cellStyle name="常规 2 4 2 3 2 2 3 4" xfId="11495"/>
    <cellStyle name="常规 2 4 2 3 2 2 3 4 2" xfId="30343"/>
    <cellStyle name="常规 2 4 2 3 2 2 3 5" xfId="20919"/>
    <cellStyle name="常规 2 4 2 3 2 2 4" xfId="2859"/>
    <cellStyle name="常规 2 4 2 3 2 2 4 2" xfId="5995"/>
    <cellStyle name="常规 2 4 2 3 2 2 4 2 2" xfId="15415"/>
    <cellStyle name="常规 2 4 2 3 2 2 4 2 2 2" xfId="34263"/>
    <cellStyle name="常规 2 4 2 3 2 2 4 2 3" xfId="24839"/>
    <cellStyle name="常规 2 4 2 3 2 2 4 3" xfId="9131"/>
    <cellStyle name="常规 2 4 2 3 2 2 4 3 2" xfId="18551"/>
    <cellStyle name="常规 2 4 2 3 2 2 4 3 2 2" xfId="37399"/>
    <cellStyle name="常规 2 4 2 3 2 2 4 3 3" xfId="27975"/>
    <cellStyle name="常规 2 4 2 3 2 2 4 4" xfId="12279"/>
    <cellStyle name="常规 2 4 2 3 2 2 4 4 2" xfId="31127"/>
    <cellStyle name="常规 2 4 2 3 2 2 4 5" xfId="21703"/>
    <cellStyle name="常规 2 4 2 3 2 2 5" xfId="3643"/>
    <cellStyle name="常规 2 4 2 3 2 2 5 2" xfId="13063"/>
    <cellStyle name="常规 2 4 2 3 2 2 5 2 2" xfId="31911"/>
    <cellStyle name="常规 2 4 2 3 2 2 5 3" xfId="22487"/>
    <cellStyle name="常规 2 4 2 3 2 2 6" xfId="6779"/>
    <cellStyle name="常规 2 4 2 3 2 2 6 2" xfId="16199"/>
    <cellStyle name="常规 2 4 2 3 2 2 6 2 2" xfId="35047"/>
    <cellStyle name="常规 2 4 2 3 2 2 6 3" xfId="25623"/>
    <cellStyle name="常规 2 4 2 3 2 2 7" xfId="9927"/>
    <cellStyle name="常规 2 4 2 3 2 2 7 2" xfId="28775"/>
    <cellStyle name="常规 2 4 2 3 2 2 8" xfId="19351"/>
    <cellStyle name="常规 2 4 2 3 2 3" xfId="896"/>
    <cellStyle name="常规 2 4 2 3 2 3 2" xfId="4032"/>
    <cellStyle name="常规 2 4 2 3 2 3 2 2" xfId="13452"/>
    <cellStyle name="常规 2 4 2 3 2 3 2 2 2" xfId="32300"/>
    <cellStyle name="常规 2 4 2 3 2 3 2 3" xfId="22876"/>
    <cellStyle name="常规 2 4 2 3 2 3 3" xfId="7168"/>
    <cellStyle name="常规 2 4 2 3 2 3 3 2" xfId="16588"/>
    <cellStyle name="常规 2 4 2 3 2 3 3 2 2" xfId="35436"/>
    <cellStyle name="常规 2 4 2 3 2 3 3 3" xfId="26012"/>
    <cellStyle name="常规 2 4 2 3 2 3 4" xfId="10316"/>
    <cellStyle name="常规 2 4 2 3 2 3 4 2" xfId="29164"/>
    <cellStyle name="常规 2 4 2 3 2 3 5" xfId="19740"/>
    <cellStyle name="常规 2 4 2 3 2 4" xfId="1680"/>
    <cellStyle name="常规 2 4 2 3 2 4 2" xfId="4816"/>
    <cellStyle name="常规 2 4 2 3 2 4 2 2" xfId="14236"/>
    <cellStyle name="常规 2 4 2 3 2 4 2 2 2" xfId="33084"/>
    <cellStyle name="常规 2 4 2 3 2 4 2 3" xfId="23660"/>
    <cellStyle name="常规 2 4 2 3 2 4 3" xfId="7952"/>
    <cellStyle name="常规 2 4 2 3 2 4 3 2" xfId="17372"/>
    <cellStyle name="常规 2 4 2 3 2 4 3 2 2" xfId="36220"/>
    <cellStyle name="常规 2 4 2 3 2 4 3 3" xfId="26796"/>
    <cellStyle name="常规 2 4 2 3 2 4 4" xfId="11100"/>
    <cellStyle name="常规 2 4 2 3 2 4 4 2" xfId="29948"/>
    <cellStyle name="常规 2 4 2 3 2 4 5" xfId="20524"/>
    <cellStyle name="常规 2 4 2 3 2 5" xfId="2464"/>
    <cellStyle name="常规 2 4 2 3 2 5 2" xfId="5600"/>
    <cellStyle name="常规 2 4 2 3 2 5 2 2" xfId="15020"/>
    <cellStyle name="常规 2 4 2 3 2 5 2 2 2" xfId="33868"/>
    <cellStyle name="常规 2 4 2 3 2 5 2 3" xfId="24444"/>
    <cellStyle name="常规 2 4 2 3 2 5 3" xfId="8736"/>
    <cellStyle name="常规 2 4 2 3 2 5 3 2" xfId="18156"/>
    <cellStyle name="常规 2 4 2 3 2 5 3 2 2" xfId="37004"/>
    <cellStyle name="常规 2 4 2 3 2 5 3 3" xfId="27580"/>
    <cellStyle name="常规 2 4 2 3 2 5 4" xfId="11884"/>
    <cellStyle name="常规 2 4 2 3 2 5 4 2" xfId="30732"/>
    <cellStyle name="常规 2 4 2 3 2 5 5" xfId="21308"/>
    <cellStyle name="常规 2 4 2 3 2 6" xfId="3317"/>
    <cellStyle name="常规 2 4 2 3 2 6 2" xfId="12737"/>
    <cellStyle name="常规 2 4 2 3 2 6 2 2" xfId="31585"/>
    <cellStyle name="常规 2 4 2 3 2 6 3" xfId="22161"/>
    <cellStyle name="常规 2 4 2 3 2 7" xfId="6384"/>
    <cellStyle name="常规 2 4 2 3 2 7 2" xfId="15804"/>
    <cellStyle name="常规 2 4 2 3 2 7 2 2" xfId="34652"/>
    <cellStyle name="常规 2 4 2 3 2 7 3" xfId="25228"/>
    <cellStyle name="常规 2 4 2 3 2 8" xfId="9531"/>
    <cellStyle name="常规 2 4 2 3 2 8 2" xfId="28376"/>
    <cellStyle name="常规 2 4 2 3 2 9" xfId="18954"/>
    <cellStyle name="常规 2 4 2 3 3" xfId="506"/>
    <cellStyle name="常规 2 4 2 3 3 2" xfId="1290"/>
    <cellStyle name="常规 2 4 2 3 3 2 2" xfId="4426"/>
    <cellStyle name="常规 2 4 2 3 3 2 2 2" xfId="13846"/>
    <cellStyle name="常规 2 4 2 3 3 2 2 2 2" xfId="32694"/>
    <cellStyle name="常规 2 4 2 3 3 2 2 3" xfId="23270"/>
    <cellStyle name="常规 2 4 2 3 3 2 3" xfId="7562"/>
    <cellStyle name="常规 2 4 2 3 3 2 3 2" xfId="16982"/>
    <cellStyle name="常规 2 4 2 3 3 2 3 2 2" xfId="35830"/>
    <cellStyle name="常规 2 4 2 3 3 2 3 3" xfId="26406"/>
    <cellStyle name="常规 2 4 2 3 3 2 4" xfId="10710"/>
    <cellStyle name="常规 2 4 2 3 3 2 4 2" xfId="29558"/>
    <cellStyle name="常规 2 4 2 3 3 2 5" xfId="20134"/>
    <cellStyle name="常规 2 4 2 3 3 3" xfId="2074"/>
    <cellStyle name="常规 2 4 2 3 3 3 2" xfId="5210"/>
    <cellStyle name="常规 2 4 2 3 3 3 2 2" xfId="14630"/>
    <cellStyle name="常规 2 4 2 3 3 3 2 2 2" xfId="33478"/>
    <cellStyle name="常规 2 4 2 3 3 3 2 3" xfId="24054"/>
    <cellStyle name="常规 2 4 2 3 3 3 3" xfId="8346"/>
    <cellStyle name="常规 2 4 2 3 3 3 3 2" xfId="17766"/>
    <cellStyle name="常规 2 4 2 3 3 3 3 2 2" xfId="36614"/>
    <cellStyle name="常规 2 4 2 3 3 3 3 3" xfId="27190"/>
    <cellStyle name="常规 2 4 2 3 3 3 4" xfId="11494"/>
    <cellStyle name="常规 2 4 2 3 3 3 4 2" xfId="30342"/>
    <cellStyle name="常规 2 4 2 3 3 3 5" xfId="20918"/>
    <cellStyle name="常规 2 4 2 3 3 4" xfId="2858"/>
    <cellStyle name="常规 2 4 2 3 3 4 2" xfId="5994"/>
    <cellStyle name="常规 2 4 2 3 3 4 2 2" xfId="15414"/>
    <cellStyle name="常规 2 4 2 3 3 4 2 2 2" xfId="34262"/>
    <cellStyle name="常规 2 4 2 3 3 4 2 3" xfId="24838"/>
    <cellStyle name="常规 2 4 2 3 3 4 3" xfId="9130"/>
    <cellStyle name="常规 2 4 2 3 3 4 3 2" xfId="18550"/>
    <cellStyle name="常规 2 4 2 3 3 4 3 2 2" xfId="37398"/>
    <cellStyle name="常规 2 4 2 3 3 4 3 3" xfId="27974"/>
    <cellStyle name="常规 2 4 2 3 3 4 4" xfId="12278"/>
    <cellStyle name="常规 2 4 2 3 3 4 4 2" xfId="31126"/>
    <cellStyle name="常规 2 4 2 3 3 4 5" xfId="21702"/>
    <cellStyle name="常规 2 4 2 3 3 5" xfId="3642"/>
    <cellStyle name="常规 2 4 2 3 3 5 2" xfId="13062"/>
    <cellStyle name="常规 2 4 2 3 3 5 2 2" xfId="31910"/>
    <cellStyle name="常规 2 4 2 3 3 5 3" xfId="22486"/>
    <cellStyle name="常规 2 4 2 3 3 6" xfId="6778"/>
    <cellStyle name="常规 2 4 2 3 3 6 2" xfId="16198"/>
    <cellStyle name="常规 2 4 2 3 3 6 2 2" xfId="35046"/>
    <cellStyle name="常规 2 4 2 3 3 6 3" xfId="25622"/>
    <cellStyle name="常规 2 4 2 3 3 7" xfId="9926"/>
    <cellStyle name="常规 2 4 2 3 3 7 2" xfId="28774"/>
    <cellStyle name="常规 2 4 2 3 3 8" xfId="19350"/>
    <cellStyle name="常规 2 4 2 3 4" xfId="895"/>
    <cellStyle name="常规 2 4 2 3 4 2" xfId="4031"/>
    <cellStyle name="常规 2 4 2 3 4 2 2" xfId="13451"/>
    <cellStyle name="常规 2 4 2 3 4 2 2 2" xfId="32299"/>
    <cellStyle name="常规 2 4 2 3 4 2 3" xfId="22875"/>
    <cellStyle name="常规 2 4 2 3 4 3" xfId="7167"/>
    <cellStyle name="常规 2 4 2 3 4 3 2" xfId="16587"/>
    <cellStyle name="常规 2 4 2 3 4 3 2 2" xfId="35435"/>
    <cellStyle name="常规 2 4 2 3 4 3 3" xfId="26011"/>
    <cellStyle name="常规 2 4 2 3 4 4" xfId="10315"/>
    <cellStyle name="常规 2 4 2 3 4 4 2" xfId="29163"/>
    <cellStyle name="常规 2 4 2 3 4 5" xfId="19739"/>
    <cellStyle name="常规 2 4 2 3 5" xfId="1679"/>
    <cellStyle name="常规 2 4 2 3 5 2" xfId="4815"/>
    <cellStyle name="常规 2 4 2 3 5 2 2" xfId="14235"/>
    <cellStyle name="常规 2 4 2 3 5 2 2 2" xfId="33083"/>
    <cellStyle name="常规 2 4 2 3 5 2 3" xfId="23659"/>
    <cellStyle name="常规 2 4 2 3 5 3" xfId="7951"/>
    <cellStyle name="常规 2 4 2 3 5 3 2" xfId="17371"/>
    <cellStyle name="常规 2 4 2 3 5 3 2 2" xfId="36219"/>
    <cellStyle name="常规 2 4 2 3 5 3 3" xfId="26795"/>
    <cellStyle name="常规 2 4 2 3 5 4" xfId="11099"/>
    <cellStyle name="常规 2 4 2 3 5 4 2" xfId="29947"/>
    <cellStyle name="常规 2 4 2 3 5 5" xfId="20523"/>
    <cellStyle name="常规 2 4 2 3 6" xfId="2463"/>
    <cellStyle name="常规 2 4 2 3 6 2" xfId="5599"/>
    <cellStyle name="常规 2 4 2 3 6 2 2" xfId="15019"/>
    <cellStyle name="常规 2 4 2 3 6 2 2 2" xfId="33867"/>
    <cellStyle name="常规 2 4 2 3 6 2 3" xfId="24443"/>
    <cellStyle name="常规 2 4 2 3 6 3" xfId="8735"/>
    <cellStyle name="常规 2 4 2 3 6 3 2" xfId="18155"/>
    <cellStyle name="常规 2 4 2 3 6 3 2 2" xfId="37003"/>
    <cellStyle name="常规 2 4 2 3 6 3 3" xfId="27579"/>
    <cellStyle name="常规 2 4 2 3 6 4" xfId="11883"/>
    <cellStyle name="常规 2 4 2 3 6 4 2" xfId="30731"/>
    <cellStyle name="常规 2 4 2 3 6 5" xfId="21307"/>
    <cellStyle name="常规 2 4 2 3 7" xfId="3316"/>
    <cellStyle name="常规 2 4 2 3 7 2" xfId="12736"/>
    <cellStyle name="常规 2 4 2 3 7 2 2" xfId="31584"/>
    <cellStyle name="常规 2 4 2 3 7 3" xfId="22160"/>
    <cellStyle name="常规 2 4 2 3 8" xfId="6383"/>
    <cellStyle name="常规 2 4 2 3 8 2" xfId="15803"/>
    <cellStyle name="常规 2 4 2 3 8 2 2" xfId="34651"/>
    <cellStyle name="常规 2 4 2 3 8 3" xfId="25227"/>
    <cellStyle name="常规 2 4 2 3 9" xfId="9530"/>
    <cellStyle name="常规 2 4 2 3 9 2" xfId="28375"/>
    <cellStyle name="常规 2 4 2 4" xfId="109"/>
    <cellStyle name="常规 2 4 2 4 2" xfId="508"/>
    <cellStyle name="常规 2 4 2 4 2 2" xfId="1292"/>
    <cellStyle name="常规 2 4 2 4 2 2 2" xfId="4428"/>
    <cellStyle name="常规 2 4 2 4 2 2 2 2" xfId="13848"/>
    <cellStyle name="常规 2 4 2 4 2 2 2 2 2" xfId="32696"/>
    <cellStyle name="常规 2 4 2 4 2 2 2 3" xfId="23272"/>
    <cellStyle name="常规 2 4 2 4 2 2 3" xfId="7564"/>
    <cellStyle name="常规 2 4 2 4 2 2 3 2" xfId="16984"/>
    <cellStyle name="常规 2 4 2 4 2 2 3 2 2" xfId="35832"/>
    <cellStyle name="常规 2 4 2 4 2 2 3 3" xfId="26408"/>
    <cellStyle name="常规 2 4 2 4 2 2 4" xfId="10712"/>
    <cellStyle name="常规 2 4 2 4 2 2 4 2" xfId="29560"/>
    <cellStyle name="常规 2 4 2 4 2 2 5" xfId="20136"/>
    <cellStyle name="常规 2 4 2 4 2 3" xfId="2076"/>
    <cellStyle name="常规 2 4 2 4 2 3 2" xfId="5212"/>
    <cellStyle name="常规 2 4 2 4 2 3 2 2" xfId="14632"/>
    <cellStyle name="常规 2 4 2 4 2 3 2 2 2" xfId="33480"/>
    <cellStyle name="常规 2 4 2 4 2 3 2 3" xfId="24056"/>
    <cellStyle name="常规 2 4 2 4 2 3 3" xfId="8348"/>
    <cellStyle name="常规 2 4 2 4 2 3 3 2" xfId="17768"/>
    <cellStyle name="常规 2 4 2 4 2 3 3 2 2" xfId="36616"/>
    <cellStyle name="常规 2 4 2 4 2 3 3 3" xfId="27192"/>
    <cellStyle name="常规 2 4 2 4 2 3 4" xfId="11496"/>
    <cellStyle name="常规 2 4 2 4 2 3 4 2" xfId="30344"/>
    <cellStyle name="常规 2 4 2 4 2 3 5" xfId="20920"/>
    <cellStyle name="常规 2 4 2 4 2 4" xfId="2860"/>
    <cellStyle name="常规 2 4 2 4 2 4 2" xfId="5996"/>
    <cellStyle name="常规 2 4 2 4 2 4 2 2" xfId="15416"/>
    <cellStyle name="常规 2 4 2 4 2 4 2 2 2" xfId="34264"/>
    <cellStyle name="常规 2 4 2 4 2 4 2 3" xfId="24840"/>
    <cellStyle name="常规 2 4 2 4 2 4 3" xfId="9132"/>
    <cellStyle name="常规 2 4 2 4 2 4 3 2" xfId="18552"/>
    <cellStyle name="常规 2 4 2 4 2 4 3 2 2" xfId="37400"/>
    <cellStyle name="常规 2 4 2 4 2 4 3 3" xfId="27976"/>
    <cellStyle name="常规 2 4 2 4 2 4 4" xfId="12280"/>
    <cellStyle name="常规 2 4 2 4 2 4 4 2" xfId="31128"/>
    <cellStyle name="常规 2 4 2 4 2 4 5" xfId="21704"/>
    <cellStyle name="常规 2 4 2 4 2 5" xfId="3644"/>
    <cellStyle name="常规 2 4 2 4 2 5 2" xfId="13064"/>
    <cellStyle name="常规 2 4 2 4 2 5 2 2" xfId="31912"/>
    <cellStyle name="常规 2 4 2 4 2 5 3" xfId="22488"/>
    <cellStyle name="常规 2 4 2 4 2 6" xfId="6780"/>
    <cellStyle name="常规 2 4 2 4 2 6 2" xfId="16200"/>
    <cellStyle name="常规 2 4 2 4 2 6 2 2" xfId="35048"/>
    <cellStyle name="常规 2 4 2 4 2 6 3" xfId="25624"/>
    <cellStyle name="常规 2 4 2 4 2 7" xfId="9928"/>
    <cellStyle name="常规 2 4 2 4 2 7 2" xfId="28776"/>
    <cellStyle name="常规 2 4 2 4 2 8" xfId="19352"/>
    <cellStyle name="常规 2 4 2 4 3" xfId="897"/>
    <cellStyle name="常规 2 4 2 4 3 2" xfId="4033"/>
    <cellStyle name="常规 2 4 2 4 3 2 2" xfId="13453"/>
    <cellStyle name="常规 2 4 2 4 3 2 2 2" xfId="32301"/>
    <cellStyle name="常规 2 4 2 4 3 2 3" xfId="22877"/>
    <cellStyle name="常规 2 4 2 4 3 3" xfId="7169"/>
    <cellStyle name="常规 2 4 2 4 3 3 2" xfId="16589"/>
    <cellStyle name="常规 2 4 2 4 3 3 2 2" xfId="35437"/>
    <cellStyle name="常规 2 4 2 4 3 3 3" xfId="26013"/>
    <cellStyle name="常规 2 4 2 4 3 4" xfId="10317"/>
    <cellStyle name="常规 2 4 2 4 3 4 2" xfId="29165"/>
    <cellStyle name="常规 2 4 2 4 3 5" xfId="19741"/>
    <cellStyle name="常规 2 4 2 4 4" xfId="1681"/>
    <cellStyle name="常规 2 4 2 4 4 2" xfId="4817"/>
    <cellStyle name="常规 2 4 2 4 4 2 2" xfId="14237"/>
    <cellStyle name="常规 2 4 2 4 4 2 2 2" xfId="33085"/>
    <cellStyle name="常规 2 4 2 4 4 2 3" xfId="23661"/>
    <cellStyle name="常规 2 4 2 4 4 3" xfId="7953"/>
    <cellStyle name="常规 2 4 2 4 4 3 2" xfId="17373"/>
    <cellStyle name="常规 2 4 2 4 4 3 2 2" xfId="36221"/>
    <cellStyle name="常规 2 4 2 4 4 3 3" xfId="26797"/>
    <cellStyle name="常规 2 4 2 4 4 4" xfId="11101"/>
    <cellStyle name="常规 2 4 2 4 4 4 2" xfId="29949"/>
    <cellStyle name="常规 2 4 2 4 4 5" xfId="20525"/>
    <cellStyle name="常规 2 4 2 4 5" xfId="2465"/>
    <cellStyle name="常规 2 4 2 4 5 2" xfId="5601"/>
    <cellStyle name="常规 2 4 2 4 5 2 2" xfId="15021"/>
    <cellStyle name="常规 2 4 2 4 5 2 2 2" xfId="33869"/>
    <cellStyle name="常规 2 4 2 4 5 2 3" xfId="24445"/>
    <cellStyle name="常规 2 4 2 4 5 3" xfId="8737"/>
    <cellStyle name="常规 2 4 2 4 5 3 2" xfId="18157"/>
    <cellStyle name="常规 2 4 2 4 5 3 2 2" xfId="37005"/>
    <cellStyle name="常规 2 4 2 4 5 3 3" xfId="27581"/>
    <cellStyle name="常规 2 4 2 4 5 4" xfId="11885"/>
    <cellStyle name="常规 2 4 2 4 5 4 2" xfId="30733"/>
    <cellStyle name="常规 2 4 2 4 5 5" xfId="21309"/>
    <cellStyle name="常规 2 4 2 4 6" xfId="3318"/>
    <cellStyle name="常规 2 4 2 4 6 2" xfId="12738"/>
    <cellStyle name="常规 2 4 2 4 6 2 2" xfId="31586"/>
    <cellStyle name="常规 2 4 2 4 6 3" xfId="22162"/>
    <cellStyle name="常规 2 4 2 4 7" xfId="6385"/>
    <cellStyle name="常规 2 4 2 4 7 2" xfId="15805"/>
    <cellStyle name="常规 2 4 2 4 7 2 2" xfId="34653"/>
    <cellStyle name="常规 2 4 2 4 7 3" xfId="25229"/>
    <cellStyle name="常规 2 4 2 4 8" xfId="9532"/>
    <cellStyle name="常规 2 4 2 4 8 2" xfId="28377"/>
    <cellStyle name="常规 2 4 2 4 9" xfId="18955"/>
    <cellStyle name="常规 2 4 2 5" xfId="501"/>
    <cellStyle name="常规 2 4 2 5 2" xfId="1285"/>
    <cellStyle name="常规 2 4 2 5 2 2" xfId="4421"/>
    <cellStyle name="常规 2 4 2 5 2 2 2" xfId="13841"/>
    <cellStyle name="常规 2 4 2 5 2 2 2 2" xfId="32689"/>
    <cellStyle name="常规 2 4 2 5 2 2 3" xfId="23265"/>
    <cellStyle name="常规 2 4 2 5 2 3" xfId="7557"/>
    <cellStyle name="常规 2 4 2 5 2 3 2" xfId="16977"/>
    <cellStyle name="常规 2 4 2 5 2 3 2 2" xfId="35825"/>
    <cellStyle name="常规 2 4 2 5 2 3 3" xfId="26401"/>
    <cellStyle name="常规 2 4 2 5 2 4" xfId="10705"/>
    <cellStyle name="常规 2 4 2 5 2 4 2" xfId="29553"/>
    <cellStyle name="常规 2 4 2 5 2 5" xfId="20129"/>
    <cellStyle name="常规 2 4 2 5 3" xfId="2069"/>
    <cellStyle name="常规 2 4 2 5 3 2" xfId="5205"/>
    <cellStyle name="常规 2 4 2 5 3 2 2" xfId="14625"/>
    <cellStyle name="常规 2 4 2 5 3 2 2 2" xfId="33473"/>
    <cellStyle name="常规 2 4 2 5 3 2 3" xfId="24049"/>
    <cellStyle name="常规 2 4 2 5 3 3" xfId="8341"/>
    <cellStyle name="常规 2 4 2 5 3 3 2" xfId="17761"/>
    <cellStyle name="常规 2 4 2 5 3 3 2 2" xfId="36609"/>
    <cellStyle name="常规 2 4 2 5 3 3 3" xfId="27185"/>
    <cellStyle name="常规 2 4 2 5 3 4" xfId="11489"/>
    <cellStyle name="常规 2 4 2 5 3 4 2" xfId="30337"/>
    <cellStyle name="常规 2 4 2 5 3 5" xfId="20913"/>
    <cellStyle name="常规 2 4 2 5 4" xfId="2853"/>
    <cellStyle name="常规 2 4 2 5 4 2" xfId="5989"/>
    <cellStyle name="常规 2 4 2 5 4 2 2" xfId="15409"/>
    <cellStyle name="常规 2 4 2 5 4 2 2 2" xfId="34257"/>
    <cellStyle name="常规 2 4 2 5 4 2 3" xfId="24833"/>
    <cellStyle name="常规 2 4 2 5 4 3" xfId="9125"/>
    <cellStyle name="常规 2 4 2 5 4 3 2" xfId="18545"/>
    <cellStyle name="常规 2 4 2 5 4 3 2 2" xfId="37393"/>
    <cellStyle name="常规 2 4 2 5 4 3 3" xfId="27969"/>
    <cellStyle name="常规 2 4 2 5 4 4" xfId="12273"/>
    <cellStyle name="常规 2 4 2 5 4 4 2" xfId="31121"/>
    <cellStyle name="常规 2 4 2 5 4 5" xfId="21697"/>
    <cellStyle name="常规 2 4 2 5 5" xfId="3637"/>
    <cellStyle name="常规 2 4 2 5 5 2" xfId="13057"/>
    <cellStyle name="常规 2 4 2 5 5 2 2" xfId="31905"/>
    <cellStyle name="常规 2 4 2 5 5 3" xfId="22481"/>
    <cellStyle name="常规 2 4 2 5 6" xfId="6773"/>
    <cellStyle name="常规 2 4 2 5 6 2" xfId="16193"/>
    <cellStyle name="常规 2 4 2 5 6 2 2" xfId="35041"/>
    <cellStyle name="常规 2 4 2 5 6 3" xfId="25617"/>
    <cellStyle name="常规 2 4 2 5 7" xfId="9921"/>
    <cellStyle name="常规 2 4 2 5 7 2" xfId="28769"/>
    <cellStyle name="常规 2 4 2 5 8" xfId="19345"/>
    <cellStyle name="常规 2 4 2 6" xfId="890"/>
    <cellStyle name="常规 2 4 2 6 2" xfId="4026"/>
    <cellStyle name="常规 2 4 2 6 2 2" xfId="13446"/>
    <cellStyle name="常规 2 4 2 6 2 2 2" xfId="32294"/>
    <cellStyle name="常规 2 4 2 6 2 3" xfId="22870"/>
    <cellStyle name="常规 2 4 2 6 3" xfId="7162"/>
    <cellStyle name="常规 2 4 2 6 3 2" xfId="16582"/>
    <cellStyle name="常规 2 4 2 6 3 2 2" xfId="35430"/>
    <cellStyle name="常规 2 4 2 6 3 3" xfId="26006"/>
    <cellStyle name="常规 2 4 2 6 4" xfId="10310"/>
    <cellStyle name="常规 2 4 2 6 4 2" xfId="29158"/>
    <cellStyle name="常规 2 4 2 6 5" xfId="19734"/>
    <cellStyle name="常规 2 4 2 7" xfId="1674"/>
    <cellStyle name="常规 2 4 2 7 2" xfId="4810"/>
    <cellStyle name="常规 2 4 2 7 2 2" xfId="14230"/>
    <cellStyle name="常规 2 4 2 7 2 2 2" xfId="33078"/>
    <cellStyle name="常规 2 4 2 7 2 3" xfId="23654"/>
    <cellStyle name="常规 2 4 2 7 3" xfId="7946"/>
    <cellStyle name="常规 2 4 2 7 3 2" xfId="17366"/>
    <cellStyle name="常规 2 4 2 7 3 2 2" xfId="36214"/>
    <cellStyle name="常规 2 4 2 7 3 3" xfId="26790"/>
    <cellStyle name="常规 2 4 2 7 4" xfId="11094"/>
    <cellStyle name="常规 2 4 2 7 4 2" xfId="29942"/>
    <cellStyle name="常规 2 4 2 7 5" xfId="20518"/>
    <cellStyle name="常规 2 4 2 8" xfId="2458"/>
    <cellStyle name="常规 2 4 2 8 2" xfId="5594"/>
    <cellStyle name="常规 2 4 2 8 2 2" xfId="15014"/>
    <cellStyle name="常规 2 4 2 8 2 2 2" xfId="33862"/>
    <cellStyle name="常规 2 4 2 8 2 3" xfId="24438"/>
    <cellStyle name="常规 2 4 2 8 3" xfId="8730"/>
    <cellStyle name="常规 2 4 2 8 3 2" xfId="18150"/>
    <cellStyle name="常规 2 4 2 8 3 2 2" xfId="36998"/>
    <cellStyle name="常规 2 4 2 8 3 3" xfId="27574"/>
    <cellStyle name="常规 2 4 2 8 4" xfId="11878"/>
    <cellStyle name="常规 2 4 2 8 4 2" xfId="30726"/>
    <cellStyle name="常规 2 4 2 8 5" xfId="21302"/>
    <cellStyle name="常规 2 4 2 9" xfId="3160"/>
    <cellStyle name="常规 2 4 2 9 2" xfId="12580"/>
    <cellStyle name="常规 2 4 2 9 2 2" xfId="31428"/>
    <cellStyle name="常规 2 4 2 9 3" xfId="22004"/>
    <cellStyle name="常规 2 4 3" xfId="110"/>
    <cellStyle name="常规 2 4 3 10" xfId="9533"/>
    <cellStyle name="常规 2 4 3 10 2" xfId="28378"/>
    <cellStyle name="常规 2 4 3 11" xfId="18956"/>
    <cellStyle name="常规 2 4 3 2" xfId="111"/>
    <cellStyle name="常规 2 4 3 2 10" xfId="18957"/>
    <cellStyle name="常规 2 4 3 2 2" xfId="112"/>
    <cellStyle name="常规 2 4 3 2 2 2" xfId="511"/>
    <cellStyle name="常规 2 4 3 2 2 2 2" xfId="1295"/>
    <cellStyle name="常规 2 4 3 2 2 2 2 2" xfId="4431"/>
    <cellStyle name="常规 2 4 3 2 2 2 2 2 2" xfId="13851"/>
    <cellStyle name="常规 2 4 3 2 2 2 2 2 2 2" xfId="32699"/>
    <cellStyle name="常规 2 4 3 2 2 2 2 2 3" xfId="23275"/>
    <cellStyle name="常规 2 4 3 2 2 2 2 3" xfId="7567"/>
    <cellStyle name="常规 2 4 3 2 2 2 2 3 2" xfId="16987"/>
    <cellStyle name="常规 2 4 3 2 2 2 2 3 2 2" xfId="35835"/>
    <cellStyle name="常规 2 4 3 2 2 2 2 3 3" xfId="26411"/>
    <cellStyle name="常规 2 4 3 2 2 2 2 4" xfId="10715"/>
    <cellStyle name="常规 2 4 3 2 2 2 2 4 2" xfId="29563"/>
    <cellStyle name="常规 2 4 3 2 2 2 2 5" xfId="20139"/>
    <cellStyle name="常规 2 4 3 2 2 2 3" xfId="2079"/>
    <cellStyle name="常规 2 4 3 2 2 2 3 2" xfId="5215"/>
    <cellStyle name="常规 2 4 3 2 2 2 3 2 2" xfId="14635"/>
    <cellStyle name="常规 2 4 3 2 2 2 3 2 2 2" xfId="33483"/>
    <cellStyle name="常规 2 4 3 2 2 2 3 2 3" xfId="24059"/>
    <cellStyle name="常规 2 4 3 2 2 2 3 3" xfId="8351"/>
    <cellStyle name="常规 2 4 3 2 2 2 3 3 2" xfId="17771"/>
    <cellStyle name="常规 2 4 3 2 2 2 3 3 2 2" xfId="36619"/>
    <cellStyle name="常规 2 4 3 2 2 2 3 3 3" xfId="27195"/>
    <cellStyle name="常规 2 4 3 2 2 2 3 4" xfId="11499"/>
    <cellStyle name="常规 2 4 3 2 2 2 3 4 2" xfId="30347"/>
    <cellStyle name="常规 2 4 3 2 2 2 3 5" xfId="20923"/>
    <cellStyle name="常规 2 4 3 2 2 2 4" xfId="2863"/>
    <cellStyle name="常规 2 4 3 2 2 2 4 2" xfId="5999"/>
    <cellStyle name="常规 2 4 3 2 2 2 4 2 2" xfId="15419"/>
    <cellStyle name="常规 2 4 3 2 2 2 4 2 2 2" xfId="34267"/>
    <cellStyle name="常规 2 4 3 2 2 2 4 2 3" xfId="24843"/>
    <cellStyle name="常规 2 4 3 2 2 2 4 3" xfId="9135"/>
    <cellStyle name="常规 2 4 3 2 2 2 4 3 2" xfId="18555"/>
    <cellStyle name="常规 2 4 3 2 2 2 4 3 2 2" xfId="37403"/>
    <cellStyle name="常规 2 4 3 2 2 2 4 3 3" xfId="27979"/>
    <cellStyle name="常规 2 4 3 2 2 2 4 4" xfId="12283"/>
    <cellStyle name="常规 2 4 3 2 2 2 4 4 2" xfId="31131"/>
    <cellStyle name="常规 2 4 3 2 2 2 4 5" xfId="21707"/>
    <cellStyle name="常规 2 4 3 2 2 2 5" xfId="3647"/>
    <cellStyle name="常规 2 4 3 2 2 2 5 2" xfId="13067"/>
    <cellStyle name="常规 2 4 3 2 2 2 5 2 2" xfId="31915"/>
    <cellStyle name="常规 2 4 3 2 2 2 5 3" xfId="22491"/>
    <cellStyle name="常规 2 4 3 2 2 2 6" xfId="6783"/>
    <cellStyle name="常规 2 4 3 2 2 2 6 2" xfId="16203"/>
    <cellStyle name="常规 2 4 3 2 2 2 6 2 2" xfId="35051"/>
    <cellStyle name="常规 2 4 3 2 2 2 6 3" xfId="25627"/>
    <cellStyle name="常规 2 4 3 2 2 2 7" xfId="9931"/>
    <cellStyle name="常规 2 4 3 2 2 2 7 2" xfId="28779"/>
    <cellStyle name="常规 2 4 3 2 2 2 8" xfId="19355"/>
    <cellStyle name="常规 2 4 3 2 2 3" xfId="900"/>
    <cellStyle name="常规 2 4 3 2 2 3 2" xfId="4036"/>
    <cellStyle name="常规 2 4 3 2 2 3 2 2" xfId="13456"/>
    <cellStyle name="常规 2 4 3 2 2 3 2 2 2" xfId="32304"/>
    <cellStyle name="常规 2 4 3 2 2 3 2 3" xfId="22880"/>
    <cellStyle name="常规 2 4 3 2 2 3 3" xfId="7172"/>
    <cellStyle name="常规 2 4 3 2 2 3 3 2" xfId="16592"/>
    <cellStyle name="常规 2 4 3 2 2 3 3 2 2" xfId="35440"/>
    <cellStyle name="常规 2 4 3 2 2 3 3 3" xfId="26016"/>
    <cellStyle name="常规 2 4 3 2 2 3 4" xfId="10320"/>
    <cellStyle name="常规 2 4 3 2 2 3 4 2" xfId="29168"/>
    <cellStyle name="常规 2 4 3 2 2 3 5" xfId="19744"/>
    <cellStyle name="常规 2 4 3 2 2 4" xfId="1684"/>
    <cellStyle name="常规 2 4 3 2 2 4 2" xfId="4820"/>
    <cellStyle name="常规 2 4 3 2 2 4 2 2" xfId="14240"/>
    <cellStyle name="常规 2 4 3 2 2 4 2 2 2" xfId="33088"/>
    <cellStyle name="常规 2 4 3 2 2 4 2 3" xfId="23664"/>
    <cellStyle name="常规 2 4 3 2 2 4 3" xfId="7956"/>
    <cellStyle name="常规 2 4 3 2 2 4 3 2" xfId="17376"/>
    <cellStyle name="常规 2 4 3 2 2 4 3 2 2" xfId="36224"/>
    <cellStyle name="常规 2 4 3 2 2 4 3 3" xfId="26800"/>
    <cellStyle name="常规 2 4 3 2 2 4 4" xfId="11104"/>
    <cellStyle name="常规 2 4 3 2 2 4 4 2" xfId="29952"/>
    <cellStyle name="常规 2 4 3 2 2 4 5" xfId="20528"/>
    <cellStyle name="常规 2 4 3 2 2 5" xfId="2468"/>
    <cellStyle name="常规 2 4 3 2 2 5 2" xfId="5604"/>
    <cellStyle name="常规 2 4 3 2 2 5 2 2" xfId="15024"/>
    <cellStyle name="常规 2 4 3 2 2 5 2 2 2" xfId="33872"/>
    <cellStyle name="常规 2 4 3 2 2 5 2 3" xfId="24448"/>
    <cellStyle name="常规 2 4 3 2 2 5 3" xfId="8740"/>
    <cellStyle name="常规 2 4 3 2 2 5 3 2" xfId="18160"/>
    <cellStyle name="常规 2 4 3 2 2 5 3 2 2" xfId="37008"/>
    <cellStyle name="常规 2 4 3 2 2 5 3 3" xfId="27584"/>
    <cellStyle name="常规 2 4 3 2 2 5 4" xfId="11888"/>
    <cellStyle name="常规 2 4 3 2 2 5 4 2" xfId="30736"/>
    <cellStyle name="常规 2 4 3 2 2 5 5" xfId="21312"/>
    <cellStyle name="常规 2 4 3 2 2 6" xfId="3320"/>
    <cellStyle name="常规 2 4 3 2 2 6 2" xfId="12740"/>
    <cellStyle name="常规 2 4 3 2 2 6 2 2" xfId="31588"/>
    <cellStyle name="常规 2 4 3 2 2 6 3" xfId="22164"/>
    <cellStyle name="常规 2 4 3 2 2 7" xfId="6388"/>
    <cellStyle name="常规 2 4 3 2 2 7 2" xfId="15808"/>
    <cellStyle name="常规 2 4 3 2 2 7 2 2" xfId="34656"/>
    <cellStyle name="常规 2 4 3 2 2 7 3" xfId="25232"/>
    <cellStyle name="常规 2 4 3 2 2 8" xfId="9535"/>
    <cellStyle name="常规 2 4 3 2 2 8 2" xfId="28380"/>
    <cellStyle name="常规 2 4 3 2 2 9" xfId="18958"/>
    <cellStyle name="常规 2 4 3 2 3" xfId="510"/>
    <cellStyle name="常规 2 4 3 2 3 2" xfId="1294"/>
    <cellStyle name="常规 2 4 3 2 3 2 2" xfId="4430"/>
    <cellStyle name="常规 2 4 3 2 3 2 2 2" xfId="13850"/>
    <cellStyle name="常规 2 4 3 2 3 2 2 2 2" xfId="32698"/>
    <cellStyle name="常规 2 4 3 2 3 2 2 3" xfId="23274"/>
    <cellStyle name="常规 2 4 3 2 3 2 3" xfId="7566"/>
    <cellStyle name="常规 2 4 3 2 3 2 3 2" xfId="16986"/>
    <cellStyle name="常规 2 4 3 2 3 2 3 2 2" xfId="35834"/>
    <cellStyle name="常规 2 4 3 2 3 2 3 3" xfId="26410"/>
    <cellStyle name="常规 2 4 3 2 3 2 4" xfId="10714"/>
    <cellStyle name="常规 2 4 3 2 3 2 4 2" xfId="29562"/>
    <cellStyle name="常规 2 4 3 2 3 2 5" xfId="20138"/>
    <cellStyle name="常规 2 4 3 2 3 3" xfId="2078"/>
    <cellStyle name="常规 2 4 3 2 3 3 2" xfId="5214"/>
    <cellStyle name="常规 2 4 3 2 3 3 2 2" xfId="14634"/>
    <cellStyle name="常规 2 4 3 2 3 3 2 2 2" xfId="33482"/>
    <cellStyle name="常规 2 4 3 2 3 3 2 3" xfId="24058"/>
    <cellStyle name="常规 2 4 3 2 3 3 3" xfId="8350"/>
    <cellStyle name="常规 2 4 3 2 3 3 3 2" xfId="17770"/>
    <cellStyle name="常规 2 4 3 2 3 3 3 2 2" xfId="36618"/>
    <cellStyle name="常规 2 4 3 2 3 3 3 3" xfId="27194"/>
    <cellStyle name="常规 2 4 3 2 3 3 4" xfId="11498"/>
    <cellStyle name="常规 2 4 3 2 3 3 4 2" xfId="30346"/>
    <cellStyle name="常规 2 4 3 2 3 3 5" xfId="20922"/>
    <cellStyle name="常规 2 4 3 2 3 4" xfId="2862"/>
    <cellStyle name="常规 2 4 3 2 3 4 2" xfId="5998"/>
    <cellStyle name="常规 2 4 3 2 3 4 2 2" xfId="15418"/>
    <cellStyle name="常规 2 4 3 2 3 4 2 2 2" xfId="34266"/>
    <cellStyle name="常规 2 4 3 2 3 4 2 3" xfId="24842"/>
    <cellStyle name="常规 2 4 3 2 3 4 3" xfId="9134"/>
    <cellStyle name="常规 2 4 3 2 3 4 3 2" xfId="18554"/>
    <cellStyle name="常规 2 4 3 2 3 4 3 2 2" xfId="37402"/>
    <cellStyle name="常规 2 4 3 2 3 4 3 3" xfId="27978"/>
    <cellStyle name="常规 2 4 3 2 3 4 4" xfId="12282"/>
    <cellStyle name="常规 2 4 3 2 3 4 4 2" xfId="31130"/>
    <cellStyle name="常规 2 4 3 2 3 4 5" xfId="21706"/>
    <cellStyle name="常规 2 4 3 2 3 5" xfId="3646"/>
    <cellStyle name="常规 2 4 3 2 3 5 2" xfId="13066"/>
    <cellStyle name="常规 2 4 3 2 3 5 2 2" xfId="31914"/>
    <cellStyle name="常规 2 4 3 2 3 5 3" xfId="22490"/>
    <cellStyle name="常规 2 4 3 2 3 6" xfId="6782"/>
    <cellStyle name="常规 2 4 3 2 3 6 2" xfId="16202"/>
    <cellStyle name="常规 2 4 3 2 3 6 2 2" xfId="35050"/>
    <cellStyle name="常规 2 4 3 2 3 6 3" xfId="25626"/>
    <cellStyle name="常规 2 4 3 2 3 7" xfId="9930"/>
    <cellStyle name="常规 2 4 3 2 3 7 2" xfId="28778"/>
    <cellStyle name="常规 2 4 3 2 3 8" xfId="19354"/>
    <cellStyle name="常规 2 4 3 2 4" xfId="899"/>
    <cellStyle name="常规 2 4 3 2 4 2" xfId="4035"/>
    <cellStyle name="常规 2 4 3 2 4 2 2" xfId="13455"/>
    <cellStyle name="常规 2 4 3 2 4 2 2 2" xfId="32303"/>
    <cellStyle name="常规 2 4 3 2 4 2 3" xfId="22879"/>
    <cellStyle name="常规 2 4 3 2 4 3" xfId="7171"/>
    <cellStyle name="常规 2 4 3 2 4 3 2" xfId="16591"/>
    <cellStyle name="常规 2 4 3 2 4 3 2 2" xfId="35439"/>
    <cellStyle name="常规 2 4 3 2 4 3 3" xfId="26015"/>
    <cellStyle name="常规 2 4 3 2 4 4" xfId="10319"/>
    <cellStyle name="常规 2 4 3 2 4 4 2" xfId="29167"/>
    <cellStyle name="常规 2 4 3 2 4 5" xfId="19743"/>
    <cellStyle name="常规 2 4 3 2 5" xfId="1683"/>
    <cellStyle name="常规 2 4 3 2 5 2" xfId="4819"/>
    <cellStyle name="常规 2 4 3 2 5 2 2" xfId="14239"/>
    <cellStyle name="常规 2 4 3 2 5 2 2 2" xfId="33087"/>
    <cellStyle name="常规 2 4 3 2 5 2 3" xfId="23663"/>
    <cellStyle name="常规 2 4 3 2 5 3" xfId="7955"/>
    <cellStyle name="常规 2 4 3 2 5 3 2" xfId="17375"/>
    <cellStyle name="常规 2 4 3 2 5 3 2 2" xfId="36223"/>
    <cellStyle name="常规 2 4 3 2 5 3 3" xfId="26799"/>
    <cellStyle name="常规 2 4 3 2 5 4" xfId="11103"/>
    <cellStyle name="常规 2 4 3 2 5 4 2" xfId="29951"/>
    <cellStyle name="常规 2 4 3 2 5 5" xfId="20527"/>
    <cellStyle name="常规 2 4 3 2 6" xfId="2467"/>
    <cellStyle name="常规 2 4 3 2 6 2" xfId="5603"/>
    <cellStyle name="常规 2 4 3 2 6 2 2" xfId="15023"/>
    <cellStyle name="常规 2 4 3 2 6 2 2 2" xfId="33871"/>
    <cellStyle name="常规 2 4 3 2 6 2 3" xfId="24447"/>
    <cellStyle name="常规 2 4 3 2 6 3" xfId="8739"/>
    <cellStyle name="常规 2 4 3 2 6 3 2" xfId="18159"/>
    <cellStyle name="常规 2 4 3 2 6 3 2 2" xfId="37007"/>
    <cellStyle name="常规 2 4 3 2 6 3 3" xfId="27583"/>
    <cellStyle name="常规 2 4 3 2 6 4" xfId="11887"/>
    <cellStyle name="常规 2 4 3 2 6 4 2" xfId="30735"/>
    <cellStyle name="常规 2 4 3 2 6 5" xfId="21311"/>
    <cellStyle name="常规 2 4 3 2 7" xfId="3319"/>
    <cellStyle name="常规 2 4 3 2 7 2" xfId="12739"/>
    <cellStyle name="常规 2 4 3 2 7 2 2" xfId="31587"/>
    <cellStyle name="常规 2 4 3 2 7 3" xfId="22163"/>
    <cellStyle name="常规 2 4 3 2 8" xfId="6387"/>
    <cellStyle name="常规 2 4 3 2 8 2" xfId="15807"/>
    <cellStyle name="常规 2 4 3 2 8 2 2" xfId="34655"/>
    <cellStyle name="常规 2 4 3 2 8 3" xfId="25231"/>
    <cellStyle name="常规 2 4 3 2 9" xfId="9534"/>
    <cellStyle name="常规 2 4 3 2 9 2" xfId="28379"/>
    <cellStyle name="常规 2 4 3 3" xfId="113"/>
    <cellStyle name="常规 2 4 3 3 2" xfId="512"/>
    <cellStyle name="常规 2 4 3 3 2 2" xfId="1296"/>
    <cellStyle name="常规 2 4 3 3 2 2 2" xfId="4432"/>
    <cellStyle name="常规 2 4 3 3 2 2 2 2" xfId="13852"/>
    <cellStyle name="常规 2 4 3 3 2 2 2 2 2" xfId="32700"/>
    <cellStyle name="常规 2 4 3 3 2 2 2 3" xfId="23276"/>
    <cellStyle name="常规 2 4 3 3 2 2 3" xfId="7568"/>
    <cellStyle name="常规 2 4 3 3 2 2 3 2" xfId="16988"/>
    <cellStyle name="常规 2 4 3 3 2 2 3 2 2" xfId="35836"/>
    <cellStyle name="常规 2 4 3 3 2 2 3 3" xfId="26412"/>
    <cellStyle name="常规 2 4 3 3 2 2 4" xfId="10716"/>
    <cellStyle name="常规 2 4 3 3 2 2 4 2" xfId="29564"/>
    <cellStyle name="常规 2 4 3 3 2 2 5" xfId="20140"/>
    <cellStyle name="常规 2 4 3 3 2 3" xfId="2080"/>
    <cellStyle name="常规 2 4 3 3 2 3 2" xfId="5216"/>
    <cellStyle name="常规 2 4 3 3 2 3 2 2" xfId="14636"/>
    <cellStyle name="常规 2 4 3 3 2 3 2 2 2" xfId="33484"/>
    <cellStyle name="常规 2 4 3 3 2 3 2 3" xfId="24060"/>
    <cellStyle name="常规 2 4 3 3 2 3 3" xfId="8352"/>
    <cellStyle name="常规 2 4 3 3 2 3 3 2" xfId="17772"/>
    <cellStyle name="常规 2 4 3 3 2 3 3 2 2" xfId="36620"/>
    <cellStyle name="常规 2 4 3 3 2 3 3 3" xfId="27196"/>
    <cellStyle name="常规 2 4 3 3 2 3 4" xfId="11500"/>
    <cellStyle name="常规 2 4 3 3 2 3 4 2" xfId="30348"/>
    <cellStyle name="常规 2 4 3 3 2 3 5" xfId="20924"/>
    <cellStyle name="常规 2 4 3 3 2 4" xfId="2864"/>
    <cellStyle name="常规 2 4 3 3 2 4 2" xfId="6000"/>
    <cellStyle name="常规 2 4 3 3 2 4 2 2" xfId="15420"/>
    <cellStyle name="常规 2 4 3 3 2 4 2 2 2" xfId="34268"/>
    <cellStyle name="常规 2 4 3 3 2 4 2 3" xfId="24844"/>
    <cellStyle name="常规 2 4 3 3 2 4 3" xfId="9136"/>
    <cellStyle name="常规 2 4 3 3 2 4 3 2" xfId="18556"/>
    <cellStyle name="常规 2 4 3 3 2 4 3 2 2" xfId="37404"/>
    <cellStyle name="常规 2 4 3 3 2 4 3 3" xfId="27980"/>
    <cellStyle name="常规 2 4 3 3 2 4 4" xfId="12284"/>
    <cellStyle name="常规 2 4 3 3 2 4 4 2" xfId="31132"/>
    <cellStyle name="常规 2 4 3 3 2 4 5" xfId="21708"/>
    <cellStyle name="常规 2 4 3 3 2 5" xfId="3648"/>
    <cellStyle name="常规 2 4 3 3 2 5 2" xfId="13068"/>
    <cellStyle name="常规 2 4 3 3 2 5 2 2" xfId="31916"/>
    <cellStyle name="常规 2 4 3 3 2 5 3" xfId="22492"/>
    <cellStyle name="常规 2 4 3 3 2 6" xfId="6784"/>
    <cellStyle name="常规 2 4 3 3 2 6 2" xfId="16204"/>
    <cellStyle name="常规 2 4 3 3 2 6 2 2" xfId="35052"/>
    <cellStyle name="常规 2 4 3 3 2 6 3" xfId="25628"/>
    <cellStyle name="常规 2 4 3 3 2 7" xfId="9932"/>
    <cellStyle name="常规 2 4 3 3 2 7 2" xfId="28780"/>
    <cellStyle name="常规 2 4 3 3 2 8" xfId="19356"/>
    <cellStyle name="常规 2 4 3 3 3" xfId="901"/>
    <cellStyle name="常规 2 4 3 3 3 2" xfId="4037"/>
    <cellStyle name="常规 2 4 3 3 3 2 2" xfId="13457"/>
    <cellStyle name="常规 2 4 3 3 3 2 2 2" xfId="32305"/>
    <cellStyle name="常规 2 4 3 3 3 2 3" xfId="22881"/>
    <cellStyle name="常规 2 4 3 3 3 3" xfId="7173"/>
    <cellStyle name="常规 2 4 3 3 3 3 2" xfId="16593"/>
    <cellStyle name="常规 2 4 3 3 3 3 2 2" xfId="35441"/>
    <cellStyle name="常规 2 4 3 3 3 3 3" xfId="26017"/>
    <cellStyle name="常规 2 4 3 3 3 4" xfId="10321"/>
    <cellStyle name="常规 2 4 3 3 3 4 2" xfId="29169"/>
    <cellStyle name="常规 2 4 3 3 3 5" xfId="19745"/>
    <cellStyle name="常规 2 4 3 3 4" xfId="1685"/>
    <cellStyle name="常规 2 4 3 3 4 2" xfId="4821"/>
    <cellStyle name="常规 2 4 3 3 4 2 2" xfId="14241"/>
    <cellStyle name="常规 2 4 3 3 4 2 2 2" xfId="33089"/>
    <cellStyle name="常规 2 4 3 3 4 2 3" xfId="23665"/>
    <cellStyle name="常规 2 4 3 3 4 3" xfId="7957"/>
    <cellStyle name="常规 2 4 3 3 4 3 2" xfId="17377"/>
    <cellStyle name="常规 2 4 3 3 4 3 2 2" xfId="36225"/>
    <cellStyle name="常规 2 4 3 3 4 3 3" xfId="26801"/>
    <cellStyle name="常规 2 4 3 3 4 4" xfId="11105"/>
    <cellStyle name="常规 2 4 3 3 4 4 2" xfId="29953"/>
    <cellStyle name="常规 2 4 3 3 4 5" xfId="20529"/>
    <cellStyle name="常规 2 4 3 3 5" xfId="2469"/>
    <cellStyle name="常规 2 4 3 3 5 2" xfId="5605"/>
    <cellStyle name="常规 2 4 3 3 5 2 2" xfId="15025"/>
    <cellStyle name="常规 2 4 3 3 5 2 2 2" xfId="33873"/>
    <cellStyle name="常规 2 4 3 3 5 2 3" xfId="24449"/>
    <cellStyle name="常规 2 4 3 3 5 3" xfId="8741"/>
    <cellStyle name="常规 2 4 3 3 5 3 2" xfId="18161"/>
    <cellStyle name="常规 2 4 3 3 5 3 2 2" xfId="37009"/>
    <cellStyle name="常规 2 4 3 3 5 3 3" xfId="27585"/>
    <cellStyle name="常规 2 4 3 3 5 4" xfId="11889"/>
    <cellStyle name="常规 2 4 3 3 5 4 2" xfId="30737"/>
    <cellStyle name="常规 2 4 3 3 5 5" xfId="21313"/>
    <cellStyle name="常规 2 4 3 3 6" xfId="3321"/>
    <cellStyle name="常规 2 4 3 3 6 2" xfId="12741"/>
    <cellStyle name="常规 2 4 3 3 6 2 2" xfId="31589"/>
    <cellStyle name="常规 2 4 3 3 6 3" xfId="22165"/>
    <cellStyle name="常规 2 4 3 3 7" xfId="6389"/>
    <cellStyle name="常规 2 4 3 3 7 2" xfId="15809"/>
    <cellStyle name="常规 2 4 3 3 7 2 2" xfId="34657"/>
    <cellStyle name="常规 2 4 3 3 7 3" xfId="25233"/>
    <cellStyle name="常规 2 4 3 3 8" xfId="9536"/>
    <cellStyle name="常规 2 4 3 3 8 2" xfId="28381"/>
    <cellStyle name="常规 2 4 3 3 9" xfId="18959"/>
    <cellStyle name="常规 2 4 3 4" xfId="509"/>
    <cellStyle name="常规 2 4 3 4 2" xfId="1293"/>
    <cellStyle name="常规 2 4 3 4 2 2" xfId="4429"/>
    <cellStyle name="常规 2 4 3 4 2 2 2" xfId="13849"/>
    <cellStyle name="常规 2 4 3 4 2 2 2 2" xfId="32697"/>
    <cellStyle name="常规 2 4 3 4 2 2 3" xfId="23273"/>
    <cellStyle name="常规 2 4 3 4 2 3" xfId="7565"/>
    <cellStyle name="常规 2 4 3 4 2 3 2" xfId="16985"/>
    <cellStyle name="常规 2 4 3 4 2 3 2 2" xfId="35833"/>
    <cellStyle name="常规 2 4 3 4 2 3 3" xfId="26409"/>
    <cellStyle name="常规 2 4 3 4 2 4" xfId="10713"/>
    <cellStyle name="常规 2 4 3 4 2 4 2" xfId="29561"/>
    <cellStyle name="常规 2 4 3 4 2 5" xfId="20137"/>
    <cellStyle name="常规 2 4 3 4 3" xfId="2077"/>
    <cellStyle name="常规 2 4 3 4 3 2" xfId="5213"/>
    <cellStyle name="常规 2 4 3 4 3 2 2" xfId="14633"/>
    <cellStyle name="常规 2 4 3 4 3 2 2 2" xfId="33481"/>
    <cellStyle name="常规 2 4 3 4 3 2 3" xfId="24057"/>
    <cellStyle name="常规 2 4 3 4 3 3" xfId="8349"/>
    <cellStyle name="常规 2 4 3 4 3 3 2" xfId="17769"/>
    <cellStyle name="常规 2 4 3 4 3 3 2 2" xfId="36617"/>
    <cellStyle name="常规 2 4 3 4 3 3 3" xfId="27193"/>
    <cellStyle name="常规 2 4 3 4 3 4" xfId="11497"/>
    <cellStyle name="常规 2 4 3 4 3 4 2" xfId="30345"/>
    <cellStyle name="常规 2 4 3 4 3 5" xfId="20921"/>
    <cellStyle name="常规 2 4 3 4 4" xfId="2861"/>
    <cellStyle name="常规 2 4 3 4 4 2" xfId="5997"/>
    <cellStyle name="常规 2 4 3 4 4 2 2" xfId="15417"/>
    <cellStyle name="常规 2 4 3 4 4 2 2 2" xfId="34265"/>
    <cellStyle name="常规 2 4 3 4 4 2 3" xfId="24841"/>
    <cellStyle name="常规 2 4 3 4 4 3" xfId="9133"/>
    <cellStyle name="常规 2 4 3 4 4 3 2" xfId="18553"/>
    <cellStyle name="常规 2 4 3 4 4 3 2 2" xfId="37401"/>
    <cellStyle name="常规 2 4 3 4 4 3 3" xfId="27977"/>
    <cellStyle name="常规 2 4 3 4 4 4" xfId="12281"/>
    <cellStyle name="常规 2 4 3 4 4 4 2" xfId="31129"/>
    <cellStyle name="常规 2 4 3 4 4 5" xfId="21705"/>
    <cellStyle name="常规 2 4 3 4 5" xfId="3645"/>
    <cellStyle name="常规 2 4 3 4 5 2" xfId="13065"/>
    <cellStyle name="常规 2 4 3 4 5 2 2" xfId="31913"/>
    <cellStyle name="常规 2 4 3 4 5 3" xfId="22489"/>
    <cellStyle name="常规 2 4 3 4 6" xfId="6781"/>
    <cellStyle name="常规 2 4 3 4 6 2" xfId="16201"/>
    <cellStyle name="常规 2 4 3 4 6 2 2" xfId="35049"/>
    <cellStyle name="常规 2 4 3 4 6 3" xfId="25625"/>
    <cellStyle name="常规 2 4 3 4 7" xfId="9929"/>
    <cellStyle name="常规 2 4 3 4 7 2" xfId="28777"/>
    <cellStyle name="常规 2 4 3 4 8" xfId="19353"/>
    <cellStyle name="常规 2 4 3 5" xfId="898"/>
    <cellStyle name="常规 2 4 3 5 2" xfId="4034"/>
    <cellStyle name="常规 2 4 3 5 2 2" xfId="13454"/>
    <cellStyle name="常规 2 4 3 5 2 2 2" xfId="32302"/>
    <cellStyle name="常规 2 4 3 5 2 3" xfId="22878"/>
    <cellStyle name="常规 2 4 3 5 3" xfId="7170"/>
    <cellStyle name="常规 2 4 3 5 3 2" xfId="16590"/>
    <cellStyle name="常规 2 4 3 5 3 2 2" xfId="35438"/>
    <cellStyle name="常规 2 4 3 5 3 3" xfId="26014"/>
    <cellStyle name="常规 2 4 3 5 4" xfId="10318"/>
    <cellStyle name="常规 2 4 3 5 4 2" xfId="29166"/>
    <cellStyle name="常规 2 4 3 5 5" xfId="19742"/>
    <cellStyle name="常规 2 4 3 6" xfId="1682"/>
    <cellStyle name="常规 2 4 3 6 2" xfId="4818"/>
    <cellStyle name="常规 2 4 3 6 2 2" xfId="14238"/>
    <cellStyle name="常规 2 4 3 6 2 2 2" xfId="33086"/>
    <cellStyle name="常规 2 4 3 6 2 3" xfId="23662"/>
    <cellStyle name="常规 2 4 3 6 3" xfId="7954"/>
    <cellStyle name="常规 2 4 3 6 3 2" xfId="17374"/>
    <cellStyle name="常规 2 4 3 6 3 2 2" xfId="36222"/>
    <cellStyle name="常规 2 4 3 6 3 3" xfId="26798"/>
    <cellStyle name="常规 2 4 3 6 4" xfId="11102"/>
    <cellStyle name="常规 2 4 3 6 4 2" xfId="29950"/>
    <cellStyle name="常规 2 4 3 6 5" xfId="20526"/>
    <cellStyle name="常规 2 4 3 7" xfId="2466"/>
    <cellStyle name="常规 2 4 3 7 2" xfId="5602"/>
    <cellStyle name="常规 2 4 3 7 2 2" xfId="15022"/>
    <cellStyle name="常规 2 4 3 7 2 2 2" xfId="33870"/>
    <cellStyle name="常规 2 4 3 7 2 3" xfId="24446"/>
    <cellStyle name="常规 2 4 3 7 3" xfId="8738"/>
    <cellStyle name="常规 2 4 3 7 3 2" xfId="18158"/>
    <cellStyle name="常规 2 4 3 7 3 2 2" xfId="37006"/>
    <cellStyle name="常规 2 4 3 7 3 3" xfId="27582"/>
    <cellStyle name="常规 2 4 3 7 4" xfId="11886"/>
    <cellStyle name="常规 2 4 3 7 4 2" xfId="30734"/>
    <cellStyle name="常规 2 4 3 7 5" xfId="21310"/>
    <cellStyle name="常规 2 4 3 8" xfId="3205"/>
    <cellStyle name="常规 2 4 3 8 2" xfId="12625"/>
    <cellStyle name="常规 2 4 3 8 2 2" xfId="31473"/>
    <cellStyle name="常规 2 4 3 8 3" xfId="22049"/>
    <cellStyle name="常规 2 4 3 9" xfId="6386"/>
    <cellStyle name="常规 2 4 3 9 2" xfId="15806"/>
    <cellStyle name="常规 2 4 3 9 2 2" xfId="34654"/>
    <cellStyle name="常规 2 4 3 9 3" xfId="25230"/>
    <cellStyle name="常规 2 4 4" xfId="114"/>
    <cellStyle name="常规 2 4 4 10" xfId="18960"/>
    <cellStyle name="常规 2 4 4 2" xfId="115"/>
    <cellStyle name="常规 2 4 4 2 2" xfId="514"/>
    <cellStyle name="常规 2 4 4 2 2 2" xfId="1298"/>
    <cellStyle name="常规 2 4 4 2 2 2 2" xfId="4434"/>
    <cellStyle name="常规 2 4 4 2 2 2 2 2" xfId="13854"/>
    <cellStyle name="常规 2 4 4 2 2 2 2 2 2" xfId="32702"/>
    <cellStyle name="常规 2 4 4 2 2 2 2 3" xfId="23278"/>
    <cellStyle name="常规 2 4 4 2 2 2 3" xfId="7570"/>
    <cellStyle name="常规 2 4 4 2 2 2 3 2" xfId="16990"/>
    <cellStyle name="常规 2 4 4 2 2 2 3 2 2" xfId="35838"/>
    <cellStyle name="常规 2 4 4 2 2 2 3 3" xfId="26414"/>
    <cellStyle name="常规 2 4 4 2 2 2 4" xfId="10718"/>
    <cellStyle name="常规 2 4 4 2 2 2 4 2" xfId="29566"/>
    <cellStyle name="常规 2 4 4 2 2 2 5" xfId="20142"/>
    <cellStyle name="常规 2 4 4 2 2 3" xfId="2082"/>
    <cellStyle name="常规 2 4 4 2 2 3 2" xfId="5218"/>
    <cellStyle name="常规 2 4 4 2 2 3 2 2" xfId="14638"/>
    <cellStyle name="常规 2 4 4 2 2 3 2 2 2" xfId="33486"/>
    <cellStyle name="常规 2 4 4 2 2 3 2 3" xfId="24062"/>
    <cellStyle name="常规 2 4 4 2 2 3 3" xfId="8354"/>
    <cellStyle name="常规 2 4 4 2 2 3 3 2" xfId="17774"/>
    <cellStyle name="常规 2 4 4 2 2 3 3 2 2" xfId="36622"/>
    <cellStyle name="常规 2 4 4 2 2 3 3 3" xfId="27198"/>
    <cellStyle name="常规 2 4 4 2 2 3 4" xfId="11502"/>
    <cellStyle name="常规 2 4 4 2 2 3 4 2" xfId="30350"/>
    <cellStyle name="常规 2 4 4 2 2 3 5" xfId="20926"/>
    <cellStyle name="常规 2 4 4 2 2 4" xfId="2866"/>
    <cellStyle name="常规 2 4 4 2 2 4 2" xfId="6002"/>
    <cellStyle name="常规 2 4 4 2 2 4 2 2" xfId="15422"/>
    <cellStyle name="常规 2 4 4 2 2 4 2 2 2" xfId="34270"/>
    <cellStyle name="常规 2 4 4 2 2 4 2 3" xfId="24846"/>
    <cellStyle name="常规 2 4 4 2 2 4 3" xfId="9138"/>
    <cellStyle name="常规 2 4 4 2 2 4 3 2" xfId="18558"/>
    <cellStyle name="常规 2 4 4 2 2 4 3 2 2" xfId="37406"/>
    <cellStyle name="常规 2 4 4 2 2 4 3 3" xfId="27982"/>
    <cellStyle name="常规 2 4 4 2 2 4 4" xfId="12286"/>
    <cellStyle name="常规 2 4 4 2 2 4 4 2" xfId="31134"/>
    <cellStyle name="常规 2 4 4 2 2 4 5" xfId="21710"/>
    <cellStyle name="常规 2 4 4 2 2 5" xfId="3650"/>
    <cellStyle name="常规 2 4 4 2 2 5 2" xfId="13070"/>
    <cellStyle name="常规 2 4 4 2 2 5 2 2" xfId="31918"/>
    <cellStyle name="常规 2 4 4 2 2 5 3" xfId="22494"/>
    <cellStyle name="常规 2 4 4 2 2 6" xfId="6786"/>
    <cellStyle name="常规 2 4 4 2 2 6 2" xfId="16206"/>
    <cellStyle name="常规 2 4 4 2 2 6 2 2" xfId="35054"/>
    <cellStyle name="常规 2 4 4 2 2 6 3" xfId="25630"/>
    <cellStyle name="常规 2 4 4 2 2 7" xfId="9934"/>
    <cellStyle name="常规 2 4 4 2 2 7 2" xfId="28782"/>
    <cellStyle name="常规 2 4 4 2 2 8" xfId="19358"/>
    <cellStyle name="常规 2 4 4 2 3" xfId="903"/>
    <cellStyle name="常规 2 4 4 2 3 2" xfId="4039"/>
    <cellStyle name="常规 2 4 4 2 3 2 2" xfId="13459"/>
    <cellStyle name="常规 2 4 4 2 3 2 2 2" xfId="32307"/>
    <cellStyle name="常规 2 4 4 2 3 2 3" xfId="22883"/>
    <cellStyle name="常规 2 4 4 2 3 3" xfId="7175"/>
    <cellStyle name="常规 2 4 4 2 3 3 2" xfId="16595"/>
    <cellStyle name="常规 2 4 4 2 3 3 2 2" xfId="35443"/>
    <cellStyle name="常规 2 4 4 2 3 3 3" xfId="26019"/>
    <cellStyle name="常规 2 4 4 2 3 4" xfId="10323"/>
    <cellStyle name="常规 2 4 4 2 3 4 2" xfId="29171"/>
    <cellStyle name="常规 2 4 4 2 3 5" xfId="19747"/>
    <cellStyle name="常规 2 4 4 2 4" xfId="1687"/>
    <cellStyle name="常规 2 4 4 2 4 2" xfId="4823"/>
    <cellStyle name="常规 2 4 4 2 4 2 2" xfId="14243"/>
    <cellStyle name="常规 2 4 4 2 4 2 2 2" xfId="33091"/>
    <cellStyle name="常规 2 4 4 2 4 2 3" xfId="23667"/>
    <cellStyle name="常规 2 4 4 2 4 3" xfId="7959"/>
    <cellStyle name="常规 2 4 4 2 4 3 2" xfId="17379"/>
    <cellStyle name="常规 2 4 4 2 4 3 2 2" xfId="36227"/>
    <cellStyle name="常规 2 4 4 2 4 3 3" xfId="26803"/>
    <cellStyle name="常规 2 4 4 2 4 4" xfId="11107"/>
    <cellStyle name="常规 2 4 4 2 4 4 2" xfId="29955"/>
    <cellStyle name="常规 2 4 4 2 4 5" xfId="20531"/>
    <cellStyle name="常规 2 4 4 2 5" xfId="2471"/>
    <cellStyle name="常规 2 4 4 2 5 2" xfId="5607"/>
    <cellStyle name="常规 2 4 4 2 5 2 2" xfId="15027"/>
    <cellStyle name="常规 2 4 4 2 5 2 2 2" xfId="33875"/>
    <cellStyle name="常规 2 4 4 2 5 2 3" xfId="24451"/>
    <cellStyle name="常规 2 4 4 2 5 3" xfId="8743"/>
    <cellStyle name="常规 2 4 4 2 5 3 2" xfId="18163"/>
    <cellStyle name="常规 2 4 4 2 5 3 2 2" xfId="37011"/>
    <cellStyle name="常规 2 4 4 2 5 3 3" xfId="27587"/>
    <cellStyle name="常规 2 4 4 2 5 4" xfId="11891"/>
    <cellStyle name="常规 2 4 4 2 5 4 2" xfId="30739"/>
    <cellStyle name="常规 2 4 4 2 5 5" xfId="21315"/>
    <cellStyle name="常规 2 4 4 2 6" xfId="3323"/>
    <cellStyle name="常规 2 4 4 2 6 2" xfId="12743"/>
    <cellStyle name="常规 2 4 4 2 6 2 2" xfId="31591"/>
    <cellStyle name="常规 2 4 4 2 6 3" xfId="22167"/>
    <cellStyle name="常规 2 4 4 2 7" xfId="6391"/>
    <cellStyle name="常规 2 4 4 2 7 2" xfId="15811"/>
    <cellStyle name="常规 2 4 4 2 7 2 2" xfId="34659"/>
    <cellStyle name="常规 2 4 4 2 7 3" xfId="25235"/>
    <cellStyle name="常规 2 4 4 2 8" xfId="9538"/>
    <cellStyle name="常规 2 4 4 2 8 2" xfId="28383"/>
    <cellStyle name="常规 2 4 4 2 9" xfId="18961"/>
    <cellStyle name="常规 2 4 4 3" xfId="513"/>
    <cellStyle name="常规 2 4 4 3 2" xfId="1297"/>
    <cellStyle name="常规 2 4 4 3 2 2" xfId="4433"/>
    <cellStyle name="常规 2 4 4 3 2 2 2" xfId="13853"/>
    <cellStyle name="常规 2 4 4 3 2 2 2 2" xfId="32701"/>
    <cellStyle name="常规 2 4 4 3 2 2 3" xfId="23277"/>
    <cellStyle name="常规 2 4 4 3 2 3" xfId="7569"/>
    <cellStyle name="常规 2 4 4 3 2 3 2" xfId="16989"/>
    <cellStyle name="常规 2 4 4 3 2 3 2 2" xfId="35837"/>
    <cellStyle name="常规 2 4 4 3 2 3 3" xfId="26413"/>
    <cellStyle name="常规 2 4 4 3 2 4" xfId="10717"/>
    <cellStyle name="常规 2 4 4 3 2 4 2" xfId="29565"/>
    <cellStyle name="常规 2 4 4 3 2 5" xfId="20141"/>
    <cellStyle name="常规 2 4 4 3 3" xfId="2081"/>
    <cellStyle name="常规 2 4 4 3 3 2" xfId="5217"/>
    <cellStyle name="常规 2 4 4 3 3 2 2" xfId="14637"/>
    <cellStyle name="常规 2 4 4 3 3 2 2 2" xfId="33485"/>
    <cellStyle name="常规 2 4 4 3 3 2 3" xfId="24061"/>
    <cellStyle name="常规 2 4 4 3 3 3" xfId="8353"/>
    <cellStyle name="常规 2 4 4 3 3 3 2" xfId="17773"/>
    <cellStyle name="常规 2 4 4 3 3 3 2 2" xfId="36621"/>
    <cellStyle name="常规 2 4 4 3 3 3 3" xfId="27197"/>
    <cellStyle name="常规 2 4 4 3 3 4" xfId="11501"/>
    <cellStyle name="常规 2 4 4 3 3 4 2" xfId="30349"/>
    <cellStyle name="常规 2 4 4 3 3 5" xfId="20925"/>
    <cellStyle name="常规 2 4 4 3 4" xfId="2865"/>
    <cellStyle name="常规 2 4 4 3 4 2" xfId="6001"/>
    <cellStyle name="常规 2 4 4 3 4 2 2" xfId="15421"/>
    <cellStyle name="常规 2 4 4 3 4 2 2 2" xfId="34269"/>
    <cellStyle name="常规 2 4 4 3 4 2 3" xfId="24845"/>
    <cellStyle name="常规 2 4 4 3 4 3" xfId="9137"/>
    <cellStyle name="常规 2 4 4 3 4 3 2" xfId="18557"/>
    <cellStyle name="常规 2 4 4 3 4 3 2 2" xfId="37405"/>
    <cellStyle name="常规 2 4 4 3 4 3 3" xfId="27981"/>
    <cellStyle name="常规 2 4 4 3 4 4" xfId="12285"/>
    <cellStyle name="常规 2 4 4 3 4 4 2" xfId="31133"/>
    <cellStyle name="常规 2 4 4 3 4 5" xfId="21709"/>
    <cellStyle name="常规 2 4 4 3 5" xfId="3649"/>
    <cellStyle name="常规 2 4 4 3 5 2" xfId="13069"/>
    <cellStyle name="常规 2 4 4 3 5 2 2" xfId="31917"/>
    <cellStyle name="常规 2 4 4 3 5 3" xfId="22493"/>
    <cellStyle name="常规 2 4 4 3 6" xfId="6785"/>
    <cellStyle name="常规 2 4 4 3 6 2" xfId="16205"/>
    <cellStyle name="常规 2 4 4 3 6 2 2" xfId="35053"/>
    <cellStyle name="常规 2 4 4 3 6 3" xfId="25629"/>
    <cellStyle name="常规 2 4 4 3 7" xfId="9933"/>
    <cellStyle name="常规 2 4 4 3 7 2" xfId="28781"/>
    <cellStyle name="常规 2 4 4 3 8" xfId="19357"/>
    <cellStyle name="常规 2 4 4 4" xfId="902"/>
    <cellStyle name="常规 2 4 4 4 2" xfId="4038"/>
    <cellStyle name="常规 2 4 4 4 2 2" xfId="13458"/>
    <cellStyle name="常规 2 4 4 4 2 2 2" xfId="32306"/>
    <cellStyle name="常规 2 4 4 4 2 3" xfId="22882"/>
    <cellStyle name="常规 2 4 4 4 3" xfId="7174"/>
    <cellStyle name="常规 2 4 4 4 3 2" xfId="16594"/>
    <cellStyle name="常规 2 4 4 4 3 2 2" xfId="35442"/>
    <cellStyle name="常规 2 4 4 4 3 3" xfId="26018"/>
    <cellStyle name="常规 2 4 4 4 4" xfId="10322"/>
    <cellStyle name="常规 2 4 4 4 4 2" xfId="29170"/>
    <cellStyle name="常规 2 4 4 4 5" xfId="19746"/>
    <cellStyle name="常规 2 4 4 5" xfId="1686"/>
    <cellStyle name="常规 2 4 4 5 2" xfId="4822"/>
    <cellStyle name="常规 2 4 4 5 2 2" xfId="14242"/>
    <cellStyle name="常规 2 4 4 5 2 2 2" xfId="33090"/>
    <cellStyle name="常规 2 4 4 5 2 3" xfId="23666"/>
    <cellStyle name="常规 2 4 4 5 3" xfId="7958"/>
    <cellStyle name="常规 2 4 4 5 3 2" xfId="17378"/>
    <cellStyle name="常规 2 4 4 5 3 2 2" xfId="36226"/>
    <cellStyle name="常规 2 4 4 5 3 3" xfId="26802"/>
    <cellStyle name="常规 2 4 4 5 4" xfId="11106"/>
    <cellStyle name="常规 2 4 4 5 4 2" xfId="29954"/>
    <cellStyle name="常规 2 4 4 5 5" xfId="20530"/>
    <cellStyle name="常规 2 4 4 6" xfId="2470"/>
    <cellStyle name="常规 2 4 4 6 2" xfId="5606"/>
    <cellStyle name="常规 2 4 4 6 2 2" xfId="15026"/>
    <cellStyle name="常规 2 4 4 6 2 2 2" xfId="33874"/>
    <cellStyle name="常规 2 4 4 6 2 3" xfId="24450"/>
    <cellStyle name="常规 2 4 4 6 3" xfId="8742"/>
    <cellStyle name="常规 2 4 4 6 3 2" xfId="18162"/>
    <cellStyle name="常规 2 4 4 6 3 2 2" xfId="37010"/>
    <cellStyle name="常规 2 4 4 6 3 3" xfId="27586"/>
    <cellStyle name="常规 2 4 4 6 4" xfId="11890"/>
    <cellStyle name="常规 2 4 4 6 4 2" xfId="30738"/>
    <cellStyle name="常规 2 4 4 6 5" xfId="21314"/>
    <cellStyle name="常规 2 4 4 7" xfId="3322"/>
    <cellStyle name="常规 2 4 4 7 2" xfId="12742"/>
    <cellStyle name="常规 2 4 4 7 2 2" xfId="31590"/>
    <cellStyle name="常规 2 4 4 7 3" xfId="22166"/>
    <cellStyle name="常规 2 4 4 8" xfId="6390"/>
    <cellStyle name="常规 2 4 4 8 2" xfId="15810"/>
    <cellStyle name="常规 2 4 4 8 2 2" xfId="34658"/>
    <cellStyle name="常规 2 4 4 8 3" xfId="25234"/>
    <cellStyle name="常规 2 4 4 9" xfId="9537"/>
    <cellStyle name="常规 2 4 4 9 2" xfId="28382"/>
    <cellStyle name="常规 2 4 5" xfId="116"/>
    <cellStyle name="常规 2 4 5 2" xfId="515"/>
    <cellStyle name="常规 2 4 5 2 2" xfId="1299"/>
    <cellStyle name="常规 2 4 5 2 2 2" xfId="4435"/>
    <cellStyle name="常规 2 4 5 2 2 2 2" xfId="13855"/>
    <cellStyle name="常规 2 4 5 2 2 2 2 2" xfId="32703"/>
    <cellStyle name="常规 2 4 5 2 2 2 3" xfId="23279"/>
    <cellStyle name="常规 2 4 5 2 2 3" xfId="7571"/>
    <cellStyle name="常规 2 4 5 2 2 3 2" xfId="16991"/>
    <cellStyle name="常规 2 4 5 2 2 3 2 2" xfId="35839"/>
    <cellStyle name="常规 2 4 5 2 2 3 3" xfId="26415"/>
    <cellStyle name="常规 2 4 5 2 2 4" xfId="10719"/>
    <cellStyle name="常规 2 4 5 2 2 4 2" xfId="29567"/>
    <cellStyle name="常规 2 4 5 2 2 5" xfId="20143"/>
    <cellStyle name="常规 2 4 5 2 3" xfId="2083"/>
    <cellStyle name="常规 2 4 5 2 3 2" xfId="5219"/>
    <cellStyle name="常规 2 4 5 2 3 2 2" xfId="14639"/>
    <cellStyle name="常规 2 4 5 2 3 2 2 2" xfId="33487"/>
    <cellStyle name="常规 2 4 5 2 3 2 3" xfId="24063"/>
    <cellStyle name="常规 2 4 5 2 3 3" xfId="8355"/>
    <cellStyle name="常规 2 4 5 2 3 3 2" xfId="17775"/>
    <cellStyle name="常规 2 4 5 2 3 3 2 2" xfId="36623"/>
    <cellStyle name="常规 2 4 5 2 3 3 3" xfId="27199"/>
    <cellStyle name="常规 2 4 5 2 3 4" xfId="11503"/>
    <cellStyle name="常规 2 4 5 2 3 4 2" xfId="30351"/>
    <cellStyle name="常规 2 4 5 2 3 5" xfId="20927"/>
    <cellStyle name="常规 2 4 5 2 4" xfId="2867"/>
    <cellStyle name="常规 2 4 5 2 4 2" xfId="6003"/>
    <cellStyle name="常规 2 4 5 2 4 2 2" xfId="15423"/>
    <cellStyle name="常规 2 4 5 2 4 2 2 2" xfId="34271"/>
    <cellStyle name="常规 2 4 5 2 4 2 3" xfId="24847"/>
    <cellStyle name="常规 2 4 5 2 4 3" xfId="9139"/>
    <cellStyle name="常规 2 4 5 2 4 3 2" xfId="18559"/>
    <cellStyle name="常规 2 4 5 2 4 3 2 2" xfId="37407"/>
    <cellStyle name="常规 2 4 5 2 4 3 3" xfId="27983"/>
    <cellStyle name="常规 2 4 5 2 4 4" xfId="12287"/>
    <cellStyle name="常规 2 4 5 2 4 4 2" xfId="31135"/>
    <cellStyle name="常规 2 4 5 2 4 5" xfId="21711"/>
    <cellStyle name="常规 2 4 5 2 5" xfId="3651"/>
    <cellStyle name="常规 2 4 5 2 5 2" xfId="13071"/>
    <cellStyle name="常规 2 4 5 2 5 2 2" xfId="31919"/>
    <cellStyle name="常规 2 4 5 2 5 3" xfId="22495"/>
    <cellStyle name="常规 2 4 5 2 6" xfId="6787"/>
    <cellStyle name="常规 2 4 5 2 6 2" xfId="16207"/>
    <cellStyle name="常规 2 4 5 2 6 2 2" xfId="35055"/>
    <cellStyle name="常规 2 4 5 2 6 3" xfId="25631"/>
    <cellStyle name="常规 2 4 5 2 7" xfId="9935"/>
    <cellStyle name="常规 2 4 5 2 7 2" xfId="28783"/>
    <cellStyle name="常规 2 4 5 2 8" xfId="19359"/>
    <cellStyle name="常规 2 4 5 3" xfId="904"/>
    <cellStyle name="常规 2 4 5 3 2" xfId="4040"/>
    <cellStyle name="常规 2 4 5 3 2 2" xfId="13460"/>
    <cellStyle name="常规 2 4 5 3 2 2 2" xfId="32308"/>
    <cellStyle name="常规 2 4 5 3 2 3" xfId="22884"/>
    <cellStyle name="常规 2 4 5 3 3" xfId="7176"/>
    <cellStyle name="常规 2 4 5 3 3 2" xfId="16596"/>
    <cellStyle name="常规 2 4 5 3 3 2 2" xfId="35444"/>
    <cellStyle name="常规 2 4 5 3 3 3" xfId="26020"/>
    <cellStyle name="常规 2 4 5 3 4" xfId="10324"/>
    <cellStyle name="常规 2 4 5 3 4 2" xfId="29172"/>
    <cellStyle name="常规 2 4 5 3 5" xfId="19748"/>
    <cellStyle name="常规 2 4 5 4" xfId="1688"/>
    <cellStyle name="常规 2 4 5 4 2" xfId="4824"/>
    <cellStyle name="常规 2 4 5 4 2 2" xfId="14244"/>
    <cellStyle name="常规 2 4 5 4 2 2 2" xfId="33092"/>
    <cellStyle name="常规 2 4 5 4 2 3" xfId="23668"/>
    <cellStyle name="常规 2 4 5 4 3" xfId="7960"/>
    <cellStyle name="常规 2 4 5 4 3 2" xfId="17380"/>
    <cellStyle name="常规 2 4 5 4 3 2 2" xfId="36228"/>
    <cellStyle name="常规 2 4 5 4 3 3" xfId="26804"/>
    <cellStyle name="常规 2 4 5 4 4" xfId="11108"/>
    <cellStyle name="常规 2 4 5 4 4 2" xfId="29956"/>
    <cellStyle name="常规 2 4 5 4 5" xfId="20532"/>
    <cellStyle name="常规 2 4 5 5" xfId="2472"/>
    <cellStyle name="常规 2 4 5 5 2" xfId="5608"/>
    <cellStyle name="常规 2 4 5 5 2 2" xfId="15028"/>
    <cellStyle name="常规 2 4 5 5 2 2 2" xfId="33876"/>
    <cellStyle name="常规 2 4 5 5 2 3" xfId="24452"/>
    <cellStyle name="常规 2 4 5 5 3" xfId="8744"/>
    <cellStyle name="常规 2 4 5 5 3 2" xfId="18164"/>
    <cellStyle name="常规 2 4 5 5 3 2 2" xfId="37012"/>
    <cellStyle name="常规 2 4 5 5 3 3" xfId="27588"/>
    <cellStyle name="常规 2 4 5 5 4" xfId="11892"/>
    <cellStyle name="常规 2 4 5 5 4 2" xfId="30740"/>
    <cellStyle name="常规 2 4 5 5 5" xfId="21316"/>
    <cellStyle name="常规 2 4 5 6" xfId="3324"/>
    <cellStyle name="常规 2 4 5 6 2" xfId="12744"/>
    <cellStyle name="常规 2 4 5 6 2 2" xfId="31592"/>
    <cellStyle name="常规 2 4 5 6 3" xfId="22168"/>
    <cellStyle name="常规 2 4 5 7" xfId="6392"/>
    <cellStyle name="常规 2 4 5 7 2" xfId="15812"/>
    <cellStyle name="常规 2 4 5 7 2 2" xfId="34660"/>
    <cellStyle name="常规 2 4 5 7 3" xfId="25236"/>
    <cellStyle name="常规 2 4 5 8" xfId="9539"/>
    <cellStyle name="常规 2 4 5 8 2" xfId="28384"/>
    <cellStyle name="常规 2 4 5 9" xfId="18962"/>
    <cellStyle name="常规 2 4 6" xfId="500"/>
    <cellStyle name="常规 2 4 6 2" xfId="1284"/>
    <cellStyle name="常规 2 4 6 2 2" xfId="4420"/>
    <cellStyle name="常规 2 4 6 2 2 2" xfId="13840"/>
    <cellStyle name="常规 2 4 6 2 2 2 2" xfId="32688"/>
    <cellStyle name="常规 2 4 6 2 2 3" xfId="23264"/>
    <cellStyle name="常规 2 4 6 2 3" xfId="7556"/>
    <cellStyle name="常规 2 4 6 2 3 2" xfId="16976"/>
    <cellStyle name="常规 2 4 6 2 3 2 2" xfId="35824"/>
    <cellStyle name="常规 2 4 6 2 3 3" xfId="26400"/>
    <cellStyle name="常规 2 4 6 2 4" xfId="10704"/>
    <cellStyle name="常规 2 4 6 2 4 2" xfId="29552"/>
    <cellStyle name="常规 2 4 6 2 5" xfId="20128"/>
    <cellStyle name="常规 2 4 6 3" xfId="2068"/>
    <cellStyle name="常规 2 4 6 3 2" xfId="5204"/>
    <cellStyle name="常规 2 4 6 3 2 2" xfId="14624"/>
    <cellStyle name="常规 2 4 6 3 2 2 2" xfId="33472"/>
    <cellStyle name="常规 2 4 6 3 2 3" xfId="24048"/>
    <cellStyle name="常规 2 4 6 3 3" xfId="8340"/>
    <cellStyle name="常规 2 4 6 3 3 2" xfId="17760"/>
    <cellStyle name="常规 2 4 6 3 3 2 2" xfId="36608"/>
    <cellStyle name="常规 2 4 6 3 3 3" xfId="27184"/>
    <cellStyle name="常规 2 4 6 3 4" xfId="11488"/>
    <cellStyle name="常规 2 4 6 3 4 2" xfId="30336"/>
    <cellStyle name="常规 2 4 6 3 5" xfId="20912"/>
    <cellStyle name="常规 2 4 6 4" xfId="2852"/>
    <cellStyle name="常规 2 4 6 4 2" xfId="5988"/>
    <cellStyle name="常规 2 4 6 4 2 2" xfId="15408"/>
    <cellStyle name="常规 2 4 6 4 2 2 2" xfId="34256"/>
    <cellStyle name="常规 2 4 6 4 2 3" xfId="24832"/>
    <cellStyle name="常规 2 4 6 4 3" xfId="9124"/>
    <cellStyle name="常规 2 4 6 4 3 2" xfId="18544"/>
    <cellStyle name="常规 2 4 6 4 3 2 2" xfId="37392"/>
    <cellStyle name="常规 2 4 6 4 3 3" xfId="27968"/>
    <cellStyle name="常规 2 4 6 4 4" xfId="12272"/>
    <cellStyle name="常规 2 4 6 4 4 2" xfId="31120"/>
    <cellStyle name="常规 2 4 6 4 5" xfId="21696"/>
    <cellStyle name="常规 2 4 6 5" xfId="3636"/>
    <cellStyle name="常规 2 4 6 5 2" xfId="13056"/>
    <cellStyle name="常规 2 4 6 5 2 2" xfId="31904"/>
    <cellStyle name="常规 2 4 6 5 3" xfId="22480"/>
    <cellStyle name="常规 2 4 6 6" xfId="6772"/>
    <cellStyle name="常规 2 4 6 6 2" xfId="16192"/>
    <cellStyle name="常规 2 4 6 6 2 2" xfId="35040"/>
    <cellStyle name="常规 2 4 6 6 3" xfId="25616"/>
    <cellStyle name="常规 2 4 6 7" xfId="9920"/>
    <cellStyle name="常规 2 4 6 7 2" xfId="28768"/>
    <cellStyle name="常规 2 4 6 8" xfId="19344"/>
    <cellStyle name="常规 2 4 7" xfId="889"/>
    <cellStyle name="常规 2 4 7 2" xfId="4025"/>
    <cellStyle name="常规 2 4 7 2 2" xfId="13445"/>
    <cellStyle name="常规 2 4 7 2 2 2" xfId="32293"/>
    <cellStyle name="常规 2 4 7 2 3" xfId="22869"/>
    <cellStyle name="常规 2 4 7 3" xfId="7161"/>
    <cellStyle name="常规 2 4 7 3 2" xfId="16581"/>
    <cellStyle name="常规 2 4 7 3 2 2" xfId="35429"/>
    <cellStyle name="常规 2 4 7 3 3" xfId="26005"/>
    <cellStyle name="常规 2 4 7 4" xfId="10309"/>
    <cellStyle name="常规 2 4 7 4 2" xfId="29157"/>
    <cellStyle name="常规 2 4 7 5" xfId="19733"/>
    <cellStyle name="常规 2 4 8" xfId="1673"/>
    <cellStyle name="常规 2 4 8 2" xfId="4809"/>
    <cellStyle name="常规 2 4 8 2 2" xfId="14229"/>
    <cellStyle name="常规 2 4 8 2 2 2" xfId="33077"/>
    <cellStyle name="常规 2 4 8 2 3" xfId="23653"/>
    <cellStyle name="常规 2 4 8 3" xfId="7945"/>
    <cellStyle name="常规 2 4 8 3 2" xfId="17365"/>
    <cellStyle name="常规 2 4 8 3 2 2" xfId="36213"/>
    <cellStyle name="常规 2 4 8 3 3" xfId="26789"/>
    <cellStyle name="常规 2 4 8 4" xfId="11093"/>
    <cellStyle name="常规 2 4 8 4 2" xfId="29941"/>
    <cellStyle name="常规 2 4 8 5" xfId="20517"/>
    <cellStyle name="常规 2 4 9" xfId="2457"/>
    <cellStyle name="常规 2 4 9 2" xfId="5593"/>
    <cellStyle name="常规 2 4 9 2 2" xfId="15013"/>
    <cellStyle name="常规 2 4 9 2 2 2" xfId="33861"/>
    <cellStyle name="常规 2 4 9 2 3" xfId="24437"/>
    <cellStyle name="常规 2 4 9 3" xfId="8729"/>
    <cellStyle name="常规 2 4 9 3 2" xfId="18149"/>
    <cellStyle name="常规 2 4 9 3 2 2" xfId="36997"/>
    <cellStyle name="常规 2 4 9 3 3" xfId="27573"/>
    <cellStyle name="常规 2 4 9 4" xfId="11877"/>
    <cellStyle name="常规 2 4 9 4 2" xfId="30725"/>
    <cellStyle name="常规 2 4 9 5" xfId="21301"/>
    <cellStyle name="常规 2 5" xfId="117"/>
    <cellStyle name="常规 2 5 10" xfId="6393"/>
    <cellStyle name="常规 2 5 10 2" xfId="15813"/>
    <cellStyle name="常规 2 5 10 2 2" xfId="34661"/>
    <cellStyle name="常规 2 5 10 3" xfId="25237"/>
    <cellStyle name="常规 2 5 11" xfId="9540"/>
    <cellStyle name="常规 2 5 11 2" xfId="28385"/>
    <cellStyle name="常规 2 5 12" xfId="18963"/>
    <cellStyle name="常规 2 5 2" xfId="118"/>
    <cellStyle name="常规 2 5 2 10" xfId="9541"/>
    <cellStyle name="常规 2 5 2 10 2" xfId="28386"/>
    <cellStyle name="常规 2 5 2 11" xfId="18964"/>
    <cellStyle name="常规 2 5 2 2" xfId="119"/>
    <cellStyle name="常规 2 5 2 2 10" xfId="18965"/>
    <cellStyle name="常规 2 5 2 2 2" xfId="120"/>
    <cellStyle name="常规 2 5 2 2 2 2" xfId="519"/>
    <cellStyle name="常规 2 5 2 2 2 2 2" xfId="1303"/>
    <cellStyle name="常规 2 5 2 2 2 2 2 2" xfId="4439"/>
    <cellStyle name="常规 2 5 2 2 2 2 2 2 2" xfId="13859"/>
    <cellStyle name="常规 2 5 2 2 2 2 2 2 2 2" xfId="32707"/>
    <cellStyle name="常规 2 5 2 2 2 2 2 2 3" xfId="23283"/>
    <cellStyle name="常规 2 5 2 2 2 2 2 3" xfId="7575"/>
    <cellStyle name="常规 2 5 2 2 2 2 2 3 2" xfId="16995"/>
    <cellStyle name="常规 2 5 2 2 2 2 2 3 2 2" xfId="35843"/>
    <cellStyle name="常规 2 5 2 2 2 2 2 3 3" xfId="26419"/>
    <cellStyle name="常规 2 5 2 2 2 2 2 4" xfId="10723"/>
    <cellStyle name="常规 2 5 2 2 2 2 2 4 2" xfId="29571"/>
    <cellStyle name="常规 2 5 2 2 2 2 2 5" xfId="20147"/>
    <cellStyle name="常规 2 5 2 2 2 2 3" xfId="2087"/>
    <cellStyle name="常规 2 5 2 2 2 2 3 2" xfId="5223"/>
    <cellStyle name="常规 2 5 2 2 2 2 3 2 2" xfId="14643"/>
    <cellStyle name="常规 2 5 2 2 2 2 3 2 2 2" xfId="33491"/>
    <cellStyle name="常规 2 5 2 2 2 2 3 2 3" xfId="24067"/>
    <cellStyle name="常规 2 5 2 2 2 2 3 3" xfId="8359"/>
    <cellStyle name="常规 2 5 2 2 2 2 3 3 2" xfId="17779"/>
    <cellStyle name="常规 2 5 2 2 2 2 3 3 2 2" xfId="36627"/>
    <cellStyle name="常规 2 5 2 2 2 2 3 3 3" xfId="27203"/>
    <cellStyle name="常规 2 5 2 2 2 2 3 4" xfId="11507"/>
    <cellStyle name="常规 2 5 2 2 2 2 3 4 2" xfId="30355"/>
    <cellStyle name="常规 2 5 2 2 2 2 3 5" xfId="20931"/>
    <cellStyle name="常规 2 5 2 2 2 2 4" xfId="2871"/>
    <cellStyle name="常规 2 5 2 2 2 2 4 2" xfId="6007"/>
    <cellStyle name="常规 2 5 2 2 2 2 4 2 2" xfId="15427"/>
    <cellStyle name="常规 2 5 2 2 2 2 4 2 2 2" xfId="34275"/>
    <cellStyle name="常规 2 5 2 2 2 2 4 2 3" xfId="24851"/>
    <cellStyle name="常规 2 5 2 2 2 2 4 3" xfId="9143"/>
    <cellStyle name="常规 2 5 2 2 2 2 4 3 2" xfId="18563"/>
    <cellStyle name="常规 2 5 2 2 2 2 4 3 2 2" xfId="37411"/>
    <cellStyle name="常规 2 5 2 2 2 2 4 3 3" xfId="27987"/>
    <cellStyle name="常规 2 5 2 2 2 2 4 4" xfId="12291"/>
    <cellStyle name="常规 2 5 2 2 2 2 4 4 2" xfId="31139"/>
    <cellStyle name="常规 2 5 2 2 2 2 4 5" xfId="21715"/>
    <cellStyle name="常规 2 5 2 2 2 2 5" xfId="3655"/>
    <cellStyle name="常规 2 5 2 2 2 2 5 2" xfId="13075"/>
    <cellStyle name="常规 2 5 2 2 2 2 5 2 2" xfId="31923"/>
    <cellStyle name="常规 2 5 2 2 2 2 5 3" xfId="22499"/>
    <cellStyle name="常规 2 5 2 2 2 2 6" xfId="6791"/>
    <cellStyle name="常规 2 5 2 2 2 2 6 2" xfId="16211"/>
    <cellStyle name="常规 2 5 2 2 2 2 6 2 2" xfId="35059"/>
    <cellStyle name="常规 2 5 2 2 2 2 6 3" xfId="25635"/>
    <cellStyle name="常规 2 5 2 2 2 2 7" xfId="9939"/>
    <cellStyle name="常规 2 5 2 2 2 2 7 2" xfId="28787"/>
    <cellStyle name="常规 2 5 2 2 2 2 8" xfId="19363"/>
    <cellStyle name="常规 2 5 2 2 2 3" xfId="908"/>
    <cellStyle name="常规 2 5 2 2 2 3 2" xfId="4044"/>
    <cellStyle name="常规 2 5 2 2 2 3 2 2" xfId="13464"/>
    <cellStyle name="常规 2 5 2 2 2 3 2 2 2" xfId="32312"/>
    <cellStyle name="常规 2 5 2 2 2 3 2 3" xfId="22888"/>
    <cellStyle name="常规 2 5 2 2 2 3 3" xfId="7180"/>
    <cellStyle name="常规 2 5 2 2 2 3 3 2" xfId="16600"/>
    <cellStyle name="常规 2 5 2 2 2 3 3 2 2" xfId="35448"/>
    <cellStyle name="常规 2 5 2 2 2 3 3 3" xfId="26024"/>
    <cellStyle name="常规 2 5 2 2 2 3 4" xfId="10328"/>
    <cellStyle name="常规 2 5 2 2 2 3 4 2" xfId="29176"/>
    <cellStyle name="常规 2 5 2 2 2 3 5" xfId="19752"/>
    <cellStyle name="常规 2 5 2 2 2 4" xfId="1692"/>
    <cellStyle name="常规 2 5 2 2 2 4 2" xfId="4828"/>
    <cellStyle name="常规 2 5 2 2 2 4 2 2" xfId="14248"/>
    <cellStyle name="常规 2 5 2 2 2 4 2 2 2" xfId="33096"/>
    <cellStyle name="常规 2 5 2 2 2 4 2 3" xfId="23672"/>
    <cellStyle name="常规 2 5 2 2 2 4 3" xfId="7964"/>
    <cellStyle name="常规 2 5 2 2 2 4 3 2" xfId="17384"/>
    <cellStyle name="常规 2 5 2 2 2 4 3 2 2" xfId="36232"/>
    <cellStyle name="常规 2 5 2 2 2 4 3 3" xfId="26808"/>
    <cellStyle name="常规 2 5 2 2 2 4 4" xfId="11112"/>
    <cellStyle name="常规 2 5 2 2 2 4 4 2" xfId="29960"/>
    <cellStyle name="常规 2 5 2 2 2 4 5" xfId="20536"/>
    <cellStyle name="常规 2 5 2 2 2 5" xfId="2476"/>
    <cellStyle name="常规 2 5 2 2 2 5 2" xfId="5612"/>
    <cellStyle name="常规 2 5 2 2 2 5 2 2" xfId="15032"/>
    <cellStyle name="常规 2 5 2 2 2 5 2 2 2" xfId="33880"/>
    <cellStyle name="常规 2 5 2 2 2 5 2 3" xfId="24456"/>
    <cellStyle name="常规 2 5 2 2 2 5 3" xfId="8748"/>
    <cellStyle name="常规 2 5 2 2 2 5 3 2" xfId="18168"/>
    <cellStyle name="常规 2 5 2 2 2 5 3 2 2" xfId="37016"/>
    <cellStyle name="常规 2 5 2 2 2 5 3 3" xfId="27592"/>
    <cellStyle name="常规 2 5 2 2 2 5 4" xfId="11896"/>
    <cellStyle name="常规 2 5 2 2 2 5 4 2" xfId="30744"/>
    <cellStyle name="常规 2 5 2 2 2 5 5" xfId="21320"/>
    <cellStyle name="常规 2 5 2 2 2 6" xfId="3326"/>
    <cellStyle name="常规 2 5 2 2 2 6 2" xfId="12746"/>
    <cellStyle name="常规 2 5 2 2 2 6 2 2" xfId="31594"/>
    <cellStyle name="常规 2 5 2 2 2 6 3" xfId="22170"/>
    <cellStyle name="常规 2 5 2 2 2 7" xfId="6396"/>
    <cellStyle name="常规 2 5 2 2 2 7 2" xfId="15816"/>
    <cellStyle name="常规 2 5 2 2 2 7 2 2" xfId="34664"/>
    <cellStyle name="常规 2 5 2 2 2 7 3" xfId="25240"/>
    <cellStyle name="常规 2 5 2 2 2 8" xfId="9543"/>
    <cellStyle name="常规 2 5 2 2 2 8 2" xfId="28388"/>
    <cellStyle name="常规 2 5 2 2 2 9" xfId="18966"/>
    <cellStyle name="常规 2 5 2 2 3" xfId="518"/>
    <cellStyle name="常规 2 5 2 2 3 2" xfId="1302"/>
    <cellStyle name="常规 2 5 2 2 3 2 2" xfId="4438"/>
    <cellStyle name="常规 2 5 2 2 3 2 2 2" xfId="13858"/>
    <cellStyle name="常规 2 5 2 2 3 2 2 2 2" xfId="32706"/>
    <cellStyle name="常规 2 5 2 2 3 2 2 3" xfId="23282"/>
    <cellStyle name="常规 2 5 2 2 3 2 3" xfId="7574"/>
    <cellStyle name="常规 2 5 2 2 3 2 3 2" xfId="16994"/>
    <cellStyle name="常规 2 5 2 2 3 2 3 2 2" xfId="35842"/>
    <cellStyle name="常规 2 5 2 2 3 2 3 3" xfId="26418"/>
    <cellStyle name="常规 2 5 2 2 3 2 4" xfId="10722"/>
    <cellStyle name="常规 2 5 2 2 3 2 4 2" xfId="29570"/>
    <cellStyle name="常规 2 5 2 2 3 2 5" xfId="20146"/>
    <cellStyle name="常规 2 5 2 2 3 3" xfId="2086"/>
    <cellStyle name="常规 2 5 2 2 3 3 2" xfId="5222"/>
    <cellStyle name="常规 2 5 2 2 3 3 2 2" xfId="14642"/>
    <cellStyle name="常规 2 5 2 2 3 3 2 2 2" xfId="33490"/>
    <cellStyle name="常规 2 5 2 2 3 3 2 3" xfId="24066"/>
    <cellStyle name="常规 2 5 2 2 3 3 3" xfId="8358"/>
    <cellStyle name="常规 2 5 2 2 3 3 3 2" xfId="17778"/>
    <cellStyle name="常规 2 5 2 2 3 3 3 2 2" xfId="36626"/>
    <cellStyle name="常规 2 5 2 2 3 3 3 3" xfId="27202"/>
    <cellStyle name="常规 2 5 2 2 3 3 4" xfId="11506"/>
    <cellStyle name="常规 2 5 2 2 3 3 4 2" xfId="30354"/>
    <cellStyle name="常规 2 5 2 2 3 3 5" xfId="20930"/>
    <cellStyle name="常规 2 5 2 2 3 4" xfId="2870"/>
    <cellStyle name="常规 2 5 2 2 3 4 2" xfId="6006"/>
    <cellStyle name="常规 2 5 2 2 3 4 2 2" xfId="15426"/>
    <cellStyle name="常规 2 5 2 2 3 4 2 2 2" xfId="34274"/>
    <cellStyle name="常规 2 5 2 2 3 4 2 3" xfId="24850"/>
    <cellStyle name="常规 2 5 2 2 3 4 3" xfId="9142"/>
    <cellStyle name="常规 2 5 2 2 3 4 3 2" xfId="18562"/>
    <cellStyle name="常规 2 5 2 2 3 4 3 2 2" xfId="37410"/>
    <cellStyle name="常规 2 5 2 2 3 4 3 3" xfId="27986"/>
    <cellStyle name="常规 2 5 2 2 3 4 4" xfId="12290"/>
    <cellStyle name="常规 2 5 2 2 3 4 4 2" xfId="31138"/>
    <cellStyle name="常规 2 5 2 2 3 4 5" xfId="21714"/>
    <cellStyle name="常规 2 5 2 2 3 5" xfId="3654"/>
    <cellStyle name="常规 2 5 2 2 3 5 2" xfId="13074"/>
    <cellStyle name="常规 2 5 2 2 3 5 2 2" xfId="31922"/>
    <cellStyle name="常规 2 5 2 2 3 5 3" xfId="22498"/>
    <cellStyle name="常规 2 5 2 2 3 6" xfId="6790"/>
    <cellStyle name="常规 2 5 2 2 3 6 2" xfId="16210"/>
    <cellStyle name="常规 2 5 2 2 3 6 2 2" xfId="35058"/>
    <cellStyle name="常规 2 5 2 2 3 6 3" xfId="25634"/>
    <cellStyle name="常规 2 5 2 2 3 7" xfId="9938"/>
    <cellStyle name="常规 2 5 2 2 3 7 2" xfId="28786"/>
    <cellStyle name="常规 2 5 2 2 3 8" xfId="19362"/>
    <cellStyle name="常规 2 5 2 2 4" xfId="907"/>
    <cellStyle name="常规 2 5 2 2 4 2" xfId="4043"/>
    <cellStyle name="常规 2 5 2 2 4 2 2" xfId="13463"/>
    <cellStyle name="常规 2 5 2 2 4 2 2 2" xfId="32311"/>
    <cellStyle name="常规 2 5 2 2 4 2 3" xfId="22887"/>
    <cellStyle name="常规 2 5 2 2 4 3" xfId="7179"/>
    <cellStyle name="常规 2 5 2 2 4 3 2" xfId="16599"/>
    <cellStyle name="常规 2 5 2 2 4 3 2 2" xfId="35447"/>
    <cellStyle name="常规 2 5 2 2 4 3 3" xfId="26023"/>
    <cellStyle name="常规 2 5 2 2 4 4" xfId="10327"/>
    <cellStyle name="常规 2 5 2 2 4 4 2" xfId="29175"/>
    <cellStyle name="常规 2 5 2 2 4 5" xfId="19751"/>
    <cellStyle name="常规 2 5 2 2 5" xfId="1691"/>
    <cellStyle name="常规 2 5 2 2 5 2" xfId="4827"/>
    <cellStyle name="常规 2 5 2 2 5 2 2" xfId="14247"/>
    <cellStyle name="常规 2 5 2 2 5 2 2 2" xfId="33095"/>
    <cellStyle name="常规 2 5 2 2 5 2 3" xfId="23671"/>
    <cellStyle name="常规 2 5 2 2 5 3" xfId="7963"/>
    <cellStyle name="常规 2 5 2 2 5 3 2" xfId="17383"/>
    <cellStyle name="常规 2 5 2 2 5 3 2 2" xfId="36231"/>
    <cellStyle name="常规 2 5 2 2 5 3 3" xfId="26807"/>
    <cellStyle name="常规 2 5 2 2 5 4" xfId="11111"/>
    <cellStyle name="常规 2 5 2 2 5 4 2" xfId="29959"/>
    <cellStyle name="常规 2 5 2 2 5 5" xfId="20535"/>
    <cellStyle name="常规 2 5 2 2 6" xfId="2475"/>
    <cellStyle name="常规 2 5 2 2 6 2" xfId="5611"/>
    <cellStyle name="常规 2 5 2 2 6 2 2" xfId="15031"/>
    <cellStyle name="常规 2 5 2 2 6 2 2 2" xfId="33879"/>
    <cellStyle name="常规 2 5 2 2 6 2 3" xfId="24455"/>
    <cellStyle name="常规 2 5 2 2 6 3" xfId="8747"/>
    <cellStyle name="常规 2 5 2 2 6 3 2" xfId="18167"/>
    <cellStyle name="常规 2 5 2 2 6 3 2 2" xfId="37015"/>
    <cellStyle name="常规 2 5 2 2 6 3 3" xfId="27591"/>
    <cellStyle name="常规 2 5 2 2 6 4" xfId="11895"/>
    <cellStyle name="常规 2 5 2 2 6 4 2" xfId="30743"/>
    <cellStyle name="常规 2 5 2 2 6 5" xfId="21319"/>
    <cellStyle name="常规 2 5 2 2 7" xfId="3325"/>
    <cellStyle name="常规 2 5 2 2 7 2" xfId="12745"/>
    <cellStyle name="常规 2 5 2 2 7 2 2" xfId="31593"/>
    <cellStyle name="常规 2 5 2 2 7 3" xfId="22169"/>
    <cellStyle name="常规 2 5 2 2 8" xfId="6395"/>
    <cellStyle name="常规 2 5 2 2 8 2" xfId="15815"/>
    <cellStyle name="常规 2 5 2 2 8 2 2" xfId="34663"/>
    <cellStyle name="常规 2 5 2 2 8 3" xfId="25239"/>
    <cellStyle name="常规 2 5 2 2 9" xfId="9542"/>
    <cellStyle name="常规 2 5 2 2 9 2" xfId="28387"/>
    <cellStyle name="常规 2 5 2 3" xfId="121"/>
    <cellStyle name="常规 2 5 2 3 2" xfId="520"/>
    <cellStyle name="常规 2 5 2 3 2 2" xfId="1304"/>
    <cellStyle name="常规 2 5 2 3 2 2 2" xfId="4440"/>
    <cellStyle name="常规 2 5 2 3 2 2 2 2" xfId="13860"/>
    <cellStyle name="常规 2 5 2 3 2 2 2 2 2" xfId="32708"/>
    <cellStyle name="常规 2 5 2 3 2 2 2 3" xfId="23284"/>
    <cellStyle name="常规 2 5 2 3 2 2 3" xfId="7576"/>
    <cellStyle name="常规 2 5 2 3 2 2 3 2" xfId="16996"/>
    <cellStyle name="常规 2 5 2 3 2 2 3 2 2" xfId="35844"/>
    <cellStyle name="常规 2 5 2 3 2 2 3 3" xfId="26420"/>
    <cellStyle name="常规 2 5 2 3 2 2 4" xfId="10724"/>
    <cellStyle name="常规 2 5 2 3 2 2 4 2" xfId="29572"/>
    <cellStyle name="常规 2 5 2 3 2 2 5" xfId="20148"/>
    <cellStyle name="常规 2 5 2 3 2 3" xfId="2088"/>
    <cellStyle name="常规 2 5 2 3 2 3 2" xfId="5224"/>
    <cellStyle name="常规 2 5 2 3 2 3 2 2" xfId="14644"/>
    <cellStyle name="常规 2 5 2 3 2 3 2 2 2" xfId="33492"/>
    <cellStyle name="常规 2 5 2 3 2 3 2 3" xfId="24068"/>
    <cellStyle name="常规 2 5 2 3 2 3 3" xfId="8360"/>
    <cellStyle name="常规 2 5 2 3 2 3 3 2" xfId="17780"/>
    <cellStyle name="常规 2 5 2 3 2 3 3 2 2" xfId="36628"/>
    <cellStyle name="常规 2 5 2 3 2 3 3 3" xfId="27204"/>
    <cellStyle name="常规 2 5 2 3 2 3 4" xfId="11508"/>
    <cellStyle name="常规 2 5 2 3 2 3 4 2" xfId="30356"/>
    <cellStyle name="常规 2 5 2 3 2 3 5" xfId="20932"/>
    <cellStyle name="常规 2 5 2 3 2 4" xfId="2872"/>
    <cellStyle name="常规 2 5 2 3 2 4 2" xfId="6008"/>
    <cellStyle name="常规 2 5 2 3 2 4 2 2" xfId="15428"/>
    <cellStyle name="常规 2 5 2 3 2 4 2 2 2" xfId="34276"/>
    <cellStyle name="常规 2 5 2 3 2 4 2 3" xfId="24852"/>
    <cellStyle name="常规 2 5 2 3 2 4 3" xfId="9144"/>
    <cellStyle name="常规 2 5 2 3 2 4 3 2" xfId="18564"/>
    <cellStyle name="常规 2 5 2 3 2 4 3 2 2" xfId="37412"/>
    <cellStyle name="常规 2 5 2 3 2 4 3 3" xfId="27988"/>
    <cellStyle name="常规 2 5 2 3 2 4 4" xfId="12292"/>
    <cellStyle name="常规 2 5 2 3 2 4 4 2" xfId="31140"/>
    <cellStyle name="常规 2 5 2 3 2 4 5" xfId="21716"/>
    <cellStyle name="常规 2 5 2 3 2 5" xfId="3656"/>
    <cellStyle name="常规 2 5 2 3 2 5 2" xfId="13076"/>
    <cellStyle name="常规 2 5 2 3 2 5 2 2" xfId="31924"/>
    <cellStyle name="常规 2 5 2 3 2 5 3" xfId="22500"/>
    <cellStyle name="常规 2 5 2 3 2 6" xfId="6792"/>
    <cellStyle name="常规 2 5 2 3 2 6 2" xfId="16212"/>
    <cellStyle name="常规 2 5 2 3 2 6 2 2" xfId="35060"/>
    <cellStyle name="常规 2 5 2 3 2 6 3" xfId="25636"/>
    <cellStyle name="常规 2 5 2 3 2 7" xfId="9940"/>
    <cellStyle name="常规 2 5 2 3 2 7 2" xfId="28788"/>
    <cellStyle name="常规 2 5 2 3 2 8" xfId="19364"/>
    <cellStyle name="常规 2 5 2 3 3" xfId="909"/>
    <cellStyle name="常规 2 5 2 3 3 2" xfId="4045"/>
    <cellStyle name="常规 2 5 2 3 3 2 2" xfId="13465"/>
    <cellStyle name="常规 2 5 2 3 3 2 2 2" xfId="32313"/>
    <cellStyle name="常规 2 5 2 3 3 2 3" xfId="22889"/>
    <cellStyle name="常规 2 5 2 3 3 3" xfId="7181"/>
    <cellStyle name="常规 2 5 2 3 3 3 2" xfId="16601"/>
    <cellStyle name="常规 2 5 2 3 3 3 2 2" xfId="35449"/>
    <cellStyle name="常规 2 5 2 3 3 3 3" xfId="26025"/>
    <cellStyle name="常规 2 5 2 3 3 4" xfId="10329"/>
    <cellStyle name="常规 2 5 2 3 3 4 2" xfId="29177"/>
    <cellStyle name="常规 2 5 2 3 3 5" xfId="19753"/>
    <cellStyle name="常规 2 5 2 3 4" xfId="1693"/>
    <cellStyle name="常规 2 5 2 3 4 2" xfId="4829"/>
    <cellStyle name="常规 2 5 2 3 4 2 2" xfId="14249"/>
    <cellStyle name="常规 2 5 2 3 4 2 2 2" xfId="33097"/>
    <cellStyle name="常规 2 5 2 3 4 2 3" xfId="23673"/>
    <cellStyle name="常规 2 5 2 3 4 3" xfId="7965"/>
    <cellStyle name="常规 2 5 2 3 4 3 2" xfId="17385"/>
    <cellStyle name="常规 2 5 2 3 4 3 2 2" xfId="36233"/>
    <cellStyle name="常规 2 5 2 3 4 3 3" xfId="26809"/>
    <cellStyle name="常规 2 5 2 3 4 4" xfId="11113"/>
    <cellStyle name="常规 2 5 2 3 4 4 2" xfId="29961"/>
    <cellStyle name="常规 2 5 2 3 4 5" xfId="20537"/>
    <cellStyle name="常规 2 5 2 3 5" xfId="2477"/>
    <cellStyle name="常规 2 5 2 3 5 2" xfId="5613"/>
    <cellStyle name="常规 2 5 2 3 5 2 2" xfId="15033"/>
    <cellStyle name="常规 2 5 2 3 5 2 2 2" xfId="33881"/>
    <cellStyle name="常规 2 5 2 3 5 2 3" xfId="24457"/>
    <cellStyle name="常规 2 5 2 3 5 3" xfId="8749"/>
    <cellStyle name="常规 2 5 2 3 5 3 2" xfId="18169"/>
    <cellStyle name="常规 2 5 2 3 5 3 2 2" xfId="37017"/>
    <cellStyle name="常规 2 5 2 3 5 3 3" xfId="27593"/>
    <cellStyle name="常规 2 5 2 3 5 4" xfId="11897"/>
    <cellStyle name="常规 2 5 2 3 5 4 2" xfId="30745"/>
    <cellStyle name="常规 2 5 2 3 5 5" xfId="21321"/>
    <cellStyle name="常规 2 5 2 3 6" xfId="3327"/>
    <cellStyle name="常规 2 5 2 3 6 2" xfId="12747"/>
    <cellStyle name="常规 2 5 2 3 6 2 2" xfId="31595"/>
    <cellStyle name="常规 2 5 2 3 6 3" xfId="22171"/>
    <cellStyle name="常规 2 5 2 3 7" xfId="6397"/>
    <cellStyle name="常规 2 5 2 3 7 2" xfId="15817"/>
    <cellStyle name="常规 2 5 2 3 7 2 2" xfId="34665"/>
    <cellStyle name="常规 2 5 2 3 7 3" xfId="25241"/>
    <cellStyle name="常规 2 5 2 3 8" xfId="9544"/>
    <cellStyle name="常规 2 5 2 3 8 2" xfId="28389"/>
    <cellStyle name="常规 2 5 2 3 9" xfId="18967"/>
    <cellStyle name="常规 2 5 2 4" xfId="517"/>
    <cellStyle name="常规 2 5 2 4 2" xfId="1301"/>
    <cellStyle name="常规 2 5 2 4 2 2" xfId="4437"/>
    <cellStyle name="常规 2 5 2 4 2 2 2" xfId="13857"/>
    <cellStyle name="常规 2 5 2 4 2 2 2 2" xfId="32705"/>
    <cellStyle name="常规 2 5 2 4 2 2 3" xfId="23281"/>
    <cellStyle name="常规 2 5 2 4 2 3" xfId="7573"/>
    <cellStyle name="常规 2 5 2 4 2 3 2" xfId="16993"/>
    <cellStyle name="常规 2 5 2 4 2 3 2 2" xfId="35841"/>
    <cellStyle name="常规 2 5 2 4 2 3 3" xfId="26417"/>
    <cellStyle name="常规 2 5 2 4 2 4" xfId="10721"/>
    <cellStyle name="常规 2 5 2 4 2 4 2" xfId="29569"/>
    <cellStyle name="常规 2 5 2 4 2 5" xfId="20145"/>
    <cellStyle name="常规 2 5 2 4 3" xfId="2085"/>
    <cellStyle name="常规 2 5 2 4 3 2" xfId="5221"/>
    <cellStyle name="常规 2 5 2 4 3 2 2" xfId="14641"/>
    <cellStyle name="常规 2 5 2 4 3 2 2 2" xfId="33489"/>
    <cellStyle name="常规 2 5 2 4 3 2 3" xfId="24065"/>
    <cellStyle name="常规 2 5 2 4 3 3" xfId="8357"/>
    <cellStyle name="常规 2 5 2 4 3 3 2" xfId="17777"/>
    <cellStyle name="常规 2 5 2 4 3 3 2 2" xfId="36625"/>
    <cellStyle name="常规 2 5 2 4 3 3 3" xfId="27201"/>
    <cellStyle name="常规 2 5 2 4 3 4" xfId="11505"/>
    <cellStyle name="常规 2 5 2 4 3 4 2" xfId="30353"/>
    <cellStyle name="常规 2 5 2 4 3 5" xfId="20929"/>
    <cellStyle name="常规 2 5 2 4 4" xfId="2869"/>
    <cellStyle name="常规 2 5 2 4 4 2" xfId="6005"/>
    <cellStyle name="常规 2 5 2 4 4 2 2" xfId="15425"/>
    <cellStyle name="常规 2 5 2 4 4 2 2 2" xfId="34273"/>
    <cellStyle name="常规 2 5 2 4 4 2 3" xfId="24849"/>
    <cellStyle name="常规 2 5 2 4 4 3" xfId="9141"/>
    <cellStyle name="常规 2 5 2 4 4 3 2" xfId="18561"/>
    <cellStyle name="常规 2 5 2 4 4 3 2 2" xfId="37409"/>
    <cellStyle name="常规 2 5 2 4 4 3 3" xfId="27985"/>
    <cellStyle name="常规 2 5 2 4 4 4" xfId="12289"/>
    <cellStyle name="常规 2 5 2 4 4 4 2" xfId="31137"/>
    <cellStyle name="常规 2 5 2 4 4 5" xfId="21713"/>
    <cellStyle name="常规 2 5 2 4 5" xfId="3653"/>
    <cellStyle name="常规 2 5 2 4 5 2" xfId="13073"/>
    <cellStyle name="常规 2 5 2 4 5 2 2" xfId="31921"/>
    <cellStyle name="常规 2 5 2 4 5 3" xfId="22497"/>
    <cellStyle name="常规 2 5 2 4 6" xfId="6789"/>
    <cellStyle name="常规 2 5 2 4 6 2" xfId="16209"/>
    <cellStyle name="常规 2 5 2 4 6 2 2" xfId="35057"/>
    <cellStyle name="常规 2 5 2 4 6 3" xfId="25633"/>
    <cellStyle name="常规 2 5 2 4 7" xfId="9937"/>
    <cellStyle name="常规 2 5 2 4 7 2" xfId="28785"/>
    <cellStyle name="常规 2 5 2 4 8" xfId="19361"/>
    <cellStyle name="常规 2 5 2 5" xfId="906"/>
    <cellStyle name="常规 2 5 2 5 2" xfId="4042"/>
    <cellStyle name="常规 2 5 2 5 2 2" xfId="13462"/>
    <cellStyle name="常规 2 5 2 5 2 2 2" xfId="32310"/>
    <cellStyle name="常规 2 5 2 5 2 3" xfId="22886"/>
    <cellStyle name="常规 2 5 2 5 3" xfId="7178"/>
    <cellStyle name="常规 2 5 2 5 3 2" xfId="16598"/>
    <cellStyle name="常规 2 5 2 5 3 2 2" xfId="35446"/>
    <cellStyle name="常规 2 5 2 5 3 3" xfId="26022"/>
    <cellStyle name="常规 2 5 2 5 4" xfId="10326"/>
    <cellStyle name="常规 2 5 2 5 4 2" xfId="29174"/>
    <cellStyle name="常规 2 5 2 5 5" xfId="19750"/>
    <cellStyle name="常规 2 5 2 6" xfId="1690"/>
    <cellStyle name="常规 2 5 2 6 2" xfId="4826"/>
    <cellStyle name="常规 2 5 2 6 2 2" xfId="14246"/>
    <cellStyle name="常规 2 5 2 6 2 2 2" xfId="33094"/>
    <cellStyle name="常规 2 5 2 6 2 3" xfId="23670"/>
    <cellStyle name="常规 2 5 2 6 3" xfId="7962"/>
    <cellStyle name="常规 2 5 2 6 3 2" xfId="17382"/>
    <cellStyle name="常规 2 5 2 6 3 2 2" xfId="36230"/>
    <cellStyle name="常规 2 5 2 6 3 3" xfId="26806"/>
    <cellStyle name="常规 2 5 2 6 4" xfId="11110"/>
    <cellStyle name="常规 2 5 2 6 4 2" xfId="29958"/>
    <cellStyle name="常规 2 5 2 6 5" xfId="20534"/>
    <cellStyle name="常规 2 5 2 7" xfId="2474"/>
    <cellStyle name="常规 2 5 2 7 2" xfId="5610"/>
    <cellStyle name="常规 2 5 2 7 2 2" xfId="15030"/>
    <cellStyle name="常规 2 5 2 7 2 2 2" xfId="33878"/>
    <cellStyle name="常规 2 5 2 7 2 3" xfId="24454"/>
    <cellStyle name="常规 2 5 2 7 3" xfId="8746"/>
    <cellStyle name="常规 2 5 2 7 3 2" xfId="18166"/>
    <cellStyle name="常规 2 5 2 7 3 2 2" xfId="37014"/>
    <cellStyle name="常规 2 5 2 7 3 3" xfId="27590"/>
    <cellStyle name="常规 2 5 2 7 4" xfId="11894"/>
    <cellStyle name="常规 2 5 2 7 4 2" xfId="30742"/>
    <cellStyle name="常规 2 5 2 7 5" xfId="21318"/>
    <cellStyle name="常规 2 5 2 8" xfId="3207"/>
    <cellStyle name="常规 2 5 2 8 2" xfId="12627"/>
    <cellStyle name="常规 2 5 2 8 2 2" xfId="31475"/>
    <cellStyle name="常规 2 5 2 8 3" xfId="22051"/>
    <cellStyle name="常规 2 5 2 9" xfId="6394"/>
    <cellStyle name="常规 2 5 2 9 2" xfId="15814"/>
    <cellStyle name="常规 2 5 2 9 2 2" xfId="34662"/>
    <cellStyle name="常规 2 5 2 9 3" xfId="25238"/>
    <cellStyle name="常规 2 5 3" xfId="122"/>
    <cellStyle name="常规 2 5 3 10" xfId="18968"/>
    <cellStyle name="常规 2 5 3 2" xfId="123"/>
    <cellStyle name="常规 2 5 3 2 2" xfId="522"/>
    <cellStyle name="常规 2 5 3 2 2 2" xfId="1306"/>
    <cellStyle name="常规 2 5 3 2 2 2 2" xfId="4442"/>
    <cellStyle name="常规 2 5 3 2 2 2 2 2" xfId="13862"/>
    <cellStyle name="常规 2 5 3 2 2 2 2 2 2" xfId="32710"/>
    <cellStyle name="常规 2 5 3 2 2 2 2 3" xfId="23286"/>
    <cellStyle name="常规 2 5 3 2 2 2 3" xfId="7578"/>
    <cellStyle name="常规 2 5 3 2 2 2 3 2" xfId="16998"/>
    <cellStyle name="常规 2 5 3 2 2 2 3 2 2" xfId="35846"/>
    <cellStyle name="常规 2 5 3 2 2 2 3 3" xfId="26422"/>
    <cellStyle name="常规 2 5 3 2 2 2 4" xfId="10726"/>
    <cellStyle name="常规 2 5 3 2 2 2 4 2" xfId="29574"/>
    <cellStyle name="常规 2 5 3 2 2 2 5" xfId="20150"/>
    <cellStyle name="常规 2 5 3 2 2 3" xfId="2090"/>
    <cellStyle name="常规 2 5 3 2 2 3 2" xfId="5226"/>
    <cellStyle name="常规 2 5 3 2 2 3 2 2" xfId="14646"/>
    <cellStyle name="常规 2 5 3 2 2 3 2 2 2" xfId="33494"/>
    <cellStyle name="常规 2 5 3 2 2 3 2 3" xfId="24070"/>
    <cellStyle name="常规 2 5 3 2 2 3 3" xfId="8362"/>
    <cellStyle name="常规 2 5 3 2 2 3 3 2" xfId="17782"/>
    <cellStyle name="常规 2 5 3 2 2 3 3 2 2" xfId="36630"/>
    <cellStyle name="常规 2 5 3 2 2 3 3 3" xfId="27206"/>
    <cellStyle name="常规 2 5 3 2 2 3 4" xfId="11510"/>
    <cellStyle name="常规 2 5 3 2 2 3 4 2" xfId="30358"/>
    <cellStyle name="常规 2 5 3 2 2 3 5" xfId="20934"/>
    <cellStyle name="常规 2 5 3 2 2 4" xfId="2874"/>
    <cellStyle name="常规 2 5 3 2 2 4 2" xfId="6010"/>
    <cellStyle name="常规 2 5 3 2 2 4 2 2" xfId="15430"/>
    <cellStyle name="常规 2 5 3 2 2 4 2 2 2" xfId="34278"/>
    <cellStyle name="常规 2 5 3 2 2 4 2 3" xfId="24854"/>
    <cellStyle name="常规 2 5 3 2 2 4 3" xfId="9146"/>
    <cellStyle name="常规 2 5 3 2 2 4 3 2" xfId="18566"/>
    <cellStyle name="常规 2 5 3 2 2 4 3 2 2" xfId="37414"/>
    <cellStyle name="常规 2 5 3 2 2 4 3 3" xfId="27990"/>
    <cellStyle name="常规 2 5 3 2 2 4 4" xfId="12294"/>
    <cellStyle name="常规 2 5 3 2 2 4 4 2" xfId="31142"/>
    <cellStyle name="常规 2 5 3 2 2 4 5" xfId="21718"/>
    <cellStyle name="常规 2 5 3 2 2 5" xfId="3658"/>
    <cellStyle name="常规 2 5 3 2 2 5 2" xfId="13078"/>
    <cellStyle name="常规 2 5 3 2 2 5 2 2" xfId="31926"/>
    <cellStyle name="常规 2 5 3 2 2 5 3" xfId="22502"/>
    <cellStyle name="常规 2 5 3 2 2 6" xfId="6794"/>
    <cellStyle name="常规 2 5 3 2 2 6 2" xfId="16214"/>
    <cellStyle name="常规 2 5 3 2 2 6 2 2" xfId="35062"/>
    <cellStyle name="常规 2 5 3 2 2 6 3" xfId="25638"/>
    <cellStyle name="常规 2 5 3 2 2 7" xfId="9942"/>
    <cellStyle name="常规 2 5 3 2 2 7 2" xfId="28790"/>
    <cellStyle name="常规 2 5 3 2 2 8" xfId="19366"/>
    <cellStyle name="常规 2 5 3 2 3" xfId="911"/>
    <cellStyle name="常规 2 5 3 2 3 2" xfId="4047"/>
    <cellStyle name="常规 2 5 3 2 3 2 2" xfId="13467"/>
    <cellStyle name="常规 2 5 3 2 3 2 2 2" xfId="32315"/>
    <cellStyle name="常规 2 5 3 2 3 2 3" xfId="22891"/>
    <cellStyle name="常规 2 5 3 2 3 3" xfId="7183"/>
    <cellStyle name="常规 2 5 3 2 3 3 2" xfId="16603"/>
    <cellStyle name="常规 2 5 3 2 3 3 2 2" xfId="35451"/>
    <cellStyle name="常规 2 5 3 2 3 3 3" xfId="26027"/>
    <cellStyle name="常规 2 5 3 2 3 4" xfId="10331"/>
    <cellStyle name="常规 2 5 3 2 3 4 2" xfId="29179"/>
    <cellStyle name="常规 2 5 3 2 3 5" xfId="19755"/>
    <cellStyle name="常规 2 5 3 2 4" xfId="1695"/>
    <cellStyle name="常规 2 5 3 2 4 2" xfId="4831"/>
    <cellStyle name="常规 2 5 3 2 4 2 2" xfId="14251"/>
    <cellStyle name="常规 2 5 3 2 4 2 2 2" xfId="33099"/>
    <cellStyle name="常规 2 5 3 2 4 2 3" xfId="23675"/>
    <cellStyle name="常规 2 5 3 2 4 3" xfId="7967"/>
    <cellStyle name="常规 2 5 3 2 4 3 2" xfId="17387"/>
    <cellStyle name="常规 2 5 3 2 4 3 2 2" xfId="36235"/>
    <cellStyle name="常规 2 5 3 2 4 3 3" xfId="26811"/>
    <cellStyle name="常规 2 5 3 2 4 4" xfId="11115"/>
    <cellStyle name="常规 2 5 3 2 4 4 2" xfId="29963"/>
    <cellStyle name="常规 2 5 3 2 4 5" xfId="20539"/>
    <cellStyle name="常规 2 5 3 2 5" xfId="2479"/>
    <cellStyle name="常规 2 5 3 2 5 2" xfId="5615"/>
    <cellStyle name="常规 2 5 3 2 5 2 2" xfId="15035"/>
    <cellStyle name="常规 2 5 3 2 5 2 2 2" xfId="33883"/>
    <cellStyle name="常规 2 5 3 2 5 2 3" xfId="24459"/>
    <cellStyle name="常规 2 5 3 2 5 3" xfId="8751"/>
    <cellStyle name="常规 2 5 3 2 5 3 2" xfId="18171"/>
    <cellStyle name="常规 2 5 3 2 5 3 2 2" xfId="37019"/>
    <cellStyle name="常规 2 5 3 2 5 3 3" xfId="27595"/>
    <cellStyle name="常规 2 5 3 2 5 4" xfId="11899"/>
    <cellStyle name="常规 2 5 3 2 5 4 2" xfId="30747"/>
    <cellStyle name="常规 2 5 3 2 5 5" xfId="21323"/>
    <cellStyle name="常规 2 5 3 2 6" xfId="3329"/>
    <cellStyle name="常规 2 5 3 2 6 2" xfId="12749"/>
    <cellStyle name="常规 2 5 3 2 6 2 2" xfId="31597"/>
    <cellStyle name="常规 2 5 3 2 6 3" xfId="22173"/>
    <cellStyle name="常规 2 5 3 2 7" xfId="6399"/>
    <cellStyle name="常规 2 5 3 2 7 2" xfId="15819"/>
    <cellStyle name="常规 2 5 3 2 7 2 2" xfId="34667"/>
    <cellStyle name="常规 2 5 3 2 7 3" xfId="25243"/>
    <cellStyle name="常规 2 5 3 2 8" xfId="9546"/>
    <cellStyle name="常规 2 5 3 2 8 2" xfId="28391"/>
    <cellStyle name="常规 2 5 3 2 9" xfId="18969"/>
    <cellStyle name="常规 2 5 3 3" xfId="521"/>
    <cellStyle name="常规 2 5 3 3 2" xfId="1305"/>
    <cellStyle name="常规 2 5 3 3 2 2" xfId="4441"/>
    <cellStyle name="常规 2 5 3 3 2 2 2" xfId="13861"/>
    <cellStyle name="常规 2 5 3 3 2 2 2 2" xfId="32709"/>
    <cellStyle name="常规 2 5 3 3 2 2 3" xfId="23285"/>
    <cellStyle name="常规 2 5 3 3 2 3" xfId="7577"/>
    <cellStyle name="常规 2 5 3 3 2 3 2" xfId="16997"/>
    <cellStyle name="常规 2 5 3 3 2 3 2 2" xfId="35845"/>
    <cellStyle name="常规 2 5 3 3 2 3 3" xfId="26421"/>
    <cellStyle name="常规 2 5 3 3 2 4" xfId="10725"/>
    <cellStyle name="常规 2 5 3 3 2 4 2" xfId="29573"/>
    <cellStyle name="常规 2 5 3 3 2 5" xfId="20149"/>
    <cellStyle name="常规 2 5 3 3 3" xfId="2089"/>
    <cellStyle name="常规 2 5 3 3 3 2" xfId="5225"/>
    <cellStyle name="常规 2 5 3 3 3 2 2" xfId="14645"/>
    <cellStyle name="常规 2 5 3 3 3 2 2 2" xfId="33493"/>
    <cellStyle name="常规 2 5 3 3 3 2 3" xfId="24069"/>
    <cellStyle name="常规 2 5 3 3 3 3" xfId="8361"/>
    <cellStyle name="常规 2 5 3 3 3 3 2" xfId="17781"/>
    <cellStyle name="常规 2 5 3 3 3 3 2 2" xfId="36629"/>
    <cellStyle name="常规 2 5 3 3 3 3 3" xfId="27205"/>
    <cellStyle name="常规 2 5 3 3 3 4" xfId="11509"/>
    <cellStyle name="常规 2 5 3 3 3 4 2" xfId="30357"/>
    <cellStyle name="常规 2 5 3 3 3 5" xfId="20933"/>
    <cellStyle name="常规 2 5 3 3 4" xfId="2873"/>
    <cellStyle name="常规 2 5 3 3 4 2" xfId="6009"/>
    <cellStyle name="常规 2 5 3 3 4 2 2" xfId="15429"/>
    <cellStyle name="常规 2 5 3 3 4 2 2 2" xfId="34277"/>
    <cellStyle name="常规 2 5 3 3 4 2 3" xfId="24853"/>
    <cellStyle name="常规 2 5 3 3 4 3" xfId="9145"/>
    <cellStyle name="常规 2 5 3 3 4 3 2" xfId="18565"/>
    <cellStyle name="常规 2 5 3 3 4 3 2 2" xfId="37413"/>
    <cellStyle name="常规 2 5 3 3 4 3 3" xfId="27989"/>
    <cellStyle name="常规 2 5 3 3 4 4" xfId="12293"/>
    <cellStyle name="常规 2 5 3 3 4 4 2" xfId="31141"/>
    <cellStyle name="常规 2 5 3 3 4 5" xfId="21717"/>
    <cellStyle name="常规 2 5 3 3 5" xfId="3657"/>
    <cellStyle name="常规 2 5 3 3 5 2" xfId="13077"/>
    <cellStyle name="常规 2 5 3 3 5 2 2" xfId="31925"/>
    <cellStyle name="常规 2 5 3 3 5 3" xfId="22501"/>
    <cellStyle name="常规 2 5 3 3 6" xfId="6793"/>
    <cellStyle name="常规 2 5 3 3 6 2" xfId="16213"/>
    <cellStyle name="常规 2 5 3 3 6 2 2" xfId="35061"/>
    <cellStyle name="常规 2 5 3 3 6 3" xfId="25637"/>
    <cellStyle name="常规 2 5 3 3 7" xfId="9941"/>
    <cellStyle name="常规 2 5 3 3 7 2" xfId="28789"/>
    <cellStyle name="常规 2 5 3 3 8" xfId="19365"/>
    <cellStyle name="常规 2 5 3 4" xfId="910"/>
    <cellStyle name="常规 2 5 3 4 2" xfId="4046"/>
    <cellStyle name="常规 2 5 3 4 2 2" xfId="13466"/>
    <cellStyle name="常规 2 5 3 4 2 2 2" xfId="32314"/>
    <cellStyle name="常规 2 5 3 4 2 3" xfId="22890"/>
    <cellStyle name="常规 2 5 3 4 3" xfId="7182"/>
    <cellStyle name="常规 2 5 3 4 3 2" xfId="16602"/>
    <cellStyle name="常规 2 5 3 4 3 2 2" xfId="35450"/>
    <cellStyle name="常规 2 5 3 4 3 3" xfId="26026"/>
    <cellStyle name="常规 2 5 3 4 4" xfId="10330"/>
    <cellStyle name="常规 2 5 3 4 4 2" xfId="29178"/>
    <cellStyle name="常规 2 5 3 4 5" xfId="19754"/>
    <cellStyle name="常规 2 5 3 5" xfId="1694"/>
    <cellStyle name="常规 2 5 3 5 2" xfId="4830"/>
    <cellStyle name="常规 2 5 3 5 2 2" xfId="14250"/>
    <cellStyle name="常规 2 5 3 5 2 2 2" xfId="33098"/>
    <cellStyle name="常规 2 5 3 5 2 3" xfId="23674"/>
    <cellStyle name="常规 2 5 3 5 3" xfId="7966"/>
    <cellStyle name="常规 2 5 3 5 3 2" xfId="17386"/>
    <cellStyle name="常规 2 5 3 5 3 2 2" xfId="36234"/>
    <cellStyle name="常规 2 5 3 5 3 3" xfId="26810"/>
    <cellStyle name="常规 2 5 3 5 4" xfId="11114"/>
    <cellStyle name="常规 2 5 3 5 4 2" xfId="29962"/>
    <cellStyle name="常规 2 5 3 5 5" xfId="20538"/>
    <cellStyle name="常规 2 5 3 6" xfId="2478"/>
    <cellStyle name="常规 2 5 3 6 2" xfId="5614"/>
    <cellStyle name="常规 2 5 3 6 2 2" xfId="15034"/>
    <cellStyle name="常规 2 5 3 6 2 2 2" xfId="33882"/>
    <cellStyle name="常规 2 5 3 6 2 3" xfId="24458"/>
    <cellStyle name="常规 2 5 3 6 3" xfId="8750"/>
    <cellStyle name="常规 2 5 3 6 3 2" xfId="18170"/>
    <cellStyle name="常规 2 5 3 6 3 2 2" xfId="37018"/>
    <cellStyle name="常规 2 5 3 6 3 3" xfId="27594"/>
    <cellStyle name="常规 2 5 3 6 4" xfId="11898"/>
    <cellStyle name="常规 2 5 3 6 4 2" xfId="30746"/>
    <cellStyle name="常规 2 5 3 6 5" xfId="21322"/>
    <cellStyle name="常规 2 5 3 7" xfId="3328"/>
    <cellStyle name="常规 2 5 3 7 2" xfId="12748"/>
    <cellStyle name="常规 2 5 3 7 2 2" xfId="31596"/>
    <cellStyle name="常规 2 5 3 7 3" xfId="22172"/>
    <cellStyle name="常规 2 5 3 8" xfId="6398"/>
    <cellStyle name="常规 2 5 3 8 2" xfId="15818"/>
    <cellStyle name="常规 2 5 3 8 2 2" xfId="34666"/>
    <cellStyle name="常规 2 5 3 8 3" xfId="25242"/>
    <cellStyle name="常规 2 5 3 9" xfId="9545"/>
    <cellStyle name="常规 2 5 3 9 2" xfId="28390"/>
    <cellStyle name="常规 2 5 4" xfId="124"/>
    <cellStyle name="常规 2 5 4 2" xfId="523"/>
    <cellStyle name="常规 2 5 4 2 2" xfId="1307"/>
    <cellStyle name="常规 2 5 4 2 2 2" xfId="4443"/>
    <cellStyle name="常规 2 5 4 2 2 2 2" xfId="13863"/>
    <cellStyle name="常规 2 5 4 2 2 2 2 2" xfId="32711"/>
    <cellStyle name="常规 2 5 4 2 2 2 3" xfId="23287"/>
    <cellStyle name="常规 2 5 4 2 2 3" xfId="7579"/>
    <cellStyle name="常规 2 5 4 2 2 3 2" xfId="16999"/>
    <cellStyle name="常规 2 5 4 2 2 3 2 2" xfId="35847"/>
    <cellStyle name="常规 2 5 4 2 2 3 3" xfId="26423"/>
    <cellStyle name="常规 2 5 4 2 2 4" xfId="10727"/>
    <cellStyle name="常规 2 5 4 2 2 4 2" xfId="29575"/>
    <cellStyle name="常规 2 5 4 2 2 5" xfId="20151"/>
    <cellStyle name="常规 2 5 4 2 3" xfId="2091"/>
    <cellStyle name="常规 2 5 4 2 3 2" xfId="5227"/>
    <cellStyle name="常规 2 5 4 2 3 2 2" xfId="14647"/>
    <cellStyle name="常规 2 5 4 2 3 2 2 2" xfId="33495"/>
    <cellStyle name="常规 2 5 4 2 3 2 3" xfId="24071"/>
    <cellStyle name="常规 2 5 4 2 3 3" xfId="8363"/>
    <cellStyle name="常规 2 5 4 2 3 3 2" xfId="17783"/>
    <cellStyle name="常规 2 5 4 2 3 3 2 2" xfId="36631"/>
    <cellStyle name="常规 2 5 4 2 3 3 3" xfId="27207"/>
    <cellStyle name="常规 2 5 4 2 3 4" xfId="11511"/>
    <cellStyle name="常规 2 5 4 2 3 4 2" xfId="30359"/>
    <cellStyle name="常规 2 5 4 2 3 5" xfId="20935"/>
    <cellStyle name="常规 2 5 4 2 4" xfId="2875"/>
    <cellStyle name="常规 2 5 4 2 4 2" xfId="6011"/>
    <cellStyle name="常规 2 5 4 2 4 2 2" xfId="15431"/>
    <cellStyle name="常规 2 5 4 2 4 2 2 2" xfId="34279"/>
    <cellStyle name="常规 2 5 4 2 4 2 3" xfId="24855"/>
    <cellStyle name="常规 2 5 4 2 4 3" xfId="9147"/>
    <cellStyle name="常规 2 5 4 2 4 3 2" xfId="18567"/>
    <cellStyle name="常规 2 5 4 2 4 3 2 2" xfId="37415"/>
    <cellStyle name="常规 2 5 4 2 4 3 3" xfId="27991"/>
    <cellStyle name="常规 2 5 4 2 4 4" xfId="12295"/>
    <cellStyle name="常规 2 5 4 2 4 4 2" xfId="31143"/>
    <cellStyle name="常规 2 5 4 2 4 5" xfId="21719"/>
    <cellStyle name="常规 2 5 4 2 5" xfId="3659"/>
    <cellStyle name="常规 2 5 4 2 5 2" xfId="13079"/>
    <cellStyle name="常规 2 5 4 2 5 2 2" xfId="31927"/>
    <cellStyle name="常规 2 5 4 2 5 3" xfId="22503"/>
    <cellStyle name="常规 2 5 4 2 6" xfId="6795"/>
    <cellStyle name="常规 2 5 4 2 6 2" xfId="16215"/>
    <cellStyle name="常规 2 5 4 2 6 2 2" xfId="35063"/>
    <cellStyle name="常规 2 5 4 2 6 3" xfId="25639"/>
    <cellStyle name="常规 2 5 4 2 7" xfId="9943"/>
    <cellStyle name="常规 2 5 4 2 7 2" xfId="28791"/>
    <cellStyle name="常规 2 5 4 2 8" xfId="19367"/>
    <cellStyle name="常规 2 5 4 3" xfId="912"/>
    <cellStyle name="常规 2 5 4 3 2" xfId="4048"/>
    <cellStyle name="常规 2 5 4 3 2 2" xfId="13468"/>
    <cellStyle name="常规 2 5 4 3 2 2 2" xfId="32316"/>
    <cellStyle name="常规 2 5 4 3 2 3" xfId="22892"/>
    <cellStyle name="常规 2 5 4 3 3" xfId="7184"/>
    <cellStyle name="常规 2 5 4 3 3 2" xfId="16604"/>
    <cellStyle name="常规 2 5 4 3 3 2 2" xfId="35452"/>
    <cellStyle name="常规 2 5 4 3 3 3" xfId="26028"/>
    <cellStyle name="常规 2 5 4 3 4" xfId="10332"/>
    <cellStyle name="常规 2 5 4 3 4 2" xfId="29180"/>
    <cellStyle name="常规 2 5 4 3 5" xfId="19756"/>
    <cellStyle name="常规 2 5 4 4" xfId="1696"/>
    <cellStyle name="常规 2 5 4 4 2" xfId="4832"/>
    <cellStyle name="常规 2 5 4 4 2 2" xfId="14252"/>
    <cellStyle name="常规 2 5 4 4 2 2 2" xfId="33100"/>
    <cellStyle name="常规 2 5 4 4 2 3" xfId="23676"/>
    <cellStyle name="常规 2 5 4 4 3" xfId="7968"/>
    <cellStyle name="常规 2 5 4 4 3 2" xfId="17388"/>
    <cellStyle name="常规 2 5 4 4 3 2 2" xfId="36236"/>
    <cellStyle name="常规 2 5 4 4 3 3" xfId="26812"/>
    <cellStyle name="常规 2 5 4 4 4" xfId="11116"/>
    <cellStyle name="常规 2 5 4 4 4 2" xfId="29964"/>
    <cellStyle name="常规 2 5 4 4 5" xfId="20540"/>
    <cellStyle name="常规 2 5 4 5" xfId="2480"/>
    <cellStyle name="常规 2 5 4 5 2" xfId="5616"/>
    <cellStyle name="常规 2 5 4 5 2 2" xfId="15036"/>
    <cellStyle name="常规 2 5 4 5 2 2 2" xfId="33884"/>
    <cellStyle name="常规 2 5 4 5 2 3" xfId="24460"/>
    <cellStyle name="常规 2 5 4 5 3" xfId="8752"/>
    <cellStyle name="常规 2 5 4 5 3 2" xfId="18172"/>
    <cellStyle name="常规 2 5 4 5 3 2 2" xfId="37020"/>
    <cellStyle name="常规 2 5 4 5 3 3" xfId="27596"/>
    <cellStyle name="常规 2 5 4 5 4" xfId="11900"/>
    <cellStyle name="常规 2 5 4 5 4 2" xfId="30748"/>
    <cellStyle name="常规 2 5 4 5 5" xfId="21324"/>
    <cellStyle name="常规 2 5 4 6" xfId="3330"/>
    <cellStyle name="常规 2 5 4 6 2" xfId="12750"/>
    <cellStyle name="常规 2 5 4 6 2 2" xfId="31598"/>
    <cellStyle name="常规 2 5 4 6 3" xfId="22174"/>
    <cellStyle name="常规 2 5 4 7" xfId="6400"/>
    <cellStyle name="常规 2 5 4 7 2" xfId="15820"/>
    <cellStyle name="常规 2 5 4 7 2 2" xfId="34668"/>
    <cellStyle name="常规 2 5 4 7 3" xfId="25244"/>
    <cellStyle name="常规 2 5 4 8" xfId="9547"/>
    <cellStyle name="常规 2 5 4 8 2" xfId="28392"/>
    <cellStyle name="常规 2 5 4 9" xfId="18970"/>
    <cellStyle name="常规 2 5 5" xfId="516"/>
    <cellStyle name="常规 2 5 5 2" xfId="1300"/>
    <cellStyle name="常规 2 5 5 2 2" xfId="4436"/>
    <cellStyle name="常规 2 5 5 2 2 2" xfId="13856"/>
    <cellStyle name="常规 2 5 5 2 2 2 2" xfId="32704"/>
    <cellStyle name="常规 2 5 5 2 2 3" xfId="23280"/>
    <cellStyle name="常规 2 5 5 2 3" xfId="7572"/>
    <cellStyle name="常规 2 5 5 2 3 2" xfId="16992"/>
    <cellStyle name="常规 2 5 5 2 3 2 2" xfId="35840"/>
    <cellStyle name="常规 2 5 5 2 3 3" xfId="26416"/>
    <cellStyle name="常规 2 5 5 2 4" xfId="10720"/>
    <cellStyle name="常规 2 5 5 2 4 2" xfId="29568"/>
    <cellStyle name="常规 2 5 5 2 5" xfId="20144"/>
    <cellStyle name="常规 2 5 5 3" xfId="2084"/>
    <cellStyle name="常规 2 5 5 3 2" xfId="5220"/>
    <cellStyle name="常规 2 5 5 3 2 2" xfId="14640"/>
    <cellStyle name="常规 2 5 5 3 2 2 2" xfId="33488"/>
    <cellStyle name="常规 2 5 5 3 2 3" xfId="24064"/>
    <cellStyle name="常规 2 5 5 3 3" xfId="8356"/>
    <cellStyle name="常规 2 5 5 3 3 2" xfId="17776"/>
    <cellStyle name="常规 2 5 5 3 3 2 2" xfId="36624"/>
    <cellStyle name="常规 2 5 5 3 3 3" xfId="27200"/>
    <cellStyle name="常规 2 5 5 3 4" xfId="11504"/>
    <cellStyle name="常规 2 5 5 3 4 2" xfId="30352"/>
    <cellStyle name="常规 2 5 5 3 5" xfId="20928"/>
    <cellStyle name="常规 2 5 5 4" xfId="2868"/>
    <cellStyle name="常规 2 5 5 4 2" xfId="6004"/>
    <cellStyle name="常规 2 5 5 4 2 2" xfId="15424"/>
    <cellStyle name="常规 2 5 5 4 2 2 2" xfId="34272"/>
    <cellStyle name="常规 2 5 5 4 2 3" xfId="24848"/>
    <cellStyle name="常规 2 5 5 4 3" xfId="9140"/>
    <cellStyle name="常规 2 5 5 4 3 2" xfId="18560"/>
    <cellStyle name="常规 2 5 5 4 3 2 2" xfId="37408"/>
    <cellStyle name="常规 2 5 5 4 3 3" xfId="27984"/>
    <cellStyle name="常规 2 5 5 4 4" xfId="12288"/>
    <cellStyle name="常规 2 5 5 4 4 2" xfId="31136"/>
    <cellStyle name="常规 2 5 5 4 5" xfId="21712"/>
    <cellStyle name="常规 2 5 5 5" xfId="3652"/>
    <cellStyle name="常规 2 5 5 5 2" xfId="13072"/>
    <cellStyle name="常规 2 5 5 5 2 2" xfId="31920"/>
    <cellStyle name="常规 2 5 5 5 3" xfId="22496"/>
    <cellStyle name="常规 2 5 5 6" xfId="6788"/>
    <cellStyle name="常规 2 5 5 6 2" xfId="16208"/>
    <cellStyle name="常规 2 5 5 6 2 2" xfId="35056"/>
    <cellStyle name="常规 2 5 5 6 3" xfId="25632"/>
    <cellStyle name="常规 2 5 5 7" xfId="9936"/>
    <cellStyle name="常规 2 5 5 7 2" xfId="28784"/>
    <cellStyle name="常规 2 5 5 8" xfId="19360"/>
    <cellStyle name="常规 2 5 6" xfId="905"/>
    <cellStyle name="常规 2 5 6 2" xfId="4041"/>
    <cellStyle name="常规 2 5 6 2 2" xfId="13461"/>
    <cellStyle name="常规 2 5 6 2 2 2" xfId="32309"/>
    <cellStyle name="常规 2 5 6 2 3" xfId="22885"/>
    <cellStyle name="常规 2 5 6 3" xfId="7177"/>
    <cellStyle name="常规 2 5 6 3 2" xfId="16597"/>
    <cellStyle name="常规 2 5 6 3 2 2" xfId="35445"/>
    <cellStyle name="常规 2 5 6 3 3" xfId="26021"/>
    <cellStyle name="常规 2 5 6 4" xfId="10325"/>
    <cellStyle name="常规 2 5 6 4 2" xfId="29173"/>
    <cellStyle name="常规 2 5 6 5" xfId="19749"/>
    <cellStyle name="常规 2 5 7" xfId="1689"/>
    <cellStyle name="常规 2 5 7 2" xfId="4825"/>
    <cellStyle name="常规 2 5 7 2 2" xfId="14245"/>
    <cellStyle name="常规 2 5 7 2 2 2" xfId="33093"/>
    <cellStyle name="常规 2 5 7 2 3" xfId="23669"/>
    <cellStyle name="常规 2 5 7 3" xfId="7961"/>
    <cellStyle name="常规 2 5 7 3 2" xfId="17381"/>
    <cellStyle name="常规 2 5 7 3 2 2" xfId="36229"/>
    <cellStyle name="常规 2 5 7 3 3" xfId="26805"/>
    <cellStyle name="常规 2 5 7 4" xfId="11109"/>
    <cellStyle name="常规 2 5 7 4 2" xfId="29957"/>
    <cellStyle name="常规 2 5 7 5" xfId="20533"/>
    <cellStyle name="常规 2 5 8" xfId="2473"/>
    <cellStyle name="常规 2 5 8 2" xfId="5609"/>
    <cellStyle name="常规 2 5 8 2 2" xfId="15029"/>
    <cellStyle name="常规 2 5 8 2 2 2" xfId="33877"/>
    <cellStyle name="常规 2 5 8 2 3" xfId="24453"/>
    <cellStyle name="常规 2 5 8 3" xfId="8745"/>
    <cellStyle name="常规 2 5 8 3 2" xfId="18165"/>
    <cellStyle name="常规 2 5 8 3 2 2" xfId="37013"/>
    <cellStyle name="常规 2 5 8 3 3" xfId="27589"/>
    <cellStyle name="常规 2 5 8 4" xfId="11893"/>
    <cellStyle name="常规 2 5 8 4 2" xfId="30741"/>
    <cellStyle name="常规 2 5 8 5" xfId="21317"/>
    <cellStyle name="常规 2 5 9" xfId="3161"/>
    <cellStyle name="常规 2 5 9 2" xfId="12581"/>
    <cellStyle name="常规 2 5 9 2 2" xfId="31429"/>
    <cellStyle name="常规 2 5 9 3" xfId="22005"/>
    <cellStyle name="常规 2 6" xfId="125"/>
    <cellStyle name="常规 2 6 10" xfId="9548"/>
    <cellStyle name="常规 2 6 10 2" xfId="28393"/>
    <cellStyle name="常规 2 6 11" xfId="18971"/>
    <cellStyle name="常规 2 6 2" xfId="126"/>
    <cellStyle name="常规 2 6 2 10" xfId="18972"/>
    <cellStyle name="常规 2 6 2 2" xfId="127"/>
    <cellStyle name="常规 2 6 2 2 2" xfId="526"/>
    <cellStyle name="常规 2 6 2 2 2 2" xfId="1310"/>
    <cellStyle name="常规 2 6 2 2 2 2 2" xfId="4446"/>
    <cellStyle name="常规 2 6 2 2 2 2 2 2" xfId="13866"/>
    <cellStyle name="常规 2 6 2 2 2 2 2 2 2" xfId="32714"/>
    <cellStyle name="常规 2 6 2 2 2 2 2 3" xfId="23290"/>
    <cellStyle name="常规 2 6 2 2 2 2 3" xfId="7582"/>
    <cellStyle name="常规 2 6 2 2 2 2 3 2" xfId="17002"/>
    <cellStyle name="常规 2 6 2 2 2 2 3 2 2" xfId="35850"/>
    <cellStyle name="常规 2 6 2 2 2 2 3 3" xfId="26426"/>
    <cellStyle name="常规 2 6 2 2 2 2 4" xfId="10730"/>
    <cellStyle name="常规 2 6 2 2 2 2 4 2" xfId="29578"/>
    <cellStyle name="常规 2 6 2 2 2 2 5" xfId="20154"/>
    <cellStyle name="常规 2 6 2 2 2 3" xfId="2094"/>
    <cellStyle name="常规 2 6 2 2 2 3 2" xfId="5230"/>
    <cellStyle name="常规 2 6 2 2 2 3 2 2" xfId="14650"/>
    <cellStyle name="常规 2 6 2 2 2 3 2 2 2" xfId="33498"/>
    <cellStyle name="常规 2 6 2 2 2 3 2 3" xfId="24074"/>
    <cellStyle name="常规 2 6 2 2 2 3 3" xfId="8366"/>
    <cellStyle name="常规 2 6 2 2 2 3 3 2" xfId="17786"/>
    <cellStyle name="常规 2 6 2 2 2 3 3 2 2" xfId="36634"/>
    <cellStyle name="常规 2 6 2 2 2 3 3 3" xfId="27210"/>
    <cellStyle name="常规 2 6 2 2 2 3 4" xfId="11514"/>
    <cellStyle name="常规 2 6 2 2 2 3 4 2" xfId="30362"/>
    <cellStyle name="常规 2 6 2 2 2 3 5" xfId="20938"/>
    <cellStyle name="常规 2 6 2 2 2 4" xfId="2878"/>
    <cellStyle name="常规 2 6 2 2 2 4 2" xfId="6014"/>
    <cellStyle name="常规 2 6 2 2 2 4 2 2" xfId="15434"/>
    <cellStyle name="常规 2 6 2 2 2 4 2 2 2" xfId="34282"/>
    <cellStyle name="常规 2 6 2 2 2 4 2 3" xfId="24858"/>
    <cellStyle name="常规 2 6 2 2 2 4 3" xfId="9150"/>
    <cellStyle name="常规 2 6 2 2 2 4 3 2" xfId="18570"/>
    <cellStyle name="常规 2 6 2 2 2 4 3 2 2" xfId="37418"/>
    <cellStyle name="常规 2 6 2 2 2 4 3 3" xfId="27994"/>
    <cellStyle name="常规 2 6 2 2 2 4 4" xfId="12298"/>
    <cellStyle name="常规 2 6 2 2 2 4 4 2" xfId="31146"/>
    <cellStyle name="常规 2 6 2 2 2 4 5" xfId="21722"/>
    <cellStyle name="常规 2 6 2 2 2 5" xfId="3662"/>
    <cellStyle name="常规 2 6 2 2 2 5 2" xfId="13082"/>
    <cellStyle name="常规 2 6 2 2 2 5 2 2" xfId="31930"/>
    <cellStyle name="常规 2 6 2 2 2 5 3" xfId="22506"/>
    <cellStyle name="常规 2 6 2 2 2 6" xfId="6798"/>
    <cellStyle name="常规 2 6 2 2 2 6 2" xfId="16218"/>
    <cellStyle name="常规 2 6 2 2 2 6 2 2" xfId="35066"/>
    <cellStyle name="常规 2 6 2 2 2 6 3" xfId="25642"/>
    <cellStyle name="常规 2 6 2 2 2 7" xfId="9946"/>
    <cellStyle name="常规 2 6 2 2 2 7 2" xfId="28794"/>
    <cellStyle name="常规 2 6 2 2 2 8" xfId="19370"/>
    <cellStyle name="常规 2 6 2 2 3" xfId="915"/>
    <cellStyle name="常规 2 6 2 2 3 2" xfId="4051"/>
    <cellStyle name="常规 2 6 2 2 3 2 2" xfId="13471"/>
    <cellStyle name="常规 2 6 2 2 3 2 2 2" xfId="32319"/>
    <cellStyle name="常规 2 6 2 2 3 2 3" xfId="22895"/>
    <cellStyle name="常规 2 6 2 2 3 3" xfId="7187"/>
    <cellStyle name="常规 2 6 2 2 3 3 2" xfId="16607"/>
    <cellStyle name="常规 2 6 2 2 3 3 2 2" xfId="35455"/>
    <cellStyle name="常规 2 6 2 2 3 3 3" xfId="26031"/>
    <cellStyle name="常规 2 6 2 2 3 4" xfId="10335"/>
    <cellStyle name="常规 2 6 2 2 3 4 2" xfId="29183"/>
    <cellStyle name="常规 2 6 2 2 3 5" xfId="19759"/>
    <cellStyle name="常规 2 6 2 2 4" xfId="1699"/>
    <cellStyle name="常规 2 6 2 2 4 2" xfId="4835"/>
    <cellStyle name="常规 2 6 2 2 4 2 2" xfId="14255"/>
    <cellStyle name="常规 2 6 2 2 4 2 2 2" xfId="33103"/>
    <cellStyle name="常规 2 6 2 2 4 2 3" xfId="23679"/>
    <cellStyle name="常规 2 6 2 2 4 3" xfId="7971"/>
    <cellStyle name="常规 2 6 2 2 4 3 2" xfId="17391"/>
    <cellStyle name="常规 2 6 2 2 4 3 2 2" xfId="36239"/>
    <cellStyle name="常规 2 6 2 2 4 3 3" xfId="26815"/>
    <cellStyle name="常规 2 6 2 2 4 4" xfId="11119"/>
    <cellStyle name="常规 2 6 2 2 4 4 2" xfId="29967"/>
    <cellStyle name="常规 2 6 2 2 4 5" xfId="20543"/>
    <cellStyle name="常规 2 6 2 2 5" xfId="2483"/>
    <cellStyle name="常规 2 6 2 2 5 2" xfId="5619"/>
    <cellStyle name="常规 2 6 2 2 5 2 2" xfId="15039"/>
    <cellStyle name="常规 2 6 2 2 5 2 2 2" xfId="33887"/>
    <cellStyle name="常规 2 6 2 2 5 2 3" xfId="24463"/>
    <cellStyle name="常规 2 6 2 2 5 3" xfId="8755"/>
    <cellStyle name="常规 2 6 2 2 5 3 2" xfId="18175"/>
    <cellStyle name="常规 2 6 2 2 5 3 2 2" xfId="37023"/>
    <cellStyle name="常规 2 6 2 2 5 3 3" xfId="27599"/>
    <cellStyle name="常规 2 6 2 2 5 4" xfId="11903"/>
    <cellStyle name="常规 2 6 2 2 5 4 2" xfId="30751"/>
    <cellStyle name="常规 2 6 2 2 5 5" xfId="21327"/>
    <cellStyle name="常规 2 6 2 2 6" xfId="3332"/>
    <cellStyle name="常规 2 6 2 2 6 2" xfId="12752"/>
    <cellStyle name="常规 2 6 2 2 6 2 2" xfId="31600"/>
    <cellStyle name="常规 2 6 2 2 6 3" xfId="22176"/>
    <cellStyle name="常规 2 6 2 2 7" xfId="6403"/>
    <cellStyle name="常规 2 6 2 2 7 2" xfId="15823"/>
    <cellStyle name="常规 2 6 2 2 7 2 2" xfId="34671"/>
    <cellStyle name="常规 2 6 2 2 7 3" xfId="25247"/>
    <cellStyle name="常规 2 6 2 2 8" xfId="9550"/>
    <cellStyle name="常规 2 6 2 2 8 2" xfId="28395"/>
    <cellStyle name="常规 2 6 2 2 9" xfId="18973"/>
    <cellStyle name="常规 2 6 2 3" xfId="525"/>
    <cellStyle name="常规 2 6 2 3 2" xfId="1309"/>
    <cellStyle name="常规 2 6 2 3 2 2" xfId="4445"/>
    <cellStyle name="常规 2 6 2 3 2 2 2" xfId="13865"/>
    <cellStyle name="常规 2 6 2 3 2 2 2 2" xfId="32713"/>
    <cellStyle name="常规 2 6 2 3 2 2 3" xfId="23289"/>
    <cellStyle name="常规 2 6 2 3 2 3" xfId="7581"/>
    <cellStyle name="常规 2 6 2 3 2 3 2" xfId="17001"/>
    <cellStyle name="常规 2 6 2 3 2 3 2 2" xfId="35849"/>
    <cellStyle name="常规 2 6 2 3 2 3 3" xfId="26425"/>
    <cellStyle name="常规 2 6 2 3 2 4" xfId="10729"/>
    <cellStyle name="常规 2 6 2 3 2 4 2" xfId="29577"/>
    <cellStyle name="常规 2 6 2 3 2 5" xfId="20153"/>
    <cellStyle name="常规 2 6 2 3 3" xfId="2093"/>
    <cellStyle name="常规 2 6 2 3 3 2" xfId="5229"/>
    <cellStyle name="常规 2 6 2 3 3 2 2" xfId="14649"/>
    <cellStyle name="常规 2 6 2 3 3 2 2 2" xfId="33497"/>
    <cellStyle name="常规 2 6 2 3 3 2 3" xfId="24073"/>
    <cellStyle name="常规 2 6 2 3 3 3" xfId="8365"/>
    <cellStyle name="常规 2 6 2 3 3 3 2" xfId="17785"/>
    <cellStyle name="常规 2 6 2 3 3 3 2 2" xfId="36633"/>
    <cellStyle name="常规 2 6 2 3 3 3 3" xfId="27209"/>
    <cellStyle name="常规 2 6 2 3 3 4" xfId="11513"/>
    <cellStyle name="常规 2 6 2 3 3 4 2" xfId="30361"/>
    <cellStyle name="常规 2 6 2 3 3 5" xfId="20937"/>
    <cellStyle name="常规 2 6 2 3 4" xfId="2877"/>
    <cellStyle name="常规 2 6 2 3 4 2" xfId="6013"/>
    <cellStyle name="常规 2 6 2 3 4 2 2" xfId="15433"/>
    <cellStyle name="常规 2 6 2 3 4 2 2 2" xfId="34281"/>
    <cellStyle name="常规 2 6 2 3 4 2 3" xfId="24857"/>
    <cellStyle name="常规 2 6 2 3 4 3" xfId="9149"/>
    <cellStyle name="常规 2 6 2 3 4 3 2" xfId="18569"/>
    <cellStyle name="常规 2 6 2 3 4 3 2 2" xfId="37417"/>
    <cellStyle name="常规 2 6 2 3 4 3 3" xfId="27993"/>
    <cellStyle name="常规 2 6 2 3 4 4" xfId="12297"/>
    <cellStyle name="常规 2 6 2 3 4 4 2" xfId="31145"/>
    <cellStyle name="常规 2 6 2 3 4 5" xfId="21721"/>
    <cellStyle name="常规 2 6 2 3 5" xfId="3661"/>
    <cellStyle name="常规 2 6 2 3 5 2" xfId="13081"/>
    <cellStyle name="常规 2 6 2 3 5 2 2" xfId="31929"/>
    <cellStyle name="常规 2 6 2 3 5 3" xfId="22505"/>
    <cellStyle name="常规 2 6 2 3 6" xfId="6797"/>
    <cellStyle name="常规 2 6 2 3 6 2" xfId="16217"/>
    <cellStyle name="常规 2 6 2 3 6 2 2" xfId="35065"/>
    <cellStyle name="常规 2 6 2 3 6 3" xfId="25641"/>
    <cellStyle name="常规 2 6 2 3 7" xfId="9945"/>
    <cellStyle name="常规 2 6 2 3 7 2" xfId="28793"/>
    <cellStyle name="常规 2 6 2 3 8" xfId="19369"/>
    <cellStyle name="常规 2 6 2 4" xfId="914"/>
    <cellStyle name="常规 2 6 2 4 2" xfId="4050"/>
    <cellStyle name="常规 2 6 2 4 2 2" xfId="13470"/>
    <cellStyle name="常规 2 6 2 4 2 2 2" xfId="32318"/>
    <cellStyle name="常规 2 6 2 4 2 3" xfId="22894"/>
    <cellStyle name="常规 2 6 2 4 3" xfId="7186"/>
    <cellStyle name="常规 2 6 2 4 3 2" xfId="16606"/>
    <cellStyle name="常规 2 6 2 4 3 2 2" xfId="35454"/>
    <cellStyle name="常规 2 6 2 4 3 3" xfId="26030"/>
    <cellStyle name="常规 2 6 2 4 4" xfId="10334"/>
    <cellStyle name="常规 2 6 2 4 4 2" xfId="29182"/>
    <cellStyle name="常规 2 6 2 4 5" xfId="19758"/>
    <cellStyle name="常规 2 6 2 5" xfId="1698"/>
    <cellStyle name="常规 2 6 2 5 2" xfId="4834"/>
    <cellStyle name="常规 2 6 2 5 2 2" xfId="14254"/>
    <cellStyle name="常规 2 6 2 5 2 2 2" xfId="33102"/>
    <cellStyle name="常规 2 6 2 5 2 3" xfId="23678"/>
    <cellStyle name="常规 2 6 2 5 3" xfId="7970"/>
    <cellStyle name="常规 2 6 2 5 3 2" xfId="17390"/>
    <cellStyle name="常规 2 6 2 5 3 2 2" xfId="36238"/>
    <cellStyle name="常规 2 6 2 5 3 3" xfId="26814"/>
    <cellStyle name="常规 2 6 2 5 4" xfId="11118"/>
    <cellStyle name="常规 2 6 2 5 4 2" xfId="29966"/>
    <cellStyle name="常规 2 6 2 5 5" xfId="20542"/>
    <cellStyle name="常规 2 6 2 6" xfId="2482"/>
    <cellStyle name="常规 2 6 2 6 2" xfId="5618"/>
    <cellStyle name="常规 2 6 2 6 2 2" xfId="15038"/>
    <cellStyle name="常规 2 6 2 6 2 2 2" xfId="33886"/>
    <cellStyle name="常规 2 6 2 6 2 3" xfId="24462"/>
    <cellStyle name="常规 2 6 2 6 3" xfId="8754"/>
    <cellStyle name="常规 2 6 2 6 3 2" xfId="18174"/>
    <cellStyle name="常规 2 6 2 6 3 2 2" xfId="37022"/>
    <cellStyle name="常规 2 6 2 6 3 3" xfId="27598"/>
    <cellStyle name="常规 2 6 2 6 4" xfId="11902"/>
    <cellStyle name="常规 2 6 2 6 4 2" xfId="30750"/>
    <cellStyle name="常规 2 6 2 6 5" xfId="21326"/>
    <cellStyle name="常规 2 6 2 7" xfId="3331"/>
    <cellStyle name="常规 2 6 2 7 2" xfId="12751"/>
    <cellStyle name="常规 2 6 2 7 2 2" xfId="31599"/>
    <cellStyle name="常规 2 6 2 7 3" xfId="22175"/>
    <cellStyle name="常规 2 6 2 8" xfId="6402"/>
    <cellStyle name="常规 2 6 2 8 2" xfId="15822"/>
    <cellStyle name="常规 2 6 2 8 2 2" xfId="34670"/>
    <cellStyle name="常规 2 6 2 8 3" xfId="25246"/>
    <cellStyle name="常规 2 6 2 9" xfId="9549"/>
    <cellStyle name="常规 2 6 2 9 2" xfId="28394"/>
    <cellStyle name="常规 2 6 3" xfId="128"/>
    <cellStyle name="常规 2 6 3 2" xfId="527"/>
    <cellStyle name="常规 2 6 3 2 2" xfId="1311"/>
    <cellStyle name="常规 2 6 3 2 2 2" xfId="4447"/>
    <cellStyle name="常规 2 6 3 2 2 2 2" xfId="13867"/>
    <cellStyle name="常规 2 6 3 2 2 2 2 2" xfId="32715"/>
    <cellStyle name="常规 2 6 3 2 2 2 3" xfId="23291"/>
    <cellStyle name="常规 2 6 3 2 2 3" xfId="7583"/>
    <cellStyle name="常规 2 6 3 2 2 3 2" xfId="17003"/>
    <cellStyle name="常规 2 6 3 2 2 3 2 2" xfId="35851"/>
    <cellStyle name="常规 2 6 3 2 2 3 3" xfId="26427"/>
    <cellStyle name="常规 2 6 3 2 2 4" xfId="10731"/>
    <cellStyle name="常规 2 6 3 2 2 4 2" xfId="29579"/>
    <cellStyle name="常规 2 6 3 2 2 5" xfId="20155"/>
    <cellStyle name="常规 2 6 3 2 3" xfId="2095"/>
    <cellStyle name="常规 2 6 3 2 3 2" xfId="5231"/>
    <cellStyle name="常规 2 6 3 2 3 2 2" xfId="14651"/>
    <cellStyle name="常规 2 6 3 2 3 2 2 2" xfId="33499"/>
    <cellStyle name="常规 2 6 3 2 3 2 3" xfId="24075"/>
    <cellStyle name="常规 2 6 3 2 3 3" xfId="8367"/>
    <cellStyle name="常规 2 6 3 2 3 3 2" xfId="17787"/>
    <cellStyle name="常规 2 6 3 2 3 3 2 2" xfId="36635"/>
    <cellStyle name="常规 2 6 3 2 3 3 3" xfId="27211"/>
    <cellStyle name="常规 2 6 3 2 3 4" xfId="11515"/>
    <cellStyle name="常规 2 6 3 2 3 4 2" xfId="30363"/>
    <cellStyle name="常规 2 6 3 2 3 5" xfId="20939"/>
    <cellStyle name="常规 2 6 3 2 4" xfId="2879"/>
    <cellStyle name="常规 2 6 3 2 4 2" xfId="6015"/>
    <cellStyle name="常规 2 6 3 2 4 2 2" xfId="15435"/>
    <cellStyle name="常规 2 6 3 2 4 2 2 2" xfId="34283"/>
    <cellStyle name="常规 2 6 3 2 4 2 3" xfId="24859"/>
    <cellStyle name="常规 2 6 3 2 4 3" xfId="9151"/>
    <cellStyle name="常规 2 6 3 2 4 3 2" xfId="18571"/>
    <cellStyle name="常规 2 6 3 2 4 3 2 2" xfId="37419"/>
    <cellStyle name="常规 2 6 3 2 4 3 3" xfId="27995"/>
    <cellStyle name="常规 2 6 3 2 4 4" xfId="12299"/>
    <cellStyle name="常规 2 6 3 2 4 4 2" xfId="31147"/>
    <cellStyle name="常规 2 6 3 2 4 5" xfId="21723"/>
    <cellStyle name="常规 2 6 3 2 5" xfId="3663"/>
    <cellStyle name="常规 2 6 3 2 5 2" xfId="13083"/>
    <cellStyle name="常规 2 6 3 2 5 2 2" xfId="31931"/>
    <cellStyle name="常规 2 6 3 2 5 3" xfId="22507"/>
    <cellStyle name="常规 2 6 3 2 6" xfId="6799"/>
    <cellStyle name="常规 2 6 3 2 6 2" xfId="16219"/>
    <cellStyle name="常规 2 6 3 2 6 2 2" xfId="35067"/>
    <cellStyle name="常规 2 6 3 2 6 3" xfId="25643"/>
    <cellStyle name="常规 2 6 3 2 7" xfId="9947"/>
    <cellStyle name="常规 2 6 3 2 7 2" xfId="28795"/>
    <cellStyle name="常规 2 6 3 2 8" xfId="19371"/>
    <cellStyle name="常规 2 6 3 3" xfId="916"/>
    <cellStyle name="常规 2 6 3 3 2" xfId="4052"/>
    <cellStyle name="常规 2 6 3 3 2 2" xfId="13472"/>
    <cellStyle name="常规 2 6 3 3 2 2 2" xfId="32320"/>
    <cellStyle name="常规 2 6 3 3 2 3" xfId="22896"/>
    <cellStyle name="常规 2 6 3 3 3" xfId="7188"/>
    <cellStyle name="常规 2 6 3 3 3 2" xfId="16608"/>
    <cellStyle name="常规 2 6 3 3 3 2 2" xfId="35456"/>
    <cellStyle name="常规 2 6 3 3 3 3" xfId="26032"/>
    <cellStyle name="常规 2 6 3 3 4" xfId="10336"/>
    <cellStyle name="常规 2 6 3 3 4 2" xfId="29184"/>
    <cellStyle name="常规 2 6 3 3 5" xfId="19760"/>
    <cellStyle name="常规 2 6 3 4" xfId="1700"/>
    <cellStyle name="常规 2 6 3 4 2" xfId="4836"/>
    <cellStyle name="常规 2 6 3 4 2 2" xfId="14256"/>
    <cellStyle name="常规 2 6 3 4 2 2 2" xfId="33104"/>
    <cellStyle name="常规 2 6 3 4 2 3" xfId="23680"/>
    <cellStyle name="常规 2 6 3 4 3" xfId="7972"/>
    <cellStyle name="常规 2 6 3 4 3 2" xfId="17392"/>
    <cellStyle name="常规 2 6 3 4 3 2 2" xfId="36240"/>
    <cellStyle name="常规 2 6 3 4 3 3" xfId="26816"/>
    <cellStyle name="常规 2 6 3 4 4" xfId="11120"/>
    <cellStyle name="常规 2 6 3 4 4 2" xfId="29968"/>
    <cellStyle name="常规 2 6 3 4 5" xfId="20544"/>
    <cellStyle name="常规 2 6 3 5" xfId="2484"/>
    <cellStyle name="常规 2 6 3 5 2" xfId="5620"/>
    <cellStyle name="常规 2 6 3 5 2 2" xfId="15040"/>
    <cellStyle name="常规 2 6 3 5 2 2 2" xfId="33888"/>
    <cellStyle name="常规 2 6 3 5 2 3" xfId="24464"/>
    <cellStyle name="常规 2 6 3 5 3" xfId="8756"/>
    <cellStyle name="常规 2 6 3 5 3 2" xfId="18176"/>
    <cellStyle name="常规 2 6 3 5 3 2 2" xfId="37024"/>
    <cellStyle name="常规 2 6 3 5 3 3" xfId="27600"/>
    <cellStyle name="常规 2 6 3 5 4" xfId="11904"/>
    <cellStyle name="常规 2 6 3 5 4 2" xfId="30752"/>
    <cellStyle name="常规 2 6 3 5 5" xfId="21328"/>
    <cellStyle name="常规 2 6 3 6" xfId="3333"/>
    <cellStyle name="常规 2 6 3 6 2" xfId="12753"/>
    <cellStyle name="常规 2 6 3 6 2 2" xfId="31601"/>
    <cellStyle name="常规 2 6 3 6 3" xfId="22177"/>
    <cellStyle name="常规 2 6 3 7" xfId="6404"/>
    <cellStyle name="常规 2 6 3 7 2" xfId="15824"/>
    <cellStyle name="常规 2 6 3 7 2 2" xfId="34672"/>
    <cellStyle name="常规 2 6 3 7 3" xfId="25248"/>
    <cellStyle name="常规 2 6 3 8" xfId="9551"/>
    <cellStyle name="常规 2 6 3 8 2" xfId="28396"/>
    <cellStyle name="常规 2 6 3 9" xfId="18974"/>
    <cellStyle name="常规 2 6 4" xfId="524"/>
    <cellStyle name="常规 2 6 4 2" xfId="1308"/>
    <cellStyle name="常规 2 6 4 2 2" xfId="4444"/>
    <cellStyle name="常规 2 6 4 2 2 2" xfId="13864"/>
    <cellStyle name="常规 2 6 4 2 2 2 2" xfId="32712"/>
    <cellStyle name="常规 2 6 4 2 2 3" xfId="23288"/>
    <cellStyle name="常规 2 6 4 2 3" xfId="7580"/>
    <cellStyle name="常规 2 6 4 2 3 2" xfId="17000"/>
    <cellStyle name="常规 2 6 4 2 3 2 2" xfId="35848"/>
    <cellStyle name="常规 2 6 4 2 3 3" xfId="26424"/>
    <cellStyle name="常规 2 6 4 2 4" xfId="10728"/>
    <cellStyle name="常规 2 6 4 2 4 2" xfId="29576"/>
    <cellStyle name="常规 2 6 4 2 5" xfId="20152"/>
    <cellStyle name="常规 2 6 4 3" xfId="2092"/>
    <cellStyle name="常规 2 6 4 3 2" xfId="5228"/>
    <cellStyle name="常规 2 6 4 3 2 2" xfId="14648"/>
    <cellStyle name="常规 2 6 4 3 2 2 2" xfId="33496"/>
    <cellStyle name="常规 2 6 4 3 2 3" xfId="24072"/>
    <cellStyle name="常规 2 6 4 3 3" xfId="8364"/>
    <cellStyle name="常规 2 6 4 3 3 2" xfId="17784"/>
    <cellStyle name="常规 2 6 4 3 3 2 2" xfId="36632"/>
    <cellStyle name="常规 2 6 4 3 3 3" xfId="27208"/>
    <cellStyle name="常规 2 6 4 3 4" xfId="11512"/>
    <cellStyle name="常规 2 6 4 3 4 2" xfId="30360"/>
    <cellStyle name="常规 2 6 4 3 5" xfId="20936"/>
    <cellStyle name="常规 2 6 4 4" xfId="2876"/>
    <cellStyle name="常规 2 6 4 4 2" xfId="6012"/>
    <cellStyle name="常规 2 6 4 4 2 2" xfId="15432"/>
    <cellStyle name="常规 2 6 4 4 2 2 2" xfId="34280"/>
    <cellStyle name="常规 2 6 4 4 2 3" xfId="24856"/>
    <cellStyle name="常规 2 6 4 4 3" xfId="9148"/>
    <cellStyle name="常规 2 6 4 4 3 2" xfId="18568"/>
    <cellStyle name="常规 2 6 4 4 3 2 2" xfId="37416"/>
    <cellStyle name="常规 2 6 4 4 3 3" xfId="27992"/>
    <cellStyle name="常规 2 6 4 4 4" xfId="12296"/>
    <cellStyle name="常规 2 6 4 4 4 2" xfId="31144"/>
    <cellStyle name="常规 2 6 4 4 5" xfId="21720"/>
    <cellStyle name="常规 2 6 4 5" xfId="3660"/>
    <cellStyle name="常规 2 6 4 5 2" xfId="13080"/>
    <cellStyle name="常规 2 6 4 5 2 2" xfId="31928"/>
    <cellStyle name="常规 2 6 4 5 3" xfId="22504"/>
    <cellStyle name="常规 2 6 4 6" xfId="6796"/>
    <cellStyle name="常规 2 6 4 6 2" xfId="16216"/>
    <cellStyle name="常规 2 6 4 6 2 2" xfId="35064"/>
    <cellStyle name="常规 2 6 4 6 3" xfId="25640"/>
    <cellStyle name="常规 2 6 4 7" xfId="9944"/>
    <cellStyle name="常规 2 6 4 7 2" xfId="28792"/>
    <cellStyle name="常规 2 6 4 8" xfId="19368"/>
    <cellStyle name="常规 2 6 5" xfId="913"/>
    <cellStyle name="常规 2 6 5 2" xfId="4049"/>
    <cellStyle name="常规 2 6 5 2 2" xfId="13469"/>
    <cellStyle name="常规 2 6 5 2 2 2" xfId="32317"/>
    <cellStyle name="常规 2 6 5 2 3" xfId="22893"/>
    <cellStyle name="常规 2 6 5 3" xfId="7185"/>
    <cellStyle name="常规 2 6 5 3 2" xfId="16605"/>
    <cellStyle name="常规 2 6 5 3 2 2" xfId="35453"/>
    <cellStyle name="常规 2 6 5 3 3" xfId="26029"/>
    <cellStyle name="常规 2 6 5 4" xfId="10333"/>
    <cellStyle name="常规 2 6 5 4 2" xfId="29181"/>
    <cellStyle name="常规 2 6 5 5" xfId="19757"/>
    <cellStyle name="常规 2 6 6" xfId="1697"/>
    <cellStyle name="常规 2 6 6 2" xfId="4833"/>
    <cellStyle name="常规 2 6 6 2 2" xfId="14253"/>
    <cellStyle name="常规 2 6 6 2 2 2" xfId="33101"/>
    <cellStyle name="常规 2 6 6 2 3" xfId="23677"/>
    <cellStyle name="常规 2 6 6 3" xfId="7969"/>
    <cellStyle name="常规 2 6 6 3 2" xfId="17389"/>
    <cellStyle name="常规 2 6 6 3 2 2" xfId="36237"/>
    <cellStyle name="常规 2 6 6 3 3" xfId="26813"/>
    <cellStyle name="常规 2 6 6 4" xfId="11117"/>
    <cellStyle name="常规 2 6 6 4 2" xfId="29965"/>
    <cellStyle name="常规 2 6 6 5" xfId="20541"/>
    <cellStyle name="常规 2 6 7" xfId="2481"/>
    <cellStyle name="常规 2 6 7 2" xfId="5617"/>
    <cellStyle name="常规 2 6 7 2 2" xfId="15037"/>
    <cellStyle name="常规 2 6 7 2 2 2" xfId="33885"/>
    <cellStyle name="常规 2 6 7 2 3" xfId="24461"/>
    <cellStyle name="常规 2 6 7 3" xfId="8753"/>
    <cellStyle name="常规 2 6 7 3 2" xfId="18173"/>
    <cellStyle name="常规 2 6 7 3 2 2" xfId="37021"/>
    <cellStyle name="常规 2 6 7 3 3" xfId="27597"/>
    <cellStyle name="常规 2 6 7 4" xfId="11901"/>
    <cellStyle name="常规 2 6 7 4 2" xfId="30749"/>
    <cellStyle name="常规 2 6 7 5" xfId="21325"/>
    <cellStyle name="常规 2 6 8" xfId="3192"/>
    <cellStyle name="常规 2 6 8 2" xfId="12612"/>
    <cellStyle name="常规 2 6 8 2 2" xfId="31460"/>
    <cellStyle name="常规 2 6 8 3" xfId="22036"/>
    <cellStyle name="常规 2 6 9" xfId="6401"/>
    <cellStyle name="常规 2 6 9 2" xfId="15821"/>
    <cellStyle name="常规 2 6 9 2 2" xfId="34669"/>
    <cellStyle name="常规 2 6 9 3" xfId="25245"/>
    <cellStyle name="常规 2 7" xfId="129"/>
    <cellStyle name="常规 2 7 10" xfId="18975"/>
    <cellStyle name="常规 2 7 2" xfId="130"/>
    <cellStyle name="常规 2 7 2 2" xfId="529"/>
    <cellStyle name="常规 2 7 2 2 2" xfId="1313"/>
    <cellStyle name="常规 2 7 2 2 2 2" xfId="4449"/>
    <cellStyle name="常规 2 7 2 2 2 2 2" xfId="13869"/>
    <cellStyle name="常规 2 7 2 2 2 2 2 2" xfId="32717"/>
    <cellStyle name="常规 2 7 2 2 2 2 3" xfId="23293"/>
    <cellStyle name="常规 2 7 2 2 2 3" xfId="7585"/>
    <cellStyle name="常规 2 7 2 2 2 3 2" xfId="17005"/>
    <cellStyle name="常规 2 7 2 2 2 3 2 2" xfId="35853"/>
    <cellStyle name="常规 2 7 2 2 2 3 3" xfId="26429"/>
    <cellStyle name="常规 2 7 2 2 2 4" xfId="10733"/>
    <cellStyle name="常规 2 7 2 2 2 4 2" xfId="29581"/>
    <cellStyle name="常规 2 7 2 2 2 5" xfId="20157"/>
    <cellStyle name="常规 2 7 2 2 3" xfId="2097"/>
    <cellStyle name="常规 2 7 2 2 3 2" xfId="5233"/>
    <cellStyle name="常规 2 7 2 2 3 2 2" xfId="14653"/>
    <cellStyle name="常规 2 7 2 2 3 2 2 2" xfId="33501"/>
    <cellStyle name="常规 2 7 2 2 3 2 3" xfId="24077"/>
    <cellStyle name="常规 2 7 2 2 3 3" xfId="8369"/>
    <cellStyle name="常规 2 7 2 2 3 3 2" xfId="17789"/>
    <cellStyle name="常规 2 7 2 2 3 3 2 2" xfId="36637"/>
    <cellStyle name="常规 2 7 2 2 3 3 3" xfId="27213"/>
    <cellStyle name="常规 2 7 2 2 3 4" xfId="11517"/>
    <cellStyle name="常规 2 7 2 2 3 4 2" xfId="30365"/>
    <cellStyle name="常规 2 7 2 2 3 5" xfId="20941"/>
    <cellStyle name="常规 2 7 2 2 4" xfId="2881"/>
    <cellStyle name="常规 2 7 2 2 4 2" xfId="6017"/>
    <cellStyle name="常规 2 7 2 2 4 2 2" xfId="15437"/>
    <cellStyle name="常规 2 7 2 2 4 2 2 2" xfId="34285"/>
    <cellStyle name="常规 2 7 2 2 4 2 3" xfId="24861"/>
    <cellStyle name="常规 2 7 2 2 4 3" xfId="9153"/>
    <cellStyle name="常规 2 7 2 2 4 3 2" xfId="18573"/>
    <cellStyle name="常规 2 7 2 2 4 3 2 2" xfId="37421"/>
    <cellStyle name="常规 2 7 2 2 4 3 3" xfId="27997"/>
    <cellStyle name="常规 2 7 2 2 4 4" xfId="12301"/>
    <cellStyle name="常规 2 7 2 2 4 4 2" xfId="31149"/>
    <cellStyle name="常规 2 7 2 2 4 5" xfId="21725"/>
    <cellStyle name="常规 2 7 2 2 5" xfId="3665"/>
    <cellStyle name="常规 2 7 2 2 5 2" xfId="13085"/>
    <cellStyle name="常规 2 7 2 2 5 2 2" xfId="31933"/>
    <cellStyle name="常规 2 7 2 2 5 3" xfId="22509"/>
    <cellStyle name="常规 2 7 2 2 6" xfId="6801"/>
    <cellStyle name="常规 2 7 2 2 6 2" xfId="16221"/>
    <cellStyle name="常规 2 7 2 2 6 2 2" xfId="35069"/>
    <cellStyle name="常规 2 7 2 2 6 3" xfId="25645"/>
    <cellStyle name="常规 2 7 2 2 7" xfId="9949"/>
    <cellStyle name="常规 2 7 2 2 7 2" xfId="28797"/>
    <cellStyle name="常规 2 7 2 2 8" xfId="19373"/>
    <cellStyle name="常规 2 7 2 3" xfId="918"/>
    <cellStyle name="常规 2 7 2 3 2" xfId="4054"/>
    <cellStyle name="常规 2 7 2 3 2 2" xfId="13474"/>
    <cellStyle name="常规 2 7 2 3 2 2 2" xfId="32322"/>
    <cellStyle name="常规 2 7 2 3 2 3" xfId="22898"/>
    <cellStyle name="常规 2 7 2 3 3" xfId="7190"/>
    <cellStyle name="常规 2 7 2 3 3 2" xfId="16610"/>
    <cellStyle name="常规 2 7 2 3 3 2 2" xfId="35458"/>
    <cellStyle name="常规 2 7 2 3 3 3" xfId="26034"/>
    <cellStyle name="常规 2 7 2 3 4" xfId="10338"/>
    <cellStyle name="常规 2 7 2 3 4 2" xfId="29186"/>
    <cellStyle name="常规 2 7 2 3 5" xfId="19762"/>
    <cellStyle name="常规 2 7 2 4" xfId="1702"/>
    <cellStyle name="常规 2 7 2 4 2" xfId="4838"/>
    <cellStyle name="常规 2 7 2 4 2 2" xfId="14258"/>
    <cellStyle name="常规 2 7 2 4 2 2 2" xfId="33106"/>
    <cellStyle name="常规 2 7 2 4 2 3" xfId="23682"/>
    <cellStyle name="常规 2 7 2 4 3" xfId="7974"/>
    <cellStyle name="常规 2 7 2 4 3 2" xfId="17394"/>
    <cellStyle name="常规 2 7 2 4 3 2 2" xfId="36242"/>
    <cellStyle name="常规 2 7 2 4 3 3" xfId="26818"/>
    <cellStyle name="常规 2 7 2 4 4" xfId="11122"/>
    <cellStyle name="常规 2 7 2 4 4 2" xfId="29970"/>
    <cellStyle name="常规 2 7 2 4 5" xfId="20546"/>
    <cellStyle name="常规 2 7 2 5" xfId="2486"/>
    <cellStyle name="常规 2 7 2 5 2" xfId="5622"/>
    <cellStyle name="常规 2 7 2 5 2 2" xfId="15042"/>
    <cellStyle name="常规 2 7 2 5 2 2 2" xfId="33890"/>
    <cellStyle name="常规 2 7 2 5 2 3" xfId="24466"/>
    <cellStyle name="常规 2 7 2 5 3" xfId="8758"/>
    <cellStyle name="常规 2 7 2 5 3 2" xfId="18178"/>
    <cellStyle name="常规 2 7 2 5 3 2 2" xfId="37026"/>
    <cellStyle name="常规 2 7 2 5 3 3" xfId="27602"/>
    <cellStyle name="常规 2 7 2 5 4" xfId="11906"/>
    <cellStyle name="常规 2 7 2 5 4 2" xfId="30754"/>
    <cellStyle name="常规 2 7 2 5 5" xfId="21330"/>
    <cellStyle name="常规 2 7 2 6" xfId="3335"/>
    <cellStyle name="常规 2 7 2 6 2" xfId="12755"/>
    <cellStyle name="常规 2 7 2 6 2 2" xfId="31603"/>
    <cellStyle name="常规 2 7 2 6 3" xfId="22179"/>
    <cellStyle name="常规 2 7 2 7" xfId="6406"/>
    <cellStyle name="常规 2 7 2 7 2" xfId="15826"/>
    <cellStyle name="常规 2 7 2 7 2 2" xfId="34674"/>
    <cellStyle name="常规 2 7 2 7 3" xfId="25250"/>
    <cellStyle name="常规 2 7 2 8" xfId="9553"/>
    <cellStyle name="常规 2 7 2 8 2" xfId="28398"/>
    <cellStyle name="常规 2 7 2 9" xfId="18976"/>
    <cellStyle name="常规 2 7 3" xfId="528"/>
    <cellStyle name="常规 2 7 3 2" xfId="1312"/>
    <cellStyle name="常规 2 7 3 2 2" xfId="4448"/>
    <cellStyle name="常规 2 7 3 2 2 2" xfId="13868"/>
    <cellStyle name="常规 2 7 3 2 2 2 2" xfId="32716"/>
    <cellStyle name="常规 2 7 3 2 2 3" xfId="23292"/>
    <cellStyle name="常规 2 7 3 2 3" xfId="7584"/>
    <cellStyle name="常规 2 7 3 2 3 2" xfId="17004"/>
    <cellStyle name="常规 2 7 3 2 3 2 2" xfId="35852"/>
    <cellStyle name="常规 2 7 3 2 3 3" xfId="26428"/>
    <cellStyle name="常规 2 7 3 2 4" xfId="10732"/>
    <cellStyle name="常规 2 7 3 2 4 2" xfId="29580"/>
    <cellStyle name="常规 2 7 3 2 5" xfId="20156"/>
    <cellStyle name="常规 2 7 3 3" xfId="2096"/>
    <cellStyle name="常规 2 7 3 3 2" xfId="5232"/>
    <cellStyle name="常规 2 7 3 3 2 2" xfId="14652"/>
    <cellStyle name="常规 2 7 3 3 2 2 2" xfId="33500"/>
    <cellStyle name="常规 2 7 3 3 2 3" xfId="24076"/>
    <cellStyle name="常规 2 7 3 3 3" xfId="8368"/>
    <cellStyle name="常规 2 7 3 3 3 2" xfId="17788"/>
    <cellStyle name="常规 2 7 3 3 3 2 2" xfId="36636"/>
    <cellStyle name="常规 2 7 3 3 3 3" xfId="27212"/>
    <cellStyle name="常规 2 7 3 3 4" xfId="11516"/>
    <cellStyle name="常规 2 7 3 3 4 2" xfId="30364"/>
    <cellStyle name="常规 2 7 3 3 5" xfId="20940"/>
    <cellStyle name="常规 2 7 3 4" xfId="2880"/>
    <cellStyle name="常规 2 7 3 4 2" xfId="6016"/>
    <cellStyle name="常规 2 7 3 4 2 2" xfId="15436"/>
    <cellStyle name="常规 2 7 3 4 2 2 2" xfId="34284"/>
    <cellStyle name="常规 2 7 3 4 2 3" xfId="24860"/>
    <cellStyle name="常规 2 7 3 4 3" xfId="9152"/>
    <cellStyle name="常规 2 7 3 4 3 2" xfId="18572"/>
    <cellStyle name="常规 2 7 3 4 3 2 2" xfId="37420"/>
    <cellStyle name="常规 2 7 3 4 3 3" xfId="27996"/>
    <cellStyle name="常规 2 7 3 4 4" xfId="12300"/>
    <cellStyle name="常规 2 7 3 4 4 2" xfId="31148"/>
    <cellStyle name="常规 2 7 3 4 5" xfId="21724"/>
    <cellStyle name="常规 2 7 3 5" xfId="3664"/>
    <cellStyle name="常规 2 7 3 5 2" xfId="13084"/>
    <cellStyle name="常规 2 7 3 5 2 2" xfId="31932"/>
    <cellStyle name="常规 2 7 3 5 3" xfId="22508"/>
    <cellStyle name="常规 2 7 3 6" xfId="6800"/>
    <cellStyle name="常规 2 7 3 6 2" xfId="16220"/>
    <cellStyle name="常规 2 7 3 6 2 2" xfId="35068"/>
    <cellStyle name="常规 2 7 3 6 3" xfId="25644"/>
    <cellStyle name="常规 2 7 3 7" xfId="9948"/>
    <cellStyle name="常规 2 7 3 7 2" xfId="28796"/>
    <cellStyle name="常规 2 7 3 8" xfId="19372"/>
    <cellStyle name="常规 2 7 4" xfId="917"/>
    <cellStyle name="常规 2 7 4 2" xfId="4053"/>
    <cellStyle name="常规 2 7 4 2 2" xfId="13473"/>
    <cellStyle name="常规 2 7 4 2 2 2" xfId="32321"/>
    <cellStyle name="常规 2 7 4 2 3" xfId="22897"/>
    <cellStyle name="常规 2 7 4 3" xfId="7189"/>
    <cellStyle name="常规 2 7 4 3 2" xfId="16609"/>
    <cellStyle name="常规 2 7 4 3 2 2" xfId="35457"/>
    <cellStyle name="常规 2 7 4 3 3" xfId="26033"/>
    <cellStyle name="常规 2 7 4 4" xfId="10337"/>
    <cellStyle name="常规 2 7 4 4 2" xfId="29185"/>
    <cellStyle name="常规 2 7 4 5" xfId="19761"/>
    <cellStyle name="常规 2 7 5" xfId="1701"/>
    <cellStyle name="常规 2 7 5 2" xfId="4837"/>
    <cellStyle name="常规 2 7 5 2 2" xfId="14257"/>
    <cellStyle name="常规 2 7 5 2 2 2" xfId="33105"/>
    <cellStyle name="常规 2 7 5 2 3" xfId="23681"/>
    <cellStyle name="常规 2 7 5 3" xfId="7973"/>
    <cellStyle name="常规 2 7 5 3 2" xfId="17393"/>
    <cellStyle name="常规 2 7 5 3 2 2" xfId="36241"/>
    <cellStyle name="常规 2 7 5 3 3" xfId="26817"/>
    <cellStyle name="常规 2 7 5 4" xfId="11121"/>
    <cellStyle name="常规 2 7 5 4 2" xfId="29969"/>
    <cellStyle name="常规 2 7 5 5" xfId="20545"/>
    <cellStyle name="常规 2 7 6" xfId="2485"/>
    <cellStyle name="常规 2 7 6 2" xfId="5621"/>
    <cellStyle name="常规 2 7 6 2 2" xfId="15041"/>
    <cellStyle name="常规 2 7 6 2 2 2" xfId="33889"/>
    <cellStyle name="常规 2 7 6 2 3" xfId="24465"/>
    <cellStyle name="常规 2 7 6 3" xfId="8757"/>
    <cellStyle name="常规 2 7 6 3 2" xfId="18177"/>
    <cellStyle name="常规 2 7 6 3 2 2" xfId="37025"/>
    <cellStyle name="常规 2 7 6 3 3" xfId="27601"/>
    <cellStyle name="常规 2 7 6 4" xfId="11905"/>
    <cellStyle name="常规 2 7 6 4 2" xfId="30753"/>
    <cellStyle name="常规 2 7 6 5" xfId="21329"/>
    <cellStyle name="常规 2 7 7" xfId="3334"/>
    <cellStyle name="常规 2 7 7 2" xfId="12754"/>
    <cellStyle name="常规 2 7 7 2 2" xfId="31602"/>
    <cellStyle name="常规 2 7 7 3" xfId="22178"/>
    <cellStyle name="常规 2 7 8" xfId="6405"/>
    <cellStyle name="常规 2 7 8 2" xfId="15825"/>
    <cellStyle name="常规 2 7 8 2 2" xfId="34673"/>
    <cellStyle name="常规 2 7 8 3" xfId="25249"/>
    <cellStyle name="常规 2 7 9" xfId="9552"/>
    <cellStyle name="常规 2 7 9 2" xfId="28397"/>
    <cellStyle name="常规 2 8" xfId="131"/>
    <cellStyle name="常规 2 8 2" xfId="530"/>
    <cellStyle name="常规 2 8 2 2" xfId="1314"/>
    <cellStyle name="常规 2 8 2 2 2" xfId="4450"/>
    <cellStyle name="常规 2 8 2 2 2 2" xfId="13870"/>
    <cellStyle name="常规 2 8 2 2 2 2 2" xfId="32718"/>
    <cellStyle name="常规 2 8 2 2 2 3" xfId="23294"/>
    <cellStyle name="常规 2 8 2 2 3" xfId="7586"/>
    <cellStyle name="常规 2 8 2 2 3 2" xfId="17006"/>
    <cellStyle name="常规 2 8 2 2 3 2 2" xfId="35854"/>
    <cellStyle name="常规 2 8 2 2 3 3" xfId="26430"/>
    <cellStyle name="常规 2 8 2 2 4" xfId="10734"/>
    <cellStyle name="常规 2 8 2 2 4 2" xfId="29582"/>
    <cellStyle name="常规 2 8 2 2 5" xfId="20158"/>
    <cellStyle name="常规 2 8 2 3" xfId="2098"/>
    <cellStyle name="常规 2 8 2 3 2" xfId="5234"/>
    <cellStyle name="常规 2 8 2 3 2 2" xfId="14654"/>
    <cellStyle name="常规 2 8 2 3 2 2 2" xfId="33502"/>
    <cellStyle name="常规 2 8 2 3 2 3" xfId="24078"/>
    <cellStyle name="常规 2 8 2 3 3" xfId="8370"/>
    <cellStyle name="常规 2 8 2 3 3 2" xfId="17790"/>
    <cellStyle name="常规 2 8 2 3 3 2 2" xfId="36638"/>
    <cellStyle name="常规 2 8 2 3 3 3" xfId="27214"/>
    <cellStyle name="常规 2 8 2 3 4" xfId="11518"/>
    <cellStyle name="常规 2 8 2 3 4 2" xfId="30366"/>
    <cellStyle name="常规 2 8 2 3 5" xfId="20942"/>
    <cellStyle name="常规 2 8 2 4" xfId="2882"/>
    <cellStyle name="常规 2 8 2 4 2" xfId="6018"/>
    <cellStyle name="常规 2 8 2 4 2 2" xfId="15438"/>
    <cellStyle name="常规 2 8 2 4 2 2 2" xfId="34286"/>
    <cellStyle name="常规 2 8 2 4 2 3" xfId="24862"/>
    <cellStyle name="常规 2 8 2 4 3" xfId="9154"/>
    <cellStyle name="常规 2 8 2 4 3 2" xfId="18574"/>
    <cellStyle name="常规 2 8 2 4 3 2 2" xfId="37422"/>
    <cellStyle name="常规 2 8 2 4 3 3" xfId="27998"/>
    <cellStyle name="常规 2 8 2 4 4" xfId="12302"/>
    <cellStyle name="常规 2 8 2 4 4 2" xfId="31150"/>
    <cellStyle name="常规 2 8 2 4 5" xfId="21726"/>
    <cellStyle name="常规 2 8 2 5" xfId="3666"/>
    <cellStyle name="常规 2 8 2 5 2" xfId="13086"/>
    <cellStyle name="常规 2 8 2 5 2 2" xfId="31934"/>
    <cellStyle name="常规 2 8 2 5 3" xfId="22510"/>
    <cellStyle name="常规 2 8 2 6" xfId="6802"/>
    <cellStyle name="常规 2 8 2 6 2" xfId="16222"/>
    <cellStyle name="常规 2 8 2 6 2 2" xfId="35070"/>
    <cellStyle name="常规 2 8 2 6 3" xfId="25646"/>
    <cellStyle name="常规 2 8 2 7" xfId="9950"/>
    <cellStyle name="常规 2 8 2 7 2" xfId="28798"/>
    <cellStyle name="常规 2 8 2 8" xfId="19374"/>
    <cellStyle name="常规 2 8 3" xfId="919"/>
    <cellStyle name="常规 2 8 3 2" xfId="4055"/>
    <cellStyle name="常规 2 8 3 2 2" xfId="13475"/>
    <cellStyle name="常规 2 8 3 2 2 2" xfId="32323"/>
    <cellStyle name="常规 2 8 3 2 3" xfId="22899"/>
    <cellStyle name="常规 2 8 3 3" xfId="7191"/>
    <cellStyle name="常规 2 8 3 3 2" xfId="16611"/>
    <cellStyle name="常规 2 8 3 3 2 2" xfId="35459"/>
    <cellStyle name="常规 2 8 3 3 3" xfId="26035"/>
    <cellStyle name="常规 2 8 3 4" xfId="10339"/>
    <cellStyle name="常规 2 8 3 4 2" xfId="29187"/>
    <cellStyle name="常规 2 8 3 5" xfId="19763"/>
    <cellStyle name="常规 2 8 4" xfId="1703"/>
    <cellStyle name="常规 2 8 4 2" xfId="4839"/>
    <cellStyle name="常规 2 8 4 2 2" xfId="14259"/>
    <cellStyle name="常规 2 8 4 2 2 2" xfId="33107"/>
    <cellStyle name="常规 2 8 4 2 3" xfId="23683"/>
    <cellStyle name="常规 2 8 4 3" xfId="7975"/>
    <cellStyle name="常规 2 8 4 3 2" xfId="17395"/>
    <cellStyle name="常规 2 8 4 3 2 2" xfId="36243"/>
    <cellStyle name="常规 2 8 4 3 3" xfId="26819"/>
    <cellStyle name="常规 2 8 4 4" xfId="11123"/>
    <cellStyle name="常规 2 8 4 4 2" xfId="29971"/>
    <cellStyle name="常规 2 8 4 5" xfId="20547"/>
    <cellStyle name="常规 2 8 5" xfId="2487"/>
    <cellStyle name="常规 2 8 5 2" xfId="5623"/>
    <cellStyle name="常规 2 8 5 2 2" xfId="15043"/>
    <cellStyle name="常规 2 8 5 2 2 2" xfId="33891"/>
    <cellStyle name="常规 2 8 5 2 3" xfId="24467"/>
    <cellStyle name="常规 2 8 5 3" xfId="8759"/>
    <cellStyle name="常规 2 8 5 3 2" xfId="18179"/>
    <cellStyle name="常规 2 8 5 3 2 2" xfId="37027"/>
    <cellStyle name="常规 2 8 5 3 3" xfId="27603"/>
    <cellStyle name="常规 2 8 5 4" xfId="11907"/>
    <cellStyle name="常规 2 8 5 4 2" xfId="30755"/>
    <cellStyle name="常规 2 8 5 5" xfId="21331"/>
    <cellStyle name="常规 2 8 6" xfId="3336"/>
    <cellStyle name="常规 2 8 6 2" xfId="12756"/>
    <cellStyle name="常规 2 8 6 2 2" xfId="31604"/>
    <cellStyle name="常规 2 8 6 3" xfId="22180"/>
    <cellStyle name="常规 2 8 7" xfId="6407"/>
    <cellStyle name="常规 2 8 7 2" xfId="15827"/>
    <cellStyle name="常规 2 8 7 2 2" xfId="34675"/>
    <cellStyle name="常规 2 8 7 3" xfId="25251"/>
    <cellStyle name="常规 2 8 8" xfId="9554"/>
    <cellStyle name="常规 2 8 8 2" xfId="28399"/>
    <cellStyle name="常规 2 8 9" xfId="18977"/>
    <cellStyle name="常规 2 9" xfId="395"/>
    <cellStyle name="常规 2 9 2" xfId="1182"/>
    <cellStyle name="常规 2 9 2 2" xfId="4318"/>
    <cellStyle name="常规 2 9 2 2 2" xfId="13738"/>
    <cellStyle name="常规 2 9 2 2 2 2" xfId="32586"/>
    <cellStyle name="常规 2 9 2 2 3" xfId="23162"/>
    <cellStyle name="常规 2 9 2 3" xfId="7454"/>
    <cellStyle name="常规 2 9 2 3 2" xfId="16874"/>
    <cellStyle name="常规 2 9 2 3 2 2" xfId="35722"/>
    <cellStyle name="常规 2 9 2 3 3" xfId="26298"/>
    <cellStyle name="常规 2 9 2 4" xfId="10602"/>
    <cellStyle name="常规 2 9 2 4 2" xfId="29450"/>
    <cellStyle name="常规 2 9 2 5" xfId="20026"/>
    <cellStyle name="常规 2 9 3" xfId="1966"/>
    <cellStyle name="常规 2 9 3 2" xfId="5102"/>
    <cellStyle name="常规 2 9 3 2 2" xfId="14522"/>
    <cellStyle name="常规 2 9 3 2 2 2" xfId="33370"/>
    <cellStyle name="常规 2 9 3 2 3" xfId="23946"/>
    <cellStyle name="常规 2 9 3 3" xfId="8238"/>
    <cellStyle name="常规 2 9 3 3 2" xfId="17658"/>
    <cellStyle name="常规 2 9 3 3 2 2" xfId="36506"/>
    <cellStyle name="常规 2 9 3 3 3" xfId="27082"/>
    <cellStyle name="常规 2 9 3 4" xfId="11386"/>
    <cellStyle name="常规 2 9 3 4 2" xfId="30234"/>
    <cellStyle name="常规 2 9 3 5" xfId="20810"/>
    <cellStyle name="常规 2 9 4" xfId="2750"/>
    <cellStyle name="常规 2 9 4 2" xfId="5886"/>
    <cellStyle name="常规 2 9 4 2 2" xfId="15306"/>
    <cellStyle name="常规 2 9 4 2 2 2" xfId="34154"/>
    <cellStyle name="常规 2 9 4 2 3" xfId="24730"/>
    <cellStyle name="常规 2 9 4 3" xfId="9022"/>
    <cellStyle name="常规 2 9 4 3 2" xfId="18442"/>
    <cellStyle name="常规 2 9 4 3 2 2" xfId="37290"/>
    <cellStyle name="常规 2 9 4 3 3" xfId="27866"/>
    <cellStyle name="常规 2 9 4 4" xfId="12170"/>
    <cellStyle name="常规 2 9 4 4 2" xfId="31018"/>
    <cellStyle name="常规 2 9 4 5" xfId="21594"/>
    <cellStyle name="常规 2 9 5" xfId="3534"/>
    <cellStyle name="常规 2 9 5 2" xfId="12954"/>
    <cellStyle name="常规 2 9 5 2 2" xfId="31802"/>
    <cellStyle name="常规 2 9 5 3" xfId="22378"/>
    <cellStyle name="常规 2 9 6" xfId="6670"/>
    <cellStyle name="常规 2 9 6 2" xfId="16090"/>
    <cellStyle name="常规 2 9 6 2 2" xfId="34938"/>
    <cellStyle name="常规 2 9 6 3" xfId="25514"/>
    <cellStyle name="常规 2 9 7" xfId="9818"/>
    <cellStyle name="常规 2 9 7 2" xfId="28663"/>
    <cellStyle name="常规 2 9 8" xfId="19240"/>
    <cellStyle name="常规 3" xfId="132"/>
    <cellStyle name="常规 3 10" xfId="920"/>
    <cellStyle name="常规 3 10 2" xfId="4056"/>
    <cellStyle name="常规 3 10 2 2" xfId="13476"/>
    <cellStyle name="常规 3 10 2 2 2" xfId="32324"/>
    <cellStyle name="常规 3 10 2 3" xfId="22900"/>
    <cellStyle name="常规 3 10 3" xfId="7192"/>
    <cellStyle name="常规 3 10 3 2" xfId="16612"/>
    <cellStyle name="常规 3 10 3 2 2" xfId="35460"/>
    <cellStyle name="常规 3 10 3 3" xfId="26036"/>
    <cellStyle name="常规 3 10 4" xfId="10340"/>
    <cellStyle name="常规 3 10 4 2" xfId="29188"/>
    <cellStyle name="常规 3 10 5" xfId="19764"/>
    <cellStyle name="常规 3 11" xfId="1704"/>
    <cellStyle name="常规 3 11 2" xfId="4840"/>
    <cellStyle name="常规 3 11 2 2" xfId="14260"/>
    <cellStyle name="常规 3 11 2 2 2" xfId="33108"/>
    <cellStyle name="常规 3 11 2 3" xfId="23684"/>
    <cellStyle name="常规 3 11 3" xfId="7976"/>
    <cellStyle name="常规 3 11 3 2" xfId="17396"/>
    <cellStyle name="常规 3 11 3 2 2" xfId="36244"/>
    <cellStyle name="常规 3 11 3 3" xfId="26820"/>
    <cellStyle name="常规 3 11 4" xfId="11124"/>
    <cellStyle name="常规 3 11 4 2" xfId="29972"/>
    <cellStyle name="常规 3 11 5" xfId="20548"/>
    <cellStyle name="常规 3 12" xfId="2488"/>
    <cellStyle name="常规 3 12 2" xfId="5624"/>
    <cellStyle name="常规 3 12 2 2" xfId="15044"/>
    <cellStyle name="常规 3 12 2 2 2" xfId="33892"/>
    <cellStyle name="常规 3 12 2 3" xfId="24468"/>
    <cellStyle name="常规 3 12 3" xfId="8760"/>
    <cellStyle name="常规 3 12 3 2" xfId="18180"/>
    <cellStyle name="常规 3 12 3 2 2" xfId="37028"/>
    <cellStyle name="常规 3 12 3 3" xfId="27604"/>
    <cellStyle name="常规 3 12 4" xfId="11908"/>
    <cellStyle name="常规 3 12 4 2" xfId="30756"/>
    <cellStyle name="常规 3 12 5" xfId="21332"/>
    <cellStyle name="常规 3 13" xfId="3143"/>
    <cellStyle name="常规 3 13 2" xfId="12563"/>
    <cellStyle name="常规 3 13 2 2" xfId="31411"/>
    <cellStyle name="常规 3 13 3" xfId="21987"/>
    <cellStyle name="常规 3 14" xfId="6408"/>
    <cellStyle name="常规 3 14 2" xfId="15828"/>
    <cellStyle name="常规 3 14 2 2" xfId="34676"/>
    <cellStyle name="常规 3 14 3" xfId="25252"/>
    <cellStyle name="常规 3 15" xfId="9555"/>
    <cellStyle name="常规 3 15 2" xfId="18978"/>
    <cellStyle name="常规 3 15 2 2" xfId="28400"/>
    <cellStyle name="常规 3 16" xfId="18839"/>
    <cellStyle name="常规 3 16 2" xfId="37683"/>
    <cellStyle name="常规 3 17" xfId="9419"/>
    <cellStyle name="常规 3 17 2" xfId="28263"/>
    <cellStyle name="常规 3 18" xfId="37687"/>
    <cellStyle name="常规 3 2" xfId="133"/>
    <cellStyle name="常规 3 2 10" xfId="1705"/>
    <cellStyle name="常规 3 2 10 2" xfId="4841"/>
    <cellStyle name="常规 3 2 10 2 2" xfId="14261"/>
    <cellStyle name="常规 3 2 10 2 2 2" xfId="33109"/>
    <cellStyle name="常规 3 2 10 2 3" xfId="23685"/>
    <cellStyle name="常规 3 2 10 3" xfId="7977"/>
    <cellStyle name="常规 3 2 10 3 2" xfId="17397"/>
    <cellStyle name="常规 3 2 10 3 2 2" xfId="36245"/>
    <cellStyle name="常规 3 2 10 3 3" xfId="26821"/>
    <cellStyle name="常规 3 2 10 4" xfId="11125"/>
    <cellStyle name="常规 3 2 10 4 2" xfId="29973"/>
    <cellStyle name="常规 3 2 10 5" xfId="20549"/>
    <cellStyle name="常规 3 2 11" xfId="2489"/>
    <cellStyle name="常规 3 2 11 2" xfId="5625"/>
    <cellStyle name="常规 3 2 11 2 2" xfId="15045"/>
    <cellStyle name="常规 3 2 11 2 2 2" xfId="33893"/>
    <cellStyle name="常规 3 2 11 2 3" xfId="24469"/>
    <cellStyle name="常规 3 2 11 3" xfId="8761"/>
    <cellStyle name="常规 3 2 11 3 2" xfId="18181"/>
    <cellStyle name="常规 3 2 11 3 2 2" xfId="37029"/>
    <cellStyle name="常规 3 2 11 3 3" xfId="27605"/>
    <cellStyle name="常规 3 2 11 4" xfId="11909"/>
    <cellStyle name="常规 3 2 11 4 2" xfId="30757"/>
    <cellStyle name="常规 3 2 11 5" xfId="21333"/>
    <cellStyle name="常规 3 2 12" xfId="3146"/>
    <cellStyle name="常规 3 2 12 2" xfId="12566"/>
    <cellStyle name="常规 3 2 12 2 2" xfId="31414"/>
    <cellStyle name="常规 3 2 12 3" xfId="21990"/>
    <cellStyle name="常规 3 2 13" xfId="6409"/>
    <cellStyle name="常规 3 2 13 2" xfId="15829"/>
    <cellStyle name="常规 3 2 13 2 2" xfId="34677"/>
    <cellStyle name="常规 3 2 13 3" xfId="25253"/>
    <cellStyle name="常规 3 2 14" xfId="9556"/>
    <cellStyle name="常规 3 2 14 2" xfId="18979"/>
    <cellStyle name="常规 3 2 14 2 2" xfId="28401"/>
    <cellStyle name="常规 3 2 15" xfId="9420"/>
    <cellStyle name="常规 3 2 15 2" xfId="28264"/>
    <cellStyle name="常规 3 2 2" xfId="134"/>
    <cellStyle name="常规 3 2 2 10" xfId="2490"/>
    <cellStyle name="常规 3 2 2 10 2" xfId="5626"/>
    <cellStyle name="常规 3 2 2 10 2 2" xfId="15046"/>
    <cellStyle name="常规 3 2 2 10 2 2 2" xfId="33894"/>
    <cellStyle name="常规 3 2 2 10 2 3" xfId="24470"/>
    <cellStyle name="常规 3 2 2 10 3" xfId="8762"/>
    <cellStyle name="常规 3 2 2 10 3 2" xfId="18182"/>
    <cellStyle name="常规 3 2 2 10 3 2 2" xfId="37030"/>
    <cellStyle name="常规 3 2 2 10 3 3" xfId="27606"/>
    <cellStyle name="常规 3 2 2 10 4" xfId="11910"/>
    <cellStyle name="常规 3 2 2 10 4 2" xfId="30758"/>
    <cellStyle name="常规 3 2 2 10 5" xfId="21334"/>
    <cellStyle name="常规 3 2 2 11" xfId="3162"/>
    <cellStyle name="常规 3 2 2 11 2" xfId="12582"/>
    <cellStyle name="常规 3 2 2 11 2 2" xfId="31430"/>
    <cellStyle name="常规 3 2 2 11 3" xfId="22006"/>
    <cellStyle name="常规 3 2 2 12" xfId="6410"/>
    <cellStyle name="常规 3 2 2 12 2" xfId="15830"/>
    <cellStyle name="常规 3 2 2 12 2 2" xfId="34678"/>
    <cellStyle name="常规 3 2 2 12 3" xfId="25254"/>
    <cellStyle name="常规 3 2 2 13" xfId="18840"/>
    <cellStyle name="常规 3 2 2 13 2" xfId="37684"/>
    <cellStyle name="常规 3 2 2 14" xfId="9557"/>
    <cellStyle name="常规 3 2 2 14 2" xfId="28402"/>
    <cellStyle name="常规 3 2 2 15" xfId="18980"/>
    <cellStyle name="常规 3 2 2 2" xfId="135"/>
    <cellStyle name="常规 3 2 2 2 10" xfId="3163"/>
    <cellStyle name="常规 3 2 2 2 10 2" xfId="12583"/>
    <cellStyle name="常规 3 2 2 2 10 2 2" xfId="31431"/>
    <cellStyle name="常规 3 2 2 2 10 3" xfId="22007"/>
    <cellStyle name="常规 3 2 2 2 11" xfId="6411"/>
    <cellStyle name="常规 3 2 2 2 11 2" xfId="15831"/>
    <cellStyle name="常规 3 2 2 2 11 2 2" xfId="34679"/>
    <cellStyle name="常规 3 2 2 2 11 3" xfId="25255"/>
    <cellStyle name="常规 3 2 2 2 12" xfId="9558"/>
    <cellStyle name="常规 3 2 2 2 12 2" xfId="28403"/>
    <cellStyle name="常规 3 2 2 2 13" xfId="18981"/>
    <cellStyle name="常规 3 2 2 2 2" xfId="136"/>
    <cellStyle name="常规 3 2 2 2 2 10" xfId="6412"/>
    <cellStyle name="常规 3 2 2 2 2 10 2" xfId="15832"/>
    <cellStyle name="常规 3 2 2 2 2 10 2 2" xfId="34680"/>
    <cellStyle name="常规 3 2 2 2 2 10 3" xfId="25256"/>
    <cellStyle name="常规 3 2 2 2 2 11" xfId="9559"/>
    <cellStyle name="常规 3 2 2 2 2 11 2" xfId="28404"/>
    <cellStyle name="常规 3 2 2 2 2 12" xfId="18982"/>
    <cellStyle name="常规 3 2 2 2 2 2" xfId="137"/>
    <cellStyle name="常规 3 2 2 2 2 2 10" xfId="9560"/>
    <cellStyle name="常规 3 2 2 2 2 2 10 2" xfId="28405"/>
    <cellStyle name="常规 3 2 2 2 2 2 11" xfId="18983"/>
    <cellStyle name="常规 3 2 2 2 2 2 2" xfId="138"/>
    <cellStyle name="常规 3 2 2 2 2 2 2 10" xfId="18984"/>
    <cellStyle name="常规 3 2 2 2 2 2 2 2" xfId="139"/>
    <cellStyle name="常规 3 2 2 2 2 2 2 2 2" xfId="537"/>
    <cellStyle name="常规 3 2 2 2 2 2 2 2 2 2" xfId="1321"/>
    <cellStyle name="常规 3 2 2 2 2 2 2 2 2 2 2" xfId="4457"/>
    <cellStyle name="常规 3 2 2 2 2 2 2 2 2 2 2 2" xfId="13877"/>
    <cellStyle name="常规 3 2 2 2 2 2 2 2 2 2 2 2 2" xfId="32725"/>
    <cellStyle name="常规 3 2 2 2 2 2 2 2 2 2 2 3" xfId="23301"/>
    <cellStyle name="常规 3 2 2 2 2 2 2 2 2 2 3" xfId="7593"/>
    <cellStyle name="常规 3 2 2 2 2 2 2 2 2 2 3 2" xfId="17013"/>
    <cellStyle name="常规 3 2 2 2 2 2 2 2 2 2 3 2 2" xfId="35861"/>
    <cellStyle name="常规 3 2 2 2 2 2 2 2 2 2 3 3" xfId="26437"/>
    <cellStyle name="常规 3 2 2 2 2 2 2 2 2 2 4" xfId="10741"/>
    <cellStyle name="常规 3 2 2 2 2 2 2 2 2 2 4 2" xfId="29589"/>
    <cellStyle name="常规 3 2 2 2 2 2 2 2 2 2 5" xfId="20165"/>
    <cellStyle name="常规 3 2 2 2 2 2 2 2 2 3" xfId="2105"/>
    <cellStyle name="常规 3 2 2 2 2 2 2 2 2 3 2" xfId="5241"/>
    <cellStyle name="常规 3 2 2 2 2 2 2 2 2 3 2 2" xfId="14661"/>
    <cellStyle name="常规 3 2 2 2 2 2 2 2 2 3 2 2 2" xfId="33509"/>
    <cellStyle name="常规 3 2 2 2 2 2 2 2 2 3 2 3" xfId="24085"/>
    <cellStyle name="常规 3 2 2 2 2 2 2 2 2 3 3" xfId="8377"/>
    <cellStyle name="常规 3 2 2 2 2 2 2 2 2 3 3 2" xfId="17797"/>
    <cellStyle name="常规 3 2 2 2 2 2 2 2 2 3 3 2 2" xfId="36645"/>
    <cellStyle name="常规 3 2 2 2 2 2 2 2 2 3 3 3" xfId="27221"/>
    <cellStyle name="常规 3 2 2 2 2 2 2 2 2 3 4" xfId="11525"/>
    <cellStyle name="常规 3 2 2 2 2 2 2 2 2 3 4 2" xfId="30373"/>
    <cellStyle name="常规 3 2 2 2 2 2 2 2 2 3 5" xfId="20949"/>
    <cellStyle name="常规 3 2 2 2 2 2 2 2 2 4" xfId="2889"/>
    <cellStyle name="常规 3 2 2 2 2 2 2 2 2 4 2" xfId="6025"/>
    <cellStyle name="常规 3 2 2 2 2 2 2 2 2 4 2 2" xfId="15445"/>
    <cellStyle name="常规 3 2 2 2 2 2 2 2 2 4 2 2 2" xfId="34293"/>
    <cellStyle name="常规 3 2 2 2 2 2 2 2 2 4 2 3" xfId="24869"/>
    <cellStyle name="常规 3 2 2 2 2 2 2 2 2 4 3" xfId="9161"/>
    <cellStyle name="常规 3 2 2 2 2 2 2 2 2 4 3 2" xfId="18581"/>
    <cellStyle name="常规 3 2 2 2 2 2 2 2 2 4 3 2 2" xfId="37429"/>
    <cellStyle name="常规 3 2 2 2 2 2 2 2 2 4 3 3" xfId="28005"/>
    <cellStyle name="常规 3 2 2 2 2 2 2 2 2 4 4" xfId="12309"/>
    <cellStyle name="常规 3 2 2 2 2 2 2 2 2 4 4 2" xfId="31157"/>
    <cellStyle name="常规 3 2 2 2 2 2 2 2 2 4 5" xfId="21733"/>
    <cellStyle name="常规 3 2 2 2 2 2 2 2 2 5" xfId="3673"/>
    <cellStyle name="常规 3 2 2 2 2 2 2 2 2 5 2" xfId="13093"/>
    <cellStyle name="常规 3 2 2 2 2 2 2 2 2 5 2 2" xfId="31941"/>
    <cellStyle name="常规 3 2 2 2 2 2 2 2 2 5 3" xfId="22517"/>
    <cellStyle name="常规 3 2 2 2 2 2 2 2 2 6" xfId="6809"/>
    <cellStyle name="常规 3 2 2 2 2 2 2 2 2 6 2" xfId="16229"/>
    <cellStyle name="常规 3 2 2 2 2 2 2 2 2 6 2 2" xfId="35077"/>
    <cellStyle name="常规 3 2 2 2 2 2 2 2 2 6 3" xfId="25653"/>
    <cellStyle name="常规 3 2 2 2 2 2 2 2 2 7" xfId="9957"/>
    <cellStyle name="常规 3 2 2 2 2 2 2 2 2 7 2" xfId="28805"/>
    <cellStyle name="常规 3 2 2 2 2 2 2 2 2 8" xfId="19381"/>
    <cellStyle name="常规 3 2 2 2 2 2 2 2 3" xfId="927"/>
    <cellStyle name="常规 3 2 2 2 2 2 2 2 3 2" xfId="4063"/>
    <cellStyle name="常规 3 2 2 2 2 2 2 2 3 2 2" xfId="13483"/>
    <cellStyle name="常规 3 2 2 2 2 2 2 2 3 2 2 2" xfId="32331"/>
    <cellStyle name="常规 3 2 2 2 2 2 2 2 3 2 3" xfId="22907"/>
    <cellStyle name="常规 3 2 2 2 2 2 2 2 3 3" xfId="7199"/>
    <cellStyle name="常规 3 2 2 2 2 2 2 2 3 3 2" xfId="16619"/>
    <cellStyle name="常规 3 2 2 2 2 2 2 2 3 3 2 2" xfId="35467"/>
    <cellStyle name="常规 3 2 2 2 2 2 2 2 3 3 3" xfId="26043"/>
    <cellStyle name="常规 3 2 2 2 2 2 2 2 3 4" xfId="10347"/>
    <cellStyle name="常规 3 2 2 2 2 2 2 2 3 4 2" xfId="29195"/>
    <cellStyle name="常规 3 2 2 2 2 2 2 2 3 5" xfId="19771"/>
    <cellStyle name="常规 3 2 2 2 2 2 2 2 4" xfId="1711"/>
    <cellStyle name="常规 3 2 2 2 2 2 2 2 4 2" xfId="4847"/>
    <cellStyle name="常规 3 2 2 2 2 2 2 2 4 2 2" xfId="14267"/>
    <cellStyle name="常规 3 2 2 2 2 2 2 2 4 2 2 2" xfId="33115"/>
    <cellStyle name="常规 3 2 2 2 2 2 2 2 4 2 3" xfId="23691"/>
    <cellStyle name="常规 3 2 2 2 2 2 2 2 4 3" xfId="7983"/>
    <cellStyle name="常规 3 2 2 2 2 2 2 2 4 3 2" xfId="17403"/>
    <cellStyle name="常规 3 2 2 2 2 2 2 2 4 3 2 2" xfId="36251"/>
    <cellStyle name="常规 3 2 2 2 2 2 2 2 4 3 3" xfId="26827"/>
    <cellStyle name="常规 3 2 2 2 2 2 2 2 4 4" xfId="11131"/>
    <cellStyle name="常规 3 2 2 2 2 2 2 2 4 4 2" xfId="29979"/>
    <cellStyle name="常规 3 2 2 2 2 2 2 2 4 5" xfId="20555"/>
    <cellStyle name="常规 3 2 2 2 2 2 2 2 5" xfId="2495"/>
    <cellStyle name="常规 3 2 2 2 2 2 2 2 5 2" xfId="5631"/>
    <cellStyle name="常规 3 2 2 2 2 2 2 2 5 2 2" xfId="15051"/>
    <cellStyle name="常规 3 2 2 2 2 2 2 2 5 2 2 2" xfId="33899"/>
    <cellStyle name="常规 3 2 2 2 2 2 2 2 5 2 3" xfId="24475"/>
    <cellStyle name="常规 3 2 2 2 2 2 2 2 5 3" xfId="8767"/>
    <cellStyle name="常规 3 2 2 2 2 2 2 2 5 3 2" xfId="18187"/>
    <cellStyle name="常规 3 2 2 2 2 2 2 2 5 3 2 2" xfId="37035"/>
    <cellStyle name="常规 3 2 2 2 2 2 2 2 5 3 3" xfId="27611"/>
    <cellStyle name="常规 3 2 2 2 2 2 2 2 5 4" xfId="11915"/>
    <cellStyle name="常规 3 2 2 2 2 2 2 2 5 4 2" xfId="30763"/>
    <cellStyle name="常规 3 2 2 2 2 2 2 2 5 5" xfId="21339"/>
    <cellStyle name="常规 3 2 2 2 2 2 2 2 6" xfId="3338"/>
    <cellStyle name="常规 3 2 2 2 2 2 2 2 6 2" xfId="12758"/>
    <cellStyle name="常规 3 2 2 2 2 2 2 2 6 2 2" xfId="31606"/>
    <cellStyle name="常规 3 2 2 2 2 2 2 2 6 3" xfId="22182"/>
    <cellStyle name="常规 3 2 2 2 2 2 2 2 7" xfId="6415"/>
    <cellStyle name="常规 3 2 2 2 2 2 2 2 7 2" xfId="15835"/>
    <cellStyle name="常规 3 2 2 2 2 2 2 2 7 2 2" xfId="34683"/>
    <cellStyle name="常规 3 2 2 2 2 2 2 2 7 3" xfId="25259"/>
    <cellStyle name="常规 3 2 2 2 2 2 2 2 8" xfId="9562"/>
    <cellStyle name="常规 3 2 2 2 2 2 2 2 8 2" xfId="28407"/>
    <cellStyle name="常规 3 2 2 2 2 2 2 2 9" xfId="18985"/>
    <cellStyle name="常规 3 2 2 2 2 2 2 3" xfId="536"/>
    <cellStyle name="常规 3 2 2 2 2 2 2 3 2" xfId="1320"/>
    <cellStyle name="常规 3 2 2 2 2 2 2 3 2 2" xfId="4456"/>
    <cellStyle name="常规 3 2 2 2 2 2 2 3 2 2 2" xfId="13876"/>
    <cellStyle name="常规 3 2 2 2 2 2 2 3 2 2 2 2" xfId="32724"/>
    <cellStyle name="常规 3 2 2 2 2 2 2 3 2 2 3" xfId="23300"/>
    <cellStyle name="常规 3 2 2 2 2 2 2 3 2 3" xfId="7592"/>
    <cellStyle name="常规 3 2 2 2 2 2 2 3 2 3 2" xfId="17012"/>
    <cellStyle name="常规 3 2 2 2 2 2 2 3 2 3 2 2" xfId="35860"/>
    <cellStyle name="常规 3 2 2 2 2 2 2 3 2 3 3" xfId="26436"/>
    <cellStyle name="常规 3 2 2 2 2 2 2 3 2 4" xfId="10740"/>
    <cellStyle name="常规 3 2 2 2 2 2 2 3 2 4 2" xfId="29588"/>
    <cellStyle name="常规 3 2 2 2 2 2 2 3 2 5" xfId="20164"/>
    <cellStyle name="常规 3 2 2 2 2 2 2 3 3" xfId="2104"/>
    <cellStyle name="常规 3 2 2 2 2 2 2 3 3 2" xfId="5240"/>
    <cellStyle name="常规 3 2 2 2 2 2 2 3 3 2 2" xfId="14660"/>
    <cellStyle name="常规 3 2 2 2 2 2 2 3 3 2 2 2" xfId="33508"/>
    <cellStyle name="常规 3 2 2 2 2 2 2 3 3 2 3" xfId="24084"/>
    <cellStyle name="常规 3 2 2 2 2 2 2 3 3 3" xfId="8376"/>
    <cellStyle name="常规 3 2 2 2 2 2 2 3 3 3 2" xfId="17796"/>
    <cellStyle name="常规 3 2 2 2 2 2 2 3 3 3 2 2" xfId="36644"/>
    <cellStyle name="常规 3 2 2 2 2 2 2 3 3 3 3" xfId="27220"/>
    <cellStyle name="常规 3 2 2 2 2 2 2 3 3 4" xfId="11524"/>
    <cellStyle name="常规 3 2 2 2 2 2 2 3 3 4 2" xfId="30372"/>
    <cellStyle name="常规 3 2 2 2 2 2 2 3 3 5" xfId="20948"/>
    <cellStyle name="常规 3 2 2 2 2 2 2 3 4" xfId="2888"/>
    <cellStyle name="常规 3 2 2 2 2 2 2 3 4 2" xfId="6024"/>
    <cellStyle name="常规 3 2 2 2 2 2 2 3 4 2 2" xfId="15444"/>
    <cellStyle name="常规 3 2 2 2 2 2 2 3 4 2 2 2" xfId="34292"/>
    <cellStyle name="常规 3 2 2 2 2 2 2 3 4 2 3" xfId="24868"/>
    <cellStyle name="常规 3 2 2 2 2 2 2 3 4 3" xfId="9160"/>
    <cellStyle name="常规 3 2 2 2 2 2 2 3 4 3 2" xfId="18580"/>
    <cellStyle name="常规 3 2 2 2 2 2 2 3 4 3 2 2" xfId="37428"/>
    <cellStyle name="常规 3 2 2 2 2 2 2 3 4 3 3" xfId="28004"/>
    <cellStyle name="常规 3 2 2 2 2 2 2 3 4 4" xfId="12308"/>
    <cellStyle name="常规 3 2 2 2 2 2 2 3 4 4 2" xfId="31156"/>
    <cellStyle name="常规 3 2 2 2 2 2 2 3 4 5" xfId="21732"/>
    <cellStyle name="常规 3 2 2 2 2 2 2 3 5" xfId="3672"/>
    <cellStyle name="常规 3 2 2 2 2 2 2 3 5 2" xfId="13092"/>
    <cellStyle name="常规 3 2 2 2 2 2 2 3 5 2 2" xfId="31940"/>
    <cellStyle name="常规 3 2 2 2 2 2 2 3 5 3" xfId="22516"/>
    <cellStyle name="常规 3 2 2 2 2 2 2 3 6" xfId="6808"/>
    <cellStyle name="常规 3 2 2 2 2 2 2 3 6 2" xfId="16228"/>
    <cellStyle name="常规 3 2 2 2 2 2 2 3 6 2 2" xfId="35076"/>
    <cellStyle name="常规 3 2 2 2 2 2 2 3 6 3" xfId="25652"/>
    <cellStyle name="常规 3 2 2 2 2 2 2 3 7" xfId="9956"/>
    <cellStyle name="常规 3 2 2 2 2 2 2 3 7 2" xfId="28804"/>
    <cellStyle name="常规 3 2 2 2 2 2 2 3 8" xfId="19380"/>
    <cellStyle name="常规 3 2 2 2 2 2 2 4" xfId="926"/>
    <cellStyle name="常规 3 2 2 2 2 2 2 4 2" xfId="4062"/>
    <cellStyle name="常规 3 2 2 2 2 2 2 4 2 2" xfId="13482"/>
    <cellStyle name="常规 3 2 2 2 2 2 2 4 2 2 2" xfId="32330"/>
    <cellStyle name="常规 3 2 2 2 2 2 2 4 2 3" xfId="22906"/>
    <cellStyle name="常规 3 2 2 2 2 2 2 4 3" xfId="7198"/>
    <cellStyle name="常规 3 2 2 2 2 2 2 4 3 2" xfId="16618"/>
    <cellStyle name="常规 3 2 2 2 2 2 2 4 3 2 2" xfId="35466"/>
    <cellStyle name="常规 3 2 2 2 2 2 2 4 3 3" xfId="26042"/>
    <cellStyle name="常规 3 2 2 2 2 2 2 4 4" xfId="10346"/>
    <cellStyle name="常规 3 2 2 2 2 2 2 4 4 2" xfId="29194"/>
    <cellStyle name="常规 3 2 2 2 2 2 2 4 5" xfId="19770"/>
    <cellStyle name="常规 3 2 2 2 2 2 2 5" xfId="1710"/>
    <cellStyle name="常规 3 2 2 2 2 2 2 5 2" xfId="4846"/>
    <cellStyle name="常规 3 2 2 2 2 2 2 5 2 2" xfId="14266"/>
    <cellStyle name="常规 3 2 2 2 2 2 2 5 2 2 2" xfId="33114"/>
    <cellStyle name="常规 3 2 2 2 2 2 2 5 2 3" xfId="23690"/>
    <cellStyle name="常规 3 2 2 2 2 2 2 5 3" xfId="7982"/>
    <cellStyle name="常规 3 2 2 2 2 2 2 5 3 2" xfId="17402"/>
    <cellStyle name="常规 3 2 2 2 2 2 2 5 3 2 2" xfId="36250"/>
    <cellStyle name="常规 3 2 2 2 2 2 2 5 3 3" xfId="26826"/>
    <cellStyle name="常规 3 2 2 2 2 2 2 5 4" xfId="11130"/>
    <cellStyle name="常规 3 2 2 2 2 2 2 5 4 2" xfId="29978"/>
    <cellStyle name="常规 3 2 2 2 2 2 2 5 5" xfId="20554"/>
    <cellStyle name="常规 3 2 2 2 2 2 2 6" xfId="2494"/>
    <cellStyle name="常规 3 2 2 2 2 2 2 6 2" xfId="5630"/>
    <cellStyle name="常规 3 2 2 2 2 2 2 6 2 2" xfId="15050"/>
    <cellStyle name="常规 3 2 2 2 2 2 2 6 2 2 2" xfId="33898"/>
    <cellStyle name="常规 3 2 2 2 2 2 2 6 2 3" xfId="24474"/>
    <cellStyle name="常规 3 2 2 2 2 2 2 6 3" xfId="8766"/>
    <cellStyle name="常规 3 2 2 2 2 2 2 6 3 2" xfId="18186"/>
    <cellStyle name="常规 3 2 2 2 2 2 2 6 3 2 2" xfId="37034"/>
    <cellStyle name="常规 3 2 2 2 2 2 2 6 3 3" xfId="27610"/>
    <cellStyle name="常规 3 2 2 2 2 2 2 6 4" xfId="11914"/>
    <cellStyle name="常规 3 2 2 2 2 2 2 6 4 2" xfId="30762"/>
    <cellStyle name="常规 3 2 2 2 2 2 2 6 5" xfId="21338"/>
    <cellStyle name="常规 3 2 2 2 2 2 2 7" xfId="3337"/>
    <cellStyle name="常规 3 2 2 2 2 2 2 7 2" xfId="12757"/>
    <cellStyle name="常规 3 2 2 2 2 2 2 7 2 2" xfId="31605"/>
    <cellStyle name="常规 3 2 2 2 2 2 2 7 3" xfId="22181"/>
    <cellStyle name="常规 3 2 2 2 2 2 2 8" xfId="6414"/>
    <cellStyle name="常规 3 2 2 2 2 2 2 8 2" xfId="15834"/>
    <cellStyle name="常规 3 2 2 2 2 2 2 8 2 2" xfId="34682"/>
    <cellStyle name="常规 3 2 2 2 2 2 2 8 3" xfId="25258"/>
    <cellStyle name="常规 3 2 2 2 2 2 2 9" xfId="9561"/>
    <cellStyle name="常规 3 2 2 2 2 2 2 9 2" xfId="28406"/>
    <cellStyle name="常规 3 2 2 2 2 2 3" xfId="140"/>
    <cellStyle name="常规 3 2 2 2 2 2 3 2" xfId="538"/>
    <cellStyle name="常规 3 2 2 2 2 2 3 2 2" xfId="1322"/>
    <cellStyle name="常规 3 2 2 2 2 2 3 2 2 2" xfId="4458"/>
    <cellStyle name="常规 3 2 2 2 2 2 3 2 2 2 2" xfId="13878"/>
    <cellStyle name="常规 3 2 2 2 2 2 3 2 2 2 2 2" xfId="32726"/>
    <cellStyle name="常规 3 2 2 2 2 2 3 2 2 2 3" xfId="23302"/>
    <cellStyle name="常规 3 2 2 2 2 2 3 2 2 3" xfId="7594"/>
    <cellStyle name="常规 3 2 2 2 2 2 3 2 2 3 2" xfId="17014"/>
    <cellStyle name="常规 3 2 2 2 2 2 3 2 2 3 2 2" xfId="35862"/>
    <cellStyle name="常规 3 2 2 2 2 2 3 2 2 3 3" xfId="26438"/>
    <cellStyle name="常规 3 2 2 2 2 2 3 2 2 4" xfId="10742"/>
    <cellStyle name="常规 3 2 2 2 2 2 3 2 2 4 2" xfId="29590"/>
    <cellStyle name="常规 3 2 2 2 2 2 3 2 2 5" xfId="20166"/>
    <cellStyle name="常规 3 2 2 2 2 2 3 2 3" xfId="2106"/>
    <cellStyle name="常规 3 2 2 2 2 2 3 2 3 2" xfId="5242"/>
    <cellStyle name="常规 3 2 2 2 2 2 3 2 3 2 2" xfId="14662"/>
    <cellStyle name="常规 3 2 2 2 2 2 3 2 3 2 2 2" xfId="33510"/>
    <cellStyle name="常规 3 2 2 2 2 2 3 2 3 2 3" xfId="24086"/>
    <cellStyle name="常规 3 2 2 2 2 2 3 2 3 3" xfId="8378"/>
    <cellStyle name="常规 3 2 2 2 2 2 3 2 3 3 2" xfId="17798"/>
    <cellStyle name="常规 3 2 2 2 2 2 3 2 3 3 2 2" xfId="36646"/>
    <cellStyle name="常规 3 2 2 2 2 2 3 2 3 3 3" xfId="27222"/>
    <cellStyle name="常规 3 2 2 2 2 2 3 2 3 4" xfId="11526"/>
    <cellStyle name="常规 3 2 2 2 2 2 3 2 3 4 2" xfId="30374"/>
    <cellStyle name="常规 3 2 2 2 2 2 3 2 3 5" xfId="20950"/>
    <cellStyle name="常规 3 2 2 2 2 2 3 2 4" xfId="2890"/>
    <cellStyle name="常规 3 2 2 2 2 2 3 2 4 2" xfId="6026"/>
    <cellStyle name="常规 3 2 2 2 2 2 3 2 4 2 2" xfId="15446"/>
    <cellStyle name="常规 3 2 2 2 2 2 3 2 4 2 2 2" xfId="34294"/>
    <cellStyle name="常规 3 2 2 2 2 2 3 2 4 2 3" xfId="24870"/>
    <cellStyle name="常规 3 2 2 2 2 2 3 2 4 3" xfId="9162"/>
    <cellStyle name="常规 3 2 2 2 2 2 3 2 4 3 2" xfId="18582"/>
    <cellStyle name="常规 3 2 2 2 2 2 3 2 4 3 2 2" xfId="37430"/>
    <cellStyle name="常规 3 2 2 2 2 2 3 2 4 3 3" xfId="28006"/>
    <cellStyle name="常规 3 2 2 2 2 2 3 2 4 4" xfId="12310"/>
    <cellStyle name="常规 3 2 2 2 2 2 3 2 4 4 2" xfId="31158"/>
    <cellStyle name="常规 3 2 2 2 2 2 3 2 4 5" xfId="21734"/>
    <cellStyle name="常规 3 2 2 2 2 2 3 2 5" xfId="3674"/>
    <cellStyle name="常规 3 2 2 2 2 2 3 2 5 2" xfId="13094"/>
    <cellStyle name="常规 3 2 2 2 2 2 3 2 5 2 2" xfId="31942"/>
    <cellStyle name="常规 3 2 2 2 2 2 3 2 5 3" xfId="22518"/>
    <cellStyle name="常规 3 2 2 2 2 2 3 2 6" xfId="6810"/>
    <cellStyle name="常规 3 2 2 2 2 2 3 2 6 2" xfId="16230"/>
    <cellStyle name="常规 3 2 2 2 2 2 3 2 6 2 2" xfId="35078"/>
    <cellStyle name="常规 3 2 2 2 2 2 3 2 6 3" xfId="25654"/>
    <cellStyle name="常规 3 2 2 2 2 2 3 2 7" xfId="9958"/>
    <cellStyle name="常规 3 2 2 2 2 2 3 2 7 2" xfId="28806"/>
    <cellStyle name="常规 3 2 2 2 2 2 3 2 8" xfId="19382"/>
    <cellStyle name="常规 3 2 2 2 2 2 3 3" xfId="928"/>
    <cellStyle name="常规 3 2 2 2 2 2 3 3 2" xfId="4064"/>
    <cellStyle name="常规 3 2 2 2 2 2 3 3 2 2" xfId="13484"/>
    <cellStyle name="常规 3 2 2 2 2 2 3 3 2 2 2" xfId="32332"/>
    <cellStyle name="常规 3 2 2 2 2 2 3 3 2 3" xfId="22908"/>
    <cellStyle name="常规 3 2 2 2 2 2 3 3 3" xfId="7200"/>
    <cellStyle name="常规 3 2 2 2 2 2 3 3 3 2" xfId="16620"/>
    <cellStyle name="常规 3 2 2 2 2 2 3 3 3 2 2" xfId="35468"/>
    <cellStyle name="常规 3 2 2 2 2 2 3 3 3 3" xfId="26044"/>
    <cellStyle name="常规 3 2 2 2 2 2 3 3 4" xfId="10348"/>
    <cellStyle name="常规 3 2 2 2 2 2 3 3 4 2" xfId="29196"/>
    <cellStyle name="常规 3 2 2 2 2 2 3 3 5" xfId="19772"/>
    <cellStyle name="常规 3 2 2 2 2 2 3 4" xfId="1712"/>
    <cellStyle name="常规 3 2 2 2 2 2 3 4 2" xfId="4848"/>
    <cellStyle name="常规 3 2 2 2 2 2 3 4 2 2" xfId="14268"/>
    <cellStyle name="常规 3 2 2 2 2 2 3 4 2 2 2" xfId="33116"/>
    <cellStyle name="常规 3 2 2 2 2 2 3 4 2 3" xfId="23692"/>
    <cellStyle name="常规 3 2 2 2 2 2 3 4 3" xfId="7984"/>
    <cellStyle name="常规 3 2 2 2 2 2 3 4 3 2" xfId="17404"/>
    <cellStyle name="常规 3 2 2 2 2 2 3 4 3 2 2" xfId="36252"/>
    <cellStyle name="常规 3 2 2 2 2 2 3 4 3 3" xfId="26828"/>
    <cellStyle name="常规 3 2 2 2 2 2 3 4 4" xfId="11132"/>
    <cellStyle name="常规 3 2 2 2 2 2 3 4 4 2" xfId="29980"/>
    <cellStyle name="常规 3 2 2 2 2 2 3 4 5" xfId="20556"/>
    <cellStyle name="常规 3 2 2 2 2 2 3 5" xfId="2496"/>
    <cellStyle name="常规 3 2 2 2 2 2 3 5 2" xfId="5632"/>
    <cellStyle name="常规 3 2 2 2 2 2 3 5 2 2" xfId="15052"/>
    <cellStyle name="常规 3 2 2 2 2 2 3 5 2 2 2" xfId="33900"/>
    <cellStyle name="常规 3 2 2 2 2 2 3 5 2 3" xfId="24476"/>
    <cellStyle name="常规 3 2 2 2 2 2 3 5 3" xfId="8768"/>
    <cellStyle name="常规 3 2 2 2 2 2 3 5 3 2" xfId="18188"/>
    <cellStyle name="常规 3 2 2 2 2 2 3 5 3 2 2" xfId="37036"/>
    <cellStyle name="常规 3 2 2 2 2 2 3 5 3 3" xfId="27612"/>
    <cellStyle name="常规 3 2 2 2 2 2 3 5 4" xfId="11916"/>
    <cellStyle name="常规 3 2 2 2 2 2 3 5 4 2" xfId="30764"/>
    <cellStyle name="常规 3 2 2 2 2 2 3 5 5" xfId="21340"/>
    <cellStyle name="常规 3 2 2 2 2 2 3 6" xfId="3339"/>
    <cellStyle name="常规 3 2 2 2 2 2 3 6 2" xfId="12759"/>
    <cellStyle name="常规 3 2 2 2 2 2 3 6 2 2" xfId="31607"/>
    <cellStyle name="常规 3 2 2 2 2 2 3 6 3" xfId="22183"/>
    <cellStyle name="常规 3 2 2 2 2 2 3 7" xfId="6416"/>
    <cellStyle name="常规 3 2 2 2 2 2 3 7 2" xfId="15836"/>
    <cellStyle name="常规 3 2 2 2 2 2 3 7 2 2" xfId="34684"/>
    <cellStyle name="常规 3 2 2 2 2 2 3 7 3" xfId="25260"/>
    <cellStyle name="常规 3 2 2 2 2 2 3 8" xfId="9563"/>
    <cellStyle name="常规 3 2 2 2 2 2 3 8 2" xfId="28408"/>
    <cellStyle name="常规 3 2 2 2 2 2 3 9" xfId="18986"/>
    <cellStyle name="常规 3 2 2 2 2 2 4" xfId="535"/>
    <cellStyle name="常规 3 2 2 2 2 2 4 2" xfId="1319"/>
    <cellStyle name="常规 3 2 2 2 2 2 4 2 2" xfId="4455"/>
    <cellStyle name="常规 3 2 2 2 2 2 4 2 2 2" xfId="13875"/>
    <cellStyle name="常规 3 2 2 2 2 2 4 2 2 2 2" xfId="32723"/>
    <cellStyle name="常规 3 2 2 2 2 2 4 2 2 3" xfId="23299"/>
    <cellStyle name="常规 3 2 2 2 2 2 4 2 3" xfId="7591"/>
    <cellStyle name="常规 3 2 2 2 2 2 4 2 3 2" xfId="17011"/>
    <cellStyle name="常规 3 2 2 2 2 2 4 2 3 2 2" xfId="35859"/>
    <cellStyle name="常规 3 2 2 2 2 2 4 2 3 3" xfId="26435"/>
    <cellStyle name="常规 3 2 2 2 2 2 4 2 4" xfId="10739"/>
    <cellStyle name="常规 3 2 2 2 2 2 4 2 4 2" xfId="29587"/>
    <cellStyle name="常规 3 2 2 2 2 2 4 2 5" xfId="20163"/>
    <cellStyle name="常规 3 2 2 2 2 2 4 3" xfId="2103"/>
    <cellStyle name="常规 3 2 2 2 2 2 4 3 2" xfId="5239"/>
    <cellStyle name="常规 3 2 2 2 2 2 4 3 2 2" xfId="14659"/>
    <cellStyle name="常规 3 2 2 2 2 2 4 3 2 2 2" xfId="33507"/>
    <cellStyle name="常规 3 2 2 2 2 2 4 3 2 3" xfId="24083"/>
    <cellStyle name="常规 3 2 2 2 2 2 4 3 3" xfId="8375"/>
    <cellStyle name="常规 3 2 2 2 2 2 4 3 3 2" xfId="17795"/>
    <cellStyle name="常规 3 2 2 2 2 2 4 3 3 2 2" xfId="36643"/>
    <cellStyle name="常规 3 2 2 2 2 2 4 3 3 3" xfId="27219"/>
    <cellStyle name="常规 3 2 2 2 2 2 4 3 4" xfId="11523"/>
    <cellStyle name="常规 3 2 2 2 2 2 4 3 4 2" xfId="30371"/>
    <cellStyle name="常规 3 2 2 2 2 2 4 3 5" xfId="20947"/>
    <cellStyle name="常规 3 2 2 2 2 2 4 4" xfId="2887"/>
    <cellStyle name="常规 3 2 2 2 2 2 4 4 2" xfId="6023"/>
    <cellStyle name="常规 3 2 2 2 2 2 4 4 2 2" xfId="15443"/>
    <cellStyle name="常规 3 2 2 2 2 2 4 4 2 2 2" xfId="34291"/>
    <cellStyle name="常规 3 2 2 2 2 2 4 4 2 3" xfId="24867"/>
    <cellStyle name="常规 3 2 2 2 2 2 4 4 3" xfId="9159"/>
    <cellStyle name="常规 3 2 2 2 2 2 4 4 3 2" xfId="18579"/>
    <cellStyle name="常规 3 2 2 2 2 2 4 4 3 2 2" xfId="37427"/>
    <cellStyle name="常规 3 2 2 2 2 2 4 4 3 3" xfId="28003"/>
    <cellStyle name="常规 3 2 2 2 2 2 4 4 4" xfId="12307"/>
    <cellStyle name="常规 3 2 2 2 2 2 4 4 4 2" xfId="31155"/>
    <cellStyle name="常规 3 2 2 2 2 2 4 4 5" xfId="21731"/>
    <cellStyle name="常规 3 2 2 2 2 2 4 5" xfId="3671"/>
    <cellStyle name="常规 3 2 2 2 2 2 4 5 2" xfId="13091"/>
    <cellStyle name="常规 3 2 2 2 2 2 4 5 2 2" xfId="31939"/>
    <cellStyle name="常规 3 2 2 2 2 2 4 5 3" xfId="22515"/>
    <cellStyle name="常规 3 2 2 2 2 2 4 6" xfId="6807"/>
    <cellStyle name="常规 3 2 2 2 2 2 4 6 2" xfId="16227"/>
    <cellStyle name="常规 3 2 2 2 2 2 4 6 2 2" xfId="35075"/>
    <cellStyle name="常规 3 2 2 2 2 2 4 6 3" xfId="25651"/>
    <cellStyle name="常规 3 2 2 2 2 2 4 7" xfId="9955"/>
    <cellStyle name="常规 3 2 2 2 2 2 4 7 2" xfId="28803"/>
    <cellStyle name="常规 3 2 2 2 2 2 4 8" xfId="19379"/>
    <cellStyle name="常规 3 2 2 2 2 2 5" xfId="925"/>
    <cellStyle name="常规 3 2 2 2 2 2 5 2" xfId="4061"/>
    <cellStyle name="常规 3 2 2 2 2 2 5 2 2" xfId="13481"/>
    <cellStyle name="常规 3 2 2 2 2 2 5 2 2 2" xfId="32329"/>
    <cellStyle name="常规 3 2 2 2 2 2 5 2 3" xfId="22905"/>
    <cellStyle name="常规 3 2 2 2 2 2 5 3" xfId="7197"/>
    <cellStyle name="常规 3 2 2 2 2 2 5 3 2" xfId="16617"/>
    <cellStyle name="常规 3 2 2 2 2 2 5 3 2 2" xfId="35465"/>
    <cellStyle name="常规 3 2 2 2 2 2 5 3 3" xfId="26041"/>
    <cellStyle name="常规 3 2 2 2 2 2 5 4" xfId="10345"/>
    <cellStyle name="常规 3 2 2 2 2 2 5 4 2" xfId="29193"/>
    <cellStyle name="常规 3 2 2 2 2 2 5 5" xfId="19769"/>
    <cellStyle name="常规 3 2 2 2 2 2 6" xfId="1709"/>
    <cellStyle name="常规 3 2 2 2 2 2 6 2" xfId="4845"/>
    <cellStyle name="常规 3 2 2 2 2 2 6 2 2" xfId="14265"/>
    <cellStyle name="常规 3 2 2 2 2 2 6 2 2 2" xfId="33113"/>
    <cellStyle name="常规 3 2 2 2 2 2 6 2 3" xfId="23689"/>
    <cellStyle name="常规 3 2 2 2 2 2 6 3" xfId="7981"/>
    <cellStyle name="常规 3 2 2 2 2 2 6 3 2" xfId="17401"/>
    <cellStyle name="常规 3 2 2 2 2 2 6 3 2 2" xfId="36249"/>
    <cellStyle name="常规 3 2 2 2 2 2 6 3 3" xfId="26825"/>
    <cellStyle name="常规 3 2 2 2 2 2 6 4" xfId="11129"/>
    <cellStyle name="常规 3 2 2 2 2 2 6 4 2" xfId="29977"/>
    <cellStyle name="常规 3 2 2 2 2 2 6 5" xfId="20553"/>
    <cellStyle name="常规 3 2 2 2 2 2 7" xfId="2493"/>
    <cellStyle name="常规 3 2 2 2 2 2 7 2" xfId="5629"/>
    <cellStyle name="常规 3 2 2 2 2 2 7 2 2" xfId="15049"/>
    <cellStyle name="常规 3 2 2 2 2 2 7 2 2 2" xfId="33897"/>
    <cellStyle name="常规 3 2 2 2 2 2 7 2 3" xfId="24473"/>
    <cellStyle name="常规 3 2 2 2 2 2 7 3" xfId="8765"/>
    <cellStyle name="常规 3 2 2 2 2 2 7 3 2" xfId="18185"/>
    <cellStyle name="常规 3 2 2 2 2 2 7 3 2 2" xfId="37033"/>
    <cellStyle name="常规 3 2 2 2 2 2 7 3 3" xfId="27609"/>
    <cellStyle name="常规 3 2 2 2 2 2 7 4" xfId="11913"/>
    <cellStyle name="常规 3 2 2 2 2 2 7 4 2" xfId="30761"/>
    <cellStyle name="常规 3 2 2 2 2 2 7 5" xfId="21337"/>
    <cellStyle name="常规 3 2 2 2 2 2 8" xfId="3212"/>
    <cellStyle name="常规 3 2 2 2 2 2 8 2" xfId="12632"/>
    <cellStyle name="常规 3 2 2 2 2 2 8 2 2" xfId="31480"/>
    <cellStyle name="常规 3 2 2 2 2 2 8 3" xfId="22056"/>
    <cellStyle name="常规 3 2 2 2 2 2 9" xfId="6413"/>
    <cellStyle name="常规 3 2 2 2 2 2 9 2" xfId="15833"/>
    <cellStyle name="常规 3 2 2 2 2 2 9 2 2" xfId="34681"/>
    <cellStyle name="常规 3 2 2 2 2 2 9 3" xfId="25257"/>
    <cellStyle name="常规 3 2 2 2 2 3" xfId="141"/>
    <cellStyle name="常规 3 2 2 2 2 3 10" xfId="18987"/>
    <cellStyle name="常规 3 2 2 2 2 3 2" xfId="142"/>
    <cellStyle name="常规 3 2 2 2 2 3 2 2" xfId="540"/>
    <cellStyle name="常规 3 2 2 2 2 3 2 2 2" xfId="1324"/>
    <cellStyle name="常规 3 2 2 2 2 3 2 2 2 2" xfId="4460"/>
    <cellStyle name="常规 3 2 2 2 2 3 2 2 2 2 2" xfId="13880"/>
    <cellStyle name="常规 3 2 2 2 2 3 2 2 2 2 2 2" xfId="32728"/>
    <cellStyle name="常规 3 2 2 2 2 3 2 2 2 2 3" xfId="23304"/>
    <cellStyle name="常规 3 2 2 2 2 3 2 2 2 3" xfId="7596"/>
    <cellStyle name="常规 3 2 2 2 2 3 2 2 2 3 2" xfId="17016"/>
    <cellStyle name="常规 3 2 2 2 2 3 2 2 2 3 2 2" xfId="35864"/>
    <cellStyle name="常规 3 2 2 2 2 3 2 2 2 3 3" xfId="26440"/>
    <cellStyle name="常规 3 2 2 2 2 3 2 2 2 4" xfId="10744"/>
    <cellStyle name="常规 3 2 2 2 2 3 2 2 2 4 2" xfId="29592"/>
    <cellStyle name="常规 3 2 2 2 2 3 2 2 2 5" xfId="20168"/>
    <cellStyle name="常规 3 2 2 2 2 3 2 2 3" xfId="2108"/>
    <cellStyle name="常规 3 2 2 2 2 3 2 2 3 2" xfId="5244"/>
    <cellStyle name="常规 3 2 2 2 2 3 2 2 3 2 2" xfId="14664"/>
    <cellStyle name="常规 3 2 2 2 2 3 2 2 3 2 2 2" xfId="33512"/>
    <cellStyle name="常规 3 2 2 2 2 3 2 2 3 2 3" xfId="24088"/>
    <cellStyle name="常规 3 2 2 2 2 3 2 2 3 3" xfId="8380"/>
    <cellStyle name="常规 3 2 2 2 2 3 2 2 3 3 2" xfId="17800"/>
    <cellStyle name="常规 3 2 2 2 2 3 2 2 3 3 2 2" xfId="36648"/>
    <cellStyle name="常规 3 2 2 2 2 3 2 2 3 3 3" xfId="27224"/>
    <cellStyle name="常规 3 2 2 2 2 3 2 2 3 4" xfId="11528"/>
    <cellStyle name="常规 3 2 2 2 2 3 2 2 3 4 2" xfId="30376"/>
    <cellStyle name="常规 3 2 2 2 2 3 2 2 3 5" xfId="20952"/>
    <cellStyle name="常规 3 2 2 2 2 3 2 2 4" xfId="2892"/>
    <cellStyle name="常规 3 2 2 2 2 3 2 2 4 2" xfId="6028"/>
    <cellStyle name="常规 3 2 2 2 2 3 2 2 4 2 2" xfId="15448"/>
    <cellStyle name="常规 3 2 2 2 2 3 2 2 4 2 2 2" xfId="34296"/>
    <cellStyle name="常规 3 2 2 2 2 3 2 2 4 2 3" xfId="24872"/>
    <cellStyle name="常规 3 2 2 2 2 3 2 2 4 3" xfId="9164"/>
    <cellStyle name="常规 3 2 2 2 2 3 2 2 4 3 2" xfId="18584"/>
    <cellStyle name="常规 3 2 2 2 2 3 2 2 4 3 2 2" xfId="37432"/>
    <cellStyle name="常规 3 2 2 2 2 3 2 2 4 3 3" xfId="28008"/>
    <cellStyle name="常规 3 2 2 2 2 3 2 2 4 4" xfId="12312"/>
    <cellStyle name="常规 3 2 2 2 2 3 2 2 4 4 2" xfId="31160"/>
    <cellStyle name="常规 3 2 2 2 2 3 2 2 4 5" xfId="21736"/>
    <cellStyle name="常规 3 2 2 2 2 3 2 2 5" xfId="3676"/>
    <cellStyle name="常规 3 2 2 2 2 3 2 2 5 2" xfId="13096"/>
    <cellStyle name="常规 3 2 2 2 2 3 2 2 5 2 2" xfId="31944"/>
    <cellStyle name="常规 3 2 2 2 2 3 2 2 5 3" xfId="22520"/>
    <cellStyle name="常规 3 2 2 2 2 3 2 2 6" xfId="6812"/>
    <cellStyle name="常规 3 2 2 2 2 3 2 2 6 2" xfId="16232"/>
    <cellStyle name="常规 3 2 2 2 2 3 2 2 6 2 2" xfId="35080"/>
    <cellStyle name="常规 3 2 2 2 2 3 2 2 6 3" xfId="25656"/>
    <cellStyle name="常规 3 2 2 2 2 3 2 2 7" xfId="9960"/>
    <cellStyle name="常规 3 2 2 2 2 3 2 2 7 2" xfId="28808"/>
    <cellStyle name="常规 3 2 2 2 2 3 2 2 8" xfId="19384"/>
    <cellStyle name="常规 3 2 2 2 2 3 2 3" xfId="930"/>
    <cellStyle name="常规 3 2 2 2 2 3 2 3 2" xfId="4066"/>
    <cellStyle name="常规 3 2 2 2 2 3 2 3 2 2" xfId="13486"/>
    <cellStyle name="常规 3 2 2 2 2 3 2 3 2 2 2" xfId="32334"/>
    <cellStyle name="常规 3 2 2 2 2 3 2 3 2 3" xfId="22910"/>
    <cellStyle name="常规 3 2 2 2 2 3 2 3 3" xfId="7202"/>
    <cellStyle name="常规 3 2 2 2 2 3 2 3 3 2" xfId="16622"/>
    <cellStyle name="常规 3 2 2 2 2 3 2 3 3 2 2" xfId="35470"/>
    <cellStyle name="常规 3 2 2 2 2 3 2 3 3 3" xfId="26046"/>
    <cellStyle name="常规 3 2 2 2 2 3 2 3 4" xfId="10350"/>
    <cellStyle name="常规 3 2 2 2 2 3 2 3 4 2" xfId="29198"/>
    <cellStyle name="常规 3 2 2 2 2 3 2 3 5" xfId="19774"/>
    <cellStyle name="常规 3 2 2 2 2 3 2 4" xfId="1714"/>
    <cellStyle name="常规 3 2 2 2 2 3 2 4 2" xfId="4850"/>
    <cellStyle name="常规 3 2 2 2 2 3 2 4 2 2" xfId="14270"/>
    <cellStyle name="常规 3 2 2 2 2 3 2 4 2 2 2" xfId="33118"/>
    <cellStyle name="常规 3 2 2 2 2 3 2 4 2 3" xfId="23694"/>
    <cellStyle name="常规 3 2 2 2 2 3 2 4 3" xfId="7986"/>
    <cellStyle name="常规 3 2 2 2 2 3 2 4 3 2" xfId="17406"/>
    <cellStyle name="常规 3 2 2 2 2 3 2 4 3 2 2" xfId="36254"/>
    <cellStyle name="常规 3 2 2 2 2 3 2 4 3 3" xfId="26830"/>
    <cellStyle name="常规 3 2 2 2 2 3 2 4 4" xfId="11134"/>
    <cellStyle name="常规 3 2 2 2 2 3 2 4 4 2" xfId="29982"/>
    <cellStyle name="常规 3 2 2 2 2 3 2 4 5" xfId="20558"/>
    <cellStyle name="常规 3 2 2 2 2 3 2 5" xfId="2498"/>
    <cellStyle name="常规 3 2 2 2 2 3 2 5 2" xfId="5634"/>
    <cellStyle name="常规 3 2 2 2 2 3 2 5 2 2" xfId="15054"/>
    <cellStyle name="常规 3 2 2 2 2 3 2 5 2 2 2" xfId="33902"/>
    <cellStyle name="常规 3 2 2 2 2 3 2 5 2 3" xfId="24478"/>
    <cellStyle name="常规 3 2 2 2 2 3 2 5 3" xfId="8770"/>
    <cellStyle name="常规 3 2 2 2 2 3 2 5 3 2" xfId="18190"/>
    <cellStyle name="常规 3 2 2 2 2 3 2 5 3 2 2" xfId="37038"/>
    <cellStyle name="常规 3 2 2 2 2 3 2 5 3 3" xfId="27614"/>
    <cellStyle name="常规 3 2 2 2 2 3 2 5 4" xfId="11918"/>
    <cellStyle name="常规 3 2 2 2 2 3 2 5 4 2" xfId="30766"/>
    <cellStyle name="常规 3 2 2 2 2 3 2 5 5" xfId="21342"/>
    <cellStyle name="常规 3 2 2 2 2 3 2 6" xfId="3341"/>
    <cellStyle name="常规 3 2 2 2 2 3 2 6 2" xfId="12761"/>
    <cellStyle name="常规 3 2 2 2 2 3 2 6 2 2" xfId="31609"/>
    <cellStyle name="常规 3 2 2 2 2 3 2 6 3" xfId="22185"/>
    <cellStyle name="常规 3 2 2 2 2 3 2 7" xfId="6418"/>
    <cellStyle name="常规 3 2 2 2 2 3 2 7 2" xfId="15838"/>
    <cellStyle name="常规 3 2 2 2 2 3 2 7 2 2" xfId="34686"/>
    <cellStyle name="常规 3 2 2 2 2 3 2 7 3" xfId="25262"/>
    <cellStyle name="常规 3 2 2 2 2 3 2 8" xfId="9565"/>
    <cellStyle name="常规 3 2 2 2 2 3 2 8 2" xfId="28410"/>
    <cellStyle name="常规 3 2 2 2 2 3 2 9" xfId="18988"/>
    <cellStyle name="常规 3 2 2 2 2 3 3" xfId="539"/>
    <cellStyle name="常规 3 2 2 2 2 3 3 2" xfId="1323"/>
    <cellStyle name="常规 3 2 2 2 2 3 3 2 2" xfId="4459"/>
    <cellStyle name="常规 3 2 2 2 2 3 3 2 2 2" xfId="13879"/>
    <cellStyle name="常规 3 2 2 2 2 3 3 2 2 2 2" xfId="32727"/>
    <cellStyle name="常规 3 2 2 2 2 3 3 2 2 3" xfId="23303"/>
    <cellStyle name="常规 3 2 2 2 2 3 3 2 3" xfId="7595"/>
    <cellStyle name="常规 3 2 2 2 2 3 3 2 3 2" xfId="17015"/>
    <cellStyle name="常规 3 2 2 2 2 3 3 2 3 2 2" xfId="35863"/>
    <cellStyle name="常规 3 2 2 2 2 3 3 2 3 3" xfId="26439"/>
    <cellStyle name="常规 3 2 2 2 2 3 3 2 4" xfId="10743"/>
    <cellStyle name="常规 3 2 2 2 2 3 3 2 4 2" xfId="29591"/>
    <cellStyle name="常规 3 2 2 2 2 3 3 2 5" xfId="20167"/>
    <cellStyle name="常规 3 2 2 2 2 3 3 3" xfId="2107"/>
    <cellStyle name="常规 3 2 2 2 2 3 3 3 2" xfId="5243"/>
    <cellStyle name="常规 3 2 2 2 2 3 3 3 2 2" xfId="14663"/>
    <cellStyle name="常规 3 2 2 2 2 3 3 3 2 2 2" xfId="33511"/>
    <cellStyle name="常规 3 2 2 2 2 3 3 3 2 3" xfId="24087"/>
    <cellStyle name="常规 3 2 2 2 2 3 3 3 3" xfId="8379"/>
    <cellStyle name="常规 3 2 2 2 2 3 3 3 3 2" xfId="17799"/>
    <cellStyle name="常规 3 2 2 2 2 3 3 3 3 2 2" xfId="36647"/>
    <cellStyle name="常规 3 2 2 2 2 3 3 3 3 3" xfId="27223"/>
    <cellStyle name="常规 3 2 2 2 2 3 3 3 4" xfId="11527"/>
    <cellStyle name="常规 3 2 2 2 2 3 3 3 4 2" xfId="30375"/>
    <cellStyle name="常规 3 2 2 2 2 3 3 3 5" xfId="20951"/>
    <cellStyle name="常规 3 2 2 2 2 3 3 4" xfId="2891"/>
    <cellStyle name="常规 3 2 2 2 2 3 3 4 2" xfId="6027"/>
    <cellStyle name="常规 3 2 2 2 2 3 3 4 2 2" xfId="15447"/>
    <cellStyle name="常规 3 2 2 2 2 3 3 4 2 2 2" xfId="34295"/>
    <cellStyle name="常规 3 2 2 2 2 3 3 4 2 3" xfId="24871"/>
    <cellStyle name="常规 3 2 2 2 2 3 3 4 3" xfId="9163"/>
    <cellStyle name="常规 3 2 2 2 2 3 3 4 3 2" xfId="18583"/>
    <cellStyle name="常规 3 2 2 2 2 3 3 4 3 2 2" xfId="37431"/>
    <cellStyle name="常规 3 2 2 2 2 3 3 4 3 3" xfId="28007"/>
    <cellStyle name="常规 3 2 2 2 2 3 3 4 4" xfId="12311"/>
    <cellStyle name="常规 3 2 2 2 2 3 3 4 4 2" xfId="31159"/>
    <cellStyle name="常规 3 2 2 2 2 3 3 4 5" xfId="21735"/>
    <cellStyle name="常规 3 2 2 2 2 3 3 5" xfId="3675"/>
    <cellStyle name="常规 3 2 2 2 2 3 3 5 2" xfId="13095"/>
    <cellStyle name="常规 3 2 2 2 2 3 3 5 2 2" xfId="31943"/>
    <cellStyle name="常规 3 2 2 2 2 3 3 5 3" xfId="22519"/>
    <cellStyle name="常规 3 2 2 2 2 3 3 6" xfId="6811"/>
    <cellStyle name="常规 3 2 2 2 2 3 3 6 2" xfId="16231"/>
    <cellStyle name="常规 3 2 2 2 2 3 3 6 2 2" xfId="35079"/>
    <cellStyle name="常规 3 2 2 2 2 3 3 6 3" xfId="25655"/>
    <cellStyle name="常规 3 2 2 2 2 3 3 7" xfId="9959"/>
    <cellStyle name="常规 3 2 2 2 2 3 3 7 2" xfId="28807"/>
    <cellStyle name="常规 3 2 2 2 2 3 3 8" xfId="19383"/>
    <cellStyle name="常规 3 2 2 2 2 3 4" xfId="929"/>
    <cellStyle name="常规 3 2 2 2 2 3 4 2" xfId="4065"/>
    <cellStyle name="常规 3 2 2 2 2 3 4 2 2" xfId="13485"/>
    <cellStyle name="常规 3 2 2 2 2 3 4 2 2 2" xfId="32333"/>
    <cellStyle name="常规 3 2 2 2 2 3 4 2 3" xfId="22909"/>
    <cellStyle name="常规 3 2 2 2 2 3 4 3" xfId="7201"/>
    <cellStyle name="常规 3 2 2 2 2 3 4 3 2" xfId="16621"/>
    <cellStyle name="常规 3 2 2 2 2 3 4 3 2 2" xfId="35469"/>
    <cellStyle name="常规 3 2 2 2 2 3 4 3 3" xfId="26045"/>
    <cellStyle name="常规 3 2 2 2 2 3 4 4" xfId="10349"/>
    <cellStyle name="常规 3 2 2 2 2 3 4 4 2" xfId="29197"/>
    <cellStyle name="常规 3 2 2 2 2 3 4 5" xfId="19773"/>
    <cellStyle name="常规 3 2 2 2 2 3 5" xfId="1713"/>
    <cellStyle name="常规 3 2 2 2 2 3 5 2" xfId="4849"/>
    <cellStyle name="常规 3 2 2 2 2 3 5 2 2" xfId="14269"/>
    <cellStyle name="常规 3 2 2 2 2 3 5 2 2 2" xfId="33117"/>
    <cellStyle name="常规 3 2 2 2 2 3 5 2 3" xfId="23693"/>
    <cellStyle name="常规 3 2 2 2 2 3 5 3" xfId="7985"/>
    <cellStyle name="常规 3 2 2 2 2 3 5 3 2" xfId="17405"/>
    <cellStyle name="常规 3 2 2 2 2 3 5 3 2 2" xfId="36253"/>
    <cellStyle name="常规 3 2 2 2 2 3 5 3 3" xfId="26829"/>
    <cellStyle name="常规 3 2 2 2 2 3 5 4" xfId="11133"/>
    <cellStyle name="常规 3 2 2 2 2 3 5 4 2" xfId="29981"/>
    <cellStyle name="常规 3 2 2 2 2 3 5 5" xfId="20557"/>
    <cellStyle name="常规 3 2 2 2 2 3 6" xfId="2497"/>
    <cellStyle name="常规 3 2 2 2 2 3 6 2" xfId="5633"/>
    <cellStyle name="常规 3 2 2 2 2 3 6 2 2" xfId="15053"/>
    <cellStyle name="常规 3 2 2 2 2 3 6 2 2 2" xfId="33901"/>
    <cellStyle name="常规 3 2 2 2 2 3 6 2 3" xfId="24477"/>
    <cellStyle name="常规 3 2 2 2 2 3 6 3" xfId="8769"/>
    <cellStyle name="常规 3 2 2 2 2 3 6 3 2" xfId="18189"/>
    <cellStyle name="常规 3 2 2 2 2 3 6 3 2 2" xfId="37037"/>
    <cellStyle name="常规 3 2 2 2 2 3 6 3 3" xfId="27613"/>
    <cellStyle name="常规 3 2 2 2 2 3 6 4" xfId="11917"/>
    <cellStyle name="常规 3 2 2 2 2 3 6 4 2" xfId="30765"/>
    <cellStyle name="常规 3 2 2 2 2 3 6 5" xfId="21341"/>
    <cellStyle name="常规 3 2 2 2 2 3 7" xfId="3340"/>
    <cellStyle name="常规 3 2 2 2 2 3 7 2" xfId="12760"/>
    <cellStyle name="常规 3 2 2 2 2 3 7 2 2" xfId="31608"/>
    <cellStyle name="常规 3 2 2 2 2 3 7 3" xfId="22184"/>
    <cellStyle name="常规 3 2 2 2 2 3 8" xfId="6417"/>
    <cellStyle name="常规 3 2 2 2 2 3 8 2" xfId="15837"/>
    <cellStyle name="常规 3 2 2 2 2 3 8 2 2" xfId="34685"/>
    <cellStyle name="常规 3 2 2 2 2 3 8 3" xfId="25261"/>
    <cellStyle name="常规 3 2 2 2 2 3 9" xfId="9564"/>
    <cellStyle name="常规 3 2 2 2 2 3 9 2" xfId="28409"/>
    <cellStyle name="常规 3 2 2 2 2 4" xfId="143"/>
    <cellStyle name="常规 3 2 2 2 2 4 2" xfId="541"/>
    <cellStyle name="常规 3 2 2 2 2 4 2 2" xfId="1325"/>
    <cellStyle name="常规 3 2 2 2 2 4 2 2 2" xfId="4461"/>
    <cellStyle name="常规 3 2 2 2 2 4 2 2 2 2" xfId="13881"/>
    <cellStyle name="常规 3 2 2 2 2 4 2 2 2 2 2" xfId="32729"/>
    <cellStyle name="常规 3 2 2 2 2 4 2 2 2 3" xfId="23305"/>
    <cellStyle name="常规 3 2 2 2 2 4 2 2 3" xfId="7597"/>
    <cellStyle name="常规 3 2 2 2 2 4 2 2 3 2" xfId="17017"/>
    <cellStyle name="常规 3 2 2 2 2 4 2 2 3 2 2" xfId="35865"/>
    <cellStyle name="常规 3 2 2 2 2 4 2 2 3 3" xfId="26441"/>
    <cellStyle name="常规 3 2 2 2 2 4 2 2 4" xfId="10745"/>
    <cellStyle name="常规 3 2 2 2 2 4 2 2 4 2" xfId="29593"/>
    <cellStyle name="常规 3 2 2 2 2 4 2 2 5" xfId="20169"/>
    <cellStyle name="常规 3 2 2 2 2 4 2 3" xfId="2109"/>
    <cellStyle name="常规 3 2 2 2 2 4 2 3 2" xfId="5245"/>
    <cellStyle name="常规 3 2 2 2 2 4 2 3 2 2" xfId="14665"/>
    <cellStyle name="常规 3 2 2 2 2 4 2 3 2 2 2" xfId="33513"/>
    <cellStyle name="常规 3 2 2 2 2 4 2 3 2 3" xfId="24089"/>
    <cellStyle name="常规 3 2 2 2 2 4 2 3 3" xfId="8381"/>
    <cellStyle name="常规 3 2 2 2 2 4 2 3 3 2" xfId="17801"/>
    <cellStyle name="常规 3 2 2 2 2 4 2 3 3 2 2" xfId="36649"/>
    <cellStyle name="常规 3 2 2 2 2 4 2 3 3 3" xfId="27225"/>
    <cellStyle name="常规 3 2 2 2 2 4 2 3 4" xfId="11529"/>
    <cellStyle name="常规 3 2 2 2 2 4 2 3 4 2" xfId="30377"/>
    <cellStyle name="常规 3 2 2 2 2 4 2 3 5" xfId="20953"/>
    <cellStyle name="常规 3 2 2 2 2 4 2 4" xfId="2893"/>
    <cellStyle name="常规 3 2 2 2 2 4 2 4 2" xfId="6029"/>
    <cellStyle name="常规 3 2 2 2 2 4 2 4 2 2" xfId="15449"/>
    <cellStyle name="常规 3 2 2 2 2 4 2 4 2 2 2" xfId="34297"/>
    <cellStyle name="常规 3 2 2 2 2 4 2 4 2 3" xfId="24873"/>
    <cellStyle name="常规 3 2 2 2 2 4 2 4 3" xfId="9165"/>
    <cellStyle name="常规 3 2 2 2 2 4 2 4 3 2" xfId="18585"/>
    <cellStyle name="常规 3 2 2 2 2 4 2 4 3 2 2" xfId="37433"/>
    <cellStyle name="常规 3 2 2 2 2 4 2 4 3 3" xfId="28009"/>
    <cellStyle name="常规 3 2 2 2 2 4 2 4 4" xfId="12313"/>
    <cellStyle name="常规 3 2 2 2 2 4 2 4 4 2" xfId="31161"/>
    <cellStyle name="常规 3 2 2 2 2 4 2 4 5" xfId="21737"/>
    <cellStyle name="常规 3 2 2 2 2 4 2 5" xfId="3677"/>
    <cellStyle name="常规 3 2 2 2 2 4 2 5 2" xfId="13097"/>
    <cellStyle name="常规 3 2 2 2 2 4 2 5 2 2" xfId="31945"/>
    <cellStyle name="常规 3 2 2 2 2 4 2 5 3" xfId="22521"/>
    <cellStyle name="常规 3 2 2 2 2 4 2 6" xfId="6813"/>
    <cellStyle name="常规 3 2 2 2 2 4 2 6 2" xfId="16233"/>
    <cellStyle name="常规 3 2 2 2 2 4 2 6 2 2" xfId="35081"/>
    <cellStyle name="常规 3 2 2 2 2 4 2 6 3" xfId="25657"/>
    <cellStyle name="常规 3 2 2 2 2 4 2 7" xfId="9961"/>
    <cellStyle name="常规 3 2 2 2 2 4 2 7 2" xfId="28809"/>
    <cellStyle name="常规 3 2 2 2 2 4 2 8" xfId="19385"/>
    <cellStyle name="常规 3 2 2 2 2 4 3" xfId="931"/>
    <cellStyle name="常规 3 2 2 2 2 4 3 2" xfId="4067"/>
    <cellStyle name="常规 3 2 2 2 2 4 3 2 2" xfId="13487"/>
    <cellStyle name="常规 3 2 2 2 2 4 3 2 2 2" xfId="32335"/>
    <cellStyle name="常规 3 2 2 2 2 4 3 2 3" xfId="22911"/>
    <cellStyle name="常规 3 2 2 2 2 4 3 3" xfId="7203"/>
    <cellStyle name="常规 3 2 2 2 2 4 3 3 2" xfId="16623"/>
    <cellStyle name="常规 3 2 2 2 2 4 3 3 2 2" xfId="35471"/>
    <cellStyle name="常规 3 2 2 2 2 4 3 3 3" xfId="26047"/>
    <cellStyle name="常规 3 2 2 2 2 4 3 4" xfId="10351"/>
    <cellStyle name="常规 3 2 2 2 2 4 3 4 2" xfId="29199"/>
    <cellStyle name="常规 3 2 2 2 2 4 3 5" xfId="19775"/>
    <cellStyle name="常规 3 2 2 2 2 4 4" xfId="1715"/>
    <cellStyle name="常规 3 2 2 2 2 4 4 2" xfId="4851"/>
    <cellStyle name="常规 3 2 2 2 2 4 4 2 2" xfId="14271"/>
    <cellStyle name="常规 3 2 2 2 2 4 4 2 2 2" xfId="33119"/>
    <cellStyle name="常规 3 2 2 2 2 4 4 2 3" xfId="23695"/>
    <cellStyle name="常规 3 2 2 2 2 4 4 3" xfId="7987"/>
    <cellStyle name="常规 3 2 2 2 2 4 4 3 2" xfId="17407"/>
    <cellStyle name="常规 3 2 2 2 2 4 4 3 2 2" xfId="36255"/>
    <cellStyle name="常规 3 2 2 2 2 4 4 3 3" xfId="26831"/>
    <cellStyle name="常规 3 2 2 2 2 4 4 4" xfId="11135"/>
    <cellStyle name="常规 3 2 2 2 2 4 4 4 2" xfId="29983"/>
    <cellStyle name="常规 3 2 2 2 2 4 4 5" xfId="20559"/>
    <cellStyle name="常规 3 2 2 2 2 4 5" xfId="2499"/>
    <cellStyle name="常规 3 2 2 2 2 4 5 2" xfId="5635"/>
    <cellStyle name="常规 3 2 2 2 2 4 5 2 2" xfId="15055"/>
    <cellStyle name="常规 3 2 2 2 2 4 5 2 2 2" xfId="33903"/>
    <cellStyle name="常规 3 2 2 2 2 4 5 2 3" xfId="24479"/>
    <cellStyle name="常规 3 2 2 2 2 4 5 3" xfId="8771"/>
    <cellStyle name="常规 3 2 2 2 2 4 5 3 2" xfId="18191"/>
    <cellStyle name="常规 3 2 2 2 2 4 5 3 2 2" xfId="37039"/>
    <cellStyle name="常规 3 2 2 2 2 4 5 3 3" xfId="27615"/>
    <cellStyle name="常规 3 2 2 2 2 4 5 4" xfId="11919"/>
    <cellStyle name="常规 3 2 2 2 2 4 5 4 2" xfId="30767"/>
    <cellStyle name="常规 3 2 2 2 2 4 5 5" xfId="21343"/>
    <cellStyle name="常规 3 2 2 2 2 4 6" xfId="3342"/>
    <cellStyle name="常规 3 2 2 2 2 4 6 2" xfId="12762"/>
    <cellStyle name="常规 3 2 2 2 2 4 6 2 2" xfId="31610"/>
    <cellStyle name="常规 3 2 2 2 2 4 6 3" xfId="22186"/>
    <cellStyle name="常规 3 2 2 2 2 4 7" xfId="6419"/>
    <cellStyle name="常规 3 2 2 2 2 4 7 2" xfId="15839"/>
    <cellStyle name="常规 3 2 2 2 2 4 7 2 2" xfId="34687"/>
    <cellStyle name="常规 3 2 2 2 2 4 7 3" xfId="25263"/>
    <cellStyle name="常规 3 2 2 2 2 4 8" xfId="9566"/>
    <cellStyle name="常规 3 2 2 2 2 4 8 2" xfId="28411"/>
    <cellStyle name="常规 3 2 2 2 2 4 9" xfId="18989"/>
    <cellStyle name="常规 3 2 2 2 2 5" xfId="534"/>
    <cellStyle name="常规 3 2 2 2 2 5 2" xfId="1318"/>
    <cellStyle name="常规 3 2 2 2 2 5 2 2" xfId="4454"/>
    <cellStyle name="常规 3 2 2 2 2 5 2 2 2" xfId="13874"/>
    <cellStyle name="常规 3 2 2 2 2 5 2 2 2 2" xfId="32722"/>
    <cellStyle name="常规 3 2 2 2 2 5 2 2 3" xfId="23298"/>
    <cellStyle name="常规 3 2 2 2 2 5 2 3" xfId="7590"/>
    <cellStyle name="常规 3 2 2 2 2 5 2 3 2" xfId="17010"/>
    <cellStyle name="常规 3 2 2 2 2 5 2 3 2 2" xfId="35858"/>
    <cellStyle name="常规 3 2 2 2 2 5 2 3 3" xfId="26434"/>
    <cellStyle name="常规 3 2 2 2 2 5 2 4" xfId="10738"/>
    <cellStyle name="常规 3 2 2 2 2 5 2 4 2" xfId="29586"/>
    <cellStyle name="常规 3 2 2 2 2 5 2 5" xfId="20162"/>
    <cellStyle name="常规 3 2 2 2 2 5 3" xfId="2102"/>
    <cellStyle name="常规 3 2 2 2 2 5 3 2" xfId="5238"/>
    <cellStyle name="常规 3 2 2 2 2 5 3 2 2" xfId="14658"/>
    <cellStyle name="常规 3 2 2 2 2 5 3 2 2 2" xfId="33506"/>
    <cellStyle name="常规 3 2 2 2 2 5 3 2 3" xfId="24082"/>
    <cellStyle name="常规 3 2 2 2 2 5 3 3" xfId="8374"/>
    <cellStyle name="常规 3 2 2 2 2 5 3 3 2" xfId="17794"/>
    <cellStyle name="常规 3 2 2 2 2 5 3 3 2 2" xfId="36642"/>
    <cellStyle name="常规 3 2 2 2 2 5 3 3 3" xfId="27218"/>
    <cellStyle name="常规 3 2 2 2 2 5 3 4" xfId="11522"/>
    <cellStyle name="常规 3 2 2 2 2 5 3 4 2" xfId="30370"/>
    <cellStyle name="常规 3 2 2 2 2 5 3 5" xfId="20946"/>
    <cellStyle name="常规 3 2 2 2 2 5 4" xfId="2886"/>
    <cellStyle name="常规 3 2 2 2 2 5 4 2" xfId="6022"/>
    <cellStyle name="常规 3 2 2 2 2 5 4 2 2" xfId="15442"/>
    <cellStyle name="常规 3 2 2 2 2 5 4 2 2 2" xfId="34290"/>
    <cellStyle name="常规 3 2 2 2 2 5 4 2 3" xfId="24866"/>
    <cellStyle name="常规 3 2 2 2 2 5 4 3" xfId="9158"/>
    <cellStyle name="常规 3 2 2 2 2 5 4 3 2" xfId="18578"/>
    <cellStyle name="常规 3 2 2 2 2 5 4 3 2 2" xfId="37426"/>
    <cellStyle name="常规 3 2 2 2 2 5 4 3 3" xfId="28002"/>
    <cellStyle name="常规 3 2 2 2 2 5 4 4" xfId="12306"/>
    <cellStyle name="常规 3 2 2 2 2 5 4 4 2" xfId="31154"/>
    <cellStyle name="常规 3 2 2 2 2 5 4 5" xfId="21730"/>
    <cellStyle name="常规 3 2 2 2 2 5 5" xfId="3670"/>
    <cellStyle name="常规 3 2 2 2 2 5 5 2" xfId="13090"/>
    <cellStyle name="常规 3 2 2 2 2 5 5 2 2" xfId="31938"/>
    <cellStyle name="常规 3 2 2 2 2 5 5 3" xfId="22514"/>
    <cellStyle name="常规 3 2 2 2 2 5 6" xfId="6806"/>
    <cellStyle name="常规 3 2 2 2 2 5 6 2" xfId="16226"/>
    <cellStyle name="常规 3 2 2 2 2 5 6 2 2" xfId="35074"/>
    <cellStyle name="常规 3 2 2 2 2 5 6 3" xfId="25650"/>
    <cellStyle name="常规 3 2 2 2 2 5 7" xfId="9954"/>
    <cellStyle name="常规 3 2 2 2 2 5 7 2" xfId="28802"/>
    <cellStyle name="常规 3 2 2 2 2 5 8" xfId="19378"/>
    <cellStyle name="常规 3 2 2 2 2 6" xfId="924"/>
    <cellStyle name="常规 3 2 2 2 2 6 2" xfId="4060"/>
    <cellStyle name="常规 3 2 2 2 2 6 2 2" xfId="13480"/>
    <cellStyle name="常规 3 2 2 2 2 6 2 2 2" xfId="32328"/>
    <cellStyle name="常规 3 2 2 2 2 6 2 3" xfId="22904"/>
    <cellStyle name="常规 3 2 2 2 2 6 3" xfId="7196"/>
    <cellStyle name="常规 3 2 2 2 2 6 3 2" xfId="16616"/>
    <cellStyle name="常规 3 2 2 2 2 6 3 2 2" xfId="35464"/>
    <cellStyle name="常规 3 2 2 2 2 6 3 3" xfId="26040"/>
    <cellStyle name="常规 3 2 2 2 2 6 4" xfId="10344"/>
    <cellStyle name="常规 3 2 2 2 2 6 4 2" xfId="29192"/>
    <cellStyle name="常规 3 2 2 2 2 6 5" xfId="19768"/>
    <cellStyle name="常规 3 2 2 2 2 7" xfId="1708"/>
    <cellStyle name="常规 3 2 2 2 2 7 2" xfId="4844"/>
    <cellStyle name="常规 3 2 2 2 2 7 2 2" xfId="14264"/>
    <cellStyle name="常规 3 2 2 2 2 7 2 2 2" xfId="33112"/>
    <cellStyle name="常规 3 2 2 2 2 7 2 3" xfId="23688"/>
    <cellStyle name="常规 3 2 2 2 2 7 3" xfId="7980"/>
    <cellStyle name="常规 3 2 2 2 2 7 3 2" xfId="17400"/>
    <cellStyle name="常规 3 2 2 2 2 7 3 2 2" xfId="36248"/>
    <cellStyle name="常规 3 2 2 2 2 7 3 3" xfId="26824"/>
    <cellStyle name="常规 3 2 2 2 2 7 4" xfId="11128"/>
    <cellStyle name="常规 3 2 2 2 2 7 4 2" xfId="29976"/>
    <cellStyle name="常规 3 2 2 2 2 7 5" xfId="20552"/>
    <cellStyle name="常规 3 2 2 2 2 8" xfId="2492"/>
    <cellStyle name="常规 3 2 2 2 2 8 2" xfId="5628"/>
    <cellStyle name="常规 3 2 2 2 2 8 2 2" xfId="15048"/>
    <cellStyle name="常规 3 2 2 2 2 8 2 2 2" xfId="33896"/>
    <cellStyle name="常规 3 2 2 2 2 8 2 3" xfId="24472"/>
    <cellStyle name="常规 3 2 2 2 2 8 3" xfId="8764"/>
    <cellStyle name="常规 3 2 2 2 2 8 3 2" xfId="18184"/>
    <cellStyle name="常规 3 2 2 2 2 8 3 2 2" xfId="37032"/>
    <cellStyle name="常规 3 2 2 2 2 8 3 3" xfId="27608"/>
    <cellStyle name="常规 3 2 2 2 2 8 4" xfId="11912"/>
    <cellStyle name="常规 3 2 2 2 2 8 4 2" xfId="30760"/>
    <cellStyle name="常规 3 2 2 2 2 8 5" xfId="21336"/>
    <cellStyle name="常规 3 2 2 2 2 9" xfId="3164"/>
    <cellStyle name="常规 3 2 2 2 2 9 2" xfId="12584"/>
    <cellStyle name="常规 3 2 2 2 2 9 2 2" xfId="31432"/>
    <cellStyle name="常规 3 2 2 2 2 9 3" xfId="22008"/>
    <cellStyle name="常规 3 2 2 2 3" xfId="144"/>
    <cellStyle name="常规 3 2 2 2 3 10" xfId="9567"/>
    <cellStyle name="常规 3 2 2 2 3 10 2" xfId="28412"/>
    <cellStyle name="常规 3 2 2 2 3 11" xfId="18990"/>
    <cellStyle name="常规 3 2 2 2 3 2" xfId="145"/>
    <cellStyle name="常规 3 2 2 2 3 2 10" xfId="18991"/>
    <cellStyle name="常规 3 2 2 2 3 2 2" xfId="146"/>
    <cellStyle name="常规 3 2 2 2 3 2 2 2" xfId="544"/>
    <cellStyle name="常规 3 2 2 2 3 2 2 2 2" xfId="1328"/>
    <cellStyle name="常规 3 2 2 2 3 2 2 2 2 2" xfId="4464"/>
    <cellStyle name="常规 3 2 2 2 3 2 2 2 2 2 2" xfId="13884"/>
    <cellStyle name="常规 3 2 2 2 3 2 2 2 2 2 2 2" xfId="32732"/>
    <cellStyle name="常规 3 2 2 2 3 2 2 2 2 2 3" xfId="23308"/>
    <cellStyle name="常规 3 2 2 2 3 2 2 2 2 3" xfId="7600"/>
    <cellStyle name="常规 3 2 2 2 3 2 2 2 2 3 2" xfId="17020"/>
    <cellStyle name="常规 3 2 2 2 3 2 2 2 2 3 2 2" xfId="35868"/>
    <cellStyle name="常规 3 2 2 2 3 2 2 2 2 3 3" xfId="26444"/>
    <cellStyle name="常规 3 2 2 2 3 2 2 2 2 4" xfId="10748"/>
    <cellStyle name="常规 3 2 2 2 3 2 2 2 2 4 2" xfId="29596"/>
    <cellStyle name="常规 3 2 2 2 3 2 2 2 2 5" xfId="20172"/>
    <cellStyle name="常规 3 2 2 2 3 2 2 2 3" xfId="2112"/>
    <cellStyle name="常规 3 2 2 2 3 2 2 2 3 2" xfId="5248"/>
    <cellStyle name="常规 3 2 2 2 3 2 2 2 3 2 2" xfId="14668"/>
    <cellStyle name="常规 3 2 2 2 3 2 2 2 3 2 2 2" xfId="33516"/>
    <cellStyle name="常规 3 2 2 2 3 2 2 2 3 2 3" xfId="24092"/>
    <cellStyle name="常规 3 2 2 2 3 2 2 2 3 3" xfId="8384"/>
    <cellStyle name="常规 3 2 2 2 3 2 2 2 3 3 2" xfId="17804"/>
    <cellStyle name="常规 3 2 2 2 3 2 2 2 3 3 2 2" xfId="36652"/>
    <cellStyle name="常规 3 2 2 2 3 2 2 2 3 3 3" xfId="27228"/>
    <cellStyle name="常规 3 2 2 2 3 2 2 2 3 4" xfId="11532"/>
    <cellStyle name="常规 3 2 2 2 3 2 2 2 3 4 2" xfId="30380"/>
    <cellStyle name="常规 3 2 2 2 3 2 2 2 3 5" xfId="20956"/>
    <cellStyle name="常规 3 2 2 2 3 2 2 2 4" xfId="2896"/>
    <cellStyle name="常规 3 2 2 2 3 2 2 2 4 2" xfId="6032"/>
    <cellStyle name="常规 3 2 2 2 3 2 2 2 4 2 2" xfId="15452"/>
    <cellStyle name="常规 3 2 2 2 3 2 2 2 4 2 2 2" xfId="34300"/>
    <cellStyle name="常规 3 2 2 2 3 2 2 2 4 2 3" xfId="24876"/>
    <cellStyle name="常规 3 2 2 2 3 2 2 2 4 3" xfId="9168"/>
    <cellStyle name="常规 3 2 2 2 3 2 2 2 4 3 2" xfId="18588"/>
    <cellStyle name="常规 3 2 2 2 3 2 2 2 4 3 2 2" xfId="37436"/>
    <cellStyle name="常规 3 2 2 2 3 2 2 2 4 3 3" xfId="28012"/>
    <cellStyle name="常规 3 2 2 2 3 2 2 2 4 4" xfId="12316"/>
    <cellStyle name="常规 3 2 2 2 3 2 2 2 4 4 2" xfId="31164"/>
    <cellStyle name="常规 3 2 2 2 3 2 2 2 4 5" xfId="21740"/>
    <cellStyle name="常规 3 2 2 2 3 2 2 2 5" xfId="3680"/>
    <cellStyle name="常规 3 2 2 2 3 2 2 2 5 2" xfId="13100"/>
    <cellStyle name="常规 3 2 2 2 3 2 2 2 5 2 2" xfId="31948"/>
    <cellStyle name="常规 3 2 2 2 3 2 2 2 5 3" xfId="22524"/>
    <cellStyle name="常规 3 2 2 2 3 2 2 2 6" xfId="6816"/>
    <cellStyle name="常规 3 2 2 2 3 2 2 2 6 2" xfId="16236"/>
    <cellStyle name="常规 3 2 2 2 3 2 2 2 6 2 2" xfId="35084"/>
    <cellStyle name="常规 3 2 2 2 3 2 2 2 6 3" xfId="25660"/>
    <cellStyle name="常规 3 2 2 2 3 2 2 2 7" xfId="9964"/>
    <cellStyle name="常规 3 2 2 2 3 2 2 2 7 2" xfId="28812"/>
    <cellStyle name="常规 3 2 2 2 3 2 2 2 8" xfId="19388"/>
    <cellStyle name="常规 3 2 2 2 3 2 2 3" xfId="934"/>
    <cellStyle name="常规 3 2 2 2 3 2 2 3 2" xfId="4070"/>
    <cellStyle name="常规 3 2 2 2 3 2 2 3 2 2" xfId="13490"/>
    <cellStyle name="常规 3 2 2 2 3 2 2 3 2 2 2" xfId="32338"/>
    <cellStyle name="常规 3 2 2 2 3 2 2 3 2 3" xfId="22914"/>
    <cellStyle name="常规 3 2 2 2 3 2 2 3 3" xfId="7206"/>
    <cellStyle name="常规 3 2 2 2 3 2 2 3 3 2" xfId="16626"/>
    <cellStyle name="常规 3 2 2 2 3 2 2 3 3 2 2" xfId="35474"/>
    <cellStyle name="常规 3 2 2 2 3 2 2 3 3 3" xfId="26050"/>
    <cellStyle name="常规 3 2 2 2 3 2 2 3 4" xfId="10354"/>
    <cellStyle name="常规 3 2 2 2 3 2 2 3 4 2" xfId="29202"/>
    <cellStyle name="常规 3 2 2 2 3 2 2 3 5" xfId="19778"/>
    <cellStyle name="常规 3 2 2 2 3 2 2 4" xfId="1718"/>
    <cellStyle name="常规 3 2 2 2 3 2 2 4 2" xfId="4854"/>
    <cellStyle name="常规 3 2 2 2 3 2 2 4 2 2" xfId="14274"/>
    <cellStyle name="常规 3 2 2 2 3 2 2 4 2 2 2" xfId="33122"/>
    <cellStyle name="常规 3 2 2 2 3 2 2 4 2 3" xfId="23698"/>
    <cellStyle name="常规 3 2 2 2 3 2 2 4 3" xfId="7990"/>
    <cellStyle name="常规 3 2 2 2 3 2 2 4 3 2" xfId="17410"/>
    <cellStyle name="常规 3 2 2 2 3 2 2 4 3 2 2" xfId="36258"/>
    <cellStyle name="常规 3 2 2 2 3 2 2 4 3 3" xfId="26834"/>
    <cellStyle name="常规 3 2 2 2 3 2 2 4 4" xfId="11138"/>
    <cellStyle name="常规 3 2 2 2 3 2 2 4 4 2" xfId="29986"/>
    <cellStyle name="常规 3 2 2 2 3 2 2 4 5" xfId="20562"/>
    <cellStyle name="常规 3 2 2 2 3 2 2 5" xfId="2502"/>
    <cellStyle name="常规 3 2 2 2 3 2 2 5 2" xfId="5638"/>
    <cellStyle name="常规 3 2 2 2 3 2 2 5 2 2" xfId="15058"/>
    <cellStyle name="常规 3 2 2 2 3 2 2 5 2 2 2" xfId="33906"/>
    <cellStyle name="常规 3 2 2 2 3 2 2 5 2 3" xfId="24482"/>
    <cellStyle name="常规 3 2 2 2 3 2 2 5 3" xfId="8774"/>
    <cellStyle name="常规 3 2 2 2 3 2 2 5 3 2" xfId="18194"/>
    <cellStyle name="常规 3 2 2 2 3 2 2 5 3 2 2" xfId="37042"/>
    <cellStyle name="常规 3 2 2 2 3 2 2 5 3 3" xfId="27618"/>
    <cellStyle name="常规 3 2 2 2 3 2 2 5 4" xfId="11922"/>
    <cellStyle name="常规 3 2 2 2 3 2 2 5 4 2" xfId="30770"/>
    <cellStyle name="常规 3 2 2 2 3 2 2 5 5" xfId="21346"/>
    <cellStyle name="常规 3 2 2 2 3 2 2 6" xfId="3344"/>
    <cellStyle name="常规 3 2 2 2 3 2 2 6 2" xfId="12764"/>
    <cellStyle name="常规 3 2 2 2 3 2 2 6 2 2" xfId="31612"/>
    <cellStyle name="常规 3 2 2 2 3 2 2 6 3" xfId="22188"/>
    <cellStyle name="常规 3 2 2 2 3 2 2 7" xfId="6422"/>
    <cellStyle name="常规 3 2 2 2 3 2 2 7 2" xfId="15842"/>
    <cellStyle name="常规 3 2 2 2 3 2 2 7 2 2" xfId="34690"/>
    <cellStyle name="常规 3 2 2 2 3 2 2 7 3" xfId="25266"/>
    <cellStyle name="常规 3 2 2 2 3 2 2 8" xfId="9569"/>
    <cellStyle name="常规 3 2 2 2 3 2 2 8 2" xfId="28414"/>
    <cellStyle name="常规 3 2 2 2 3 2 2 9" xfId="18992"/>
    <cellStyle name="常规 3 2 2 2 3 2 3" xfId="543"/>
    <cellStyle name="常规 3 2 2 2 3 2 3 2" xfId="1327"/>
    <cellStyle name="常规 3 2 2 2 3 2 3 2 2" xfId="4463"/>
    <cellStyle name="常规 3 2 2 2 3 2 3 2 2 2" xfId="13883"/>
    <cellStyle name="常规 3 2 2 2 3 2 3 2 2 2 2" xfId="32731"/>
    <cellStyle name="常规 3 2 2 2 3 2 3 2 2 3" xfId="23307"/>
    <cellStyle name="常规 3 2 2 2 3 2 3 2 3" xfId="7599"/>
    <cellStyle name="常规 3 2 2 2 3 2 3 2 3 2" xfId="17019"/>
    <cellStyle name="常规 3 2 2 2 3 2 3 2 3 2 2" xfId="35867"/>
    <cellStyle name="常规 3 2 2 2 3 2 3 2 3 3" xfId="26443"/>
    <cellStyle name="常规 3 2 2 2 3 2 3 2 4" xfId="10747"/>
    <cellStyle name="常规 3 2 2 2 3 2 3 2 4 2" xfId="29595"/>
    <cellStyle name="常规 3 2 2 2 3 2 3 2 5" xfId="20171"/>
    <cellStyle name="常规 3 2 2 2 3 2 3 3" xfId="2111"/>
    <cellStyle name="常规 3 2 2 2 3 2 3 3 2" xfId="5247"/>
    <cellStyle name="常规 3 2 2 2 3 2 3 3 2 2" xfId="14667"/>
    <cellStyle name="常规 3 2 2 2 3 2 3 3 2 2 2" xfId="33515"/>
    <cellStyle name="常规 3 2 2 2 3 2 3 3 2 3" xfId="24091"/>
    <cellStyle name="常规 3 2 2 2 3 2 3 3 3" xfId="8383"/>
    <cellStyle name="常规 3 2 2 2 3 2 3 3 3 2" xfId="17803"/>
    <cellStyle name="常规 3 2 2 2 3 2 3 3 3 2 2" xfId="36651"/>
    <cellStyle name="常规 3 2 2 2 3 2 3 3 3 3" xfId="27227"/>
    <cellStyle name="常规 3 2 2 2 3 2 3 3 4" xfId="11531"/>
    <cellStyle name="常规 3 2 2 2 3 2 3 3 4 2" xfId="30379"/>
    <cellStyle name="常规 3 2 2 2 3 2 3 3 5" xfId="20955"/>
    <cellStyle name="常规 3 2 2 2 3 2 3 4" xfId="2895"/>
    <cellStyle name="常规 3 2 2 2 3 2 3 4 2" xfId="6031"/>
    <cellStyle name="常规 3 2 2 2 3 2 3 4 2 2" xfId="15451"/>
    <cellStyle name="常规 3 2 2 2 3 2 3 4 2 2 2" xfId="34299"/>
    <cellStyle name="常规 3 2 2 2 3 2 3 4 2 3" xfId="24875"/>
    <cellStyle name="常规 3 2 2 2 3 2 3 4 3" xfId="9167"/>
    <cellStyle name="常规 3 2 2 2 3 2 3 4 3 2" xfId="18587"/>
    <cellStyle name="常规 3 2 2 2 3 2 3 4 3 2 2" xfId="37435"/>
    <cellStyle name="常规 3 2 2 2 3 2 3 4 3 3" xfId="28011"/>
    <cellStyle name="常规 3 2 2 2 3 2 3 4 4" xfId="12315"/>
    <cellStyle name="常规 3 2 2 2 3 2 3 4 4 2" xfId="31163"/>
    <cellStyle name="常规 3 2 2 2 3 2 3 4 5" xfId="21739"/>
    <cellStyle name="常规 3 2 2 2 3 2 3 5" xfId="3679"/>
    <cellStyle name="常规 3 2 2 2 3 2 3 5 2" xfId="13099"/>
    <cellStyle name="常规 3 2 2 2 3 2 3 5 2 2" xfId="31947"/>
    <cellStyle name="常规 3 2 2 2 3 2 3 5 3" xfId="22523"/>
    <cellStyle name="常规 3 2 2 2 3 2 3 6" xfId="6815"/>
    <cellStyle name="常规 3 2 2 2 3 2 3 6 2" xfId="16235"/>
    <cellStyle name="常规 3 2 2 2 3 2 3 6 2 2" xfId="35083"/>
    <cellStyle name="常规 3 2 2 2 3 2 3 6 3" xfId="25659"/>
    <cellStyle name="常规 3 2 2 2 3 2 3 7" xfId="9963"/>
    <cellStyle name="常规 3 2 2 2 3 2 3 7 2" xfId="28811"/>
    <cellStyle name="常规 3 2 2 2 3 2 3 8" xfId="19387"/>
    <cellStyle name="常规 3 2 2 2 3 2 4" xfId="933"/>
    <cellStyle name="常规 3 2 2 2 3 2 4 2" xfId="4069"/>
    <cellStyle name="常规 3 2 2 2 3 2 4 2 2" xfId="13489"/>
    <cellStyle name="常规 3 2 2 2 3 2 4 2 2 2" xfId="32337"/>
    <cellStyle name="常规 3 2 2 2 3 2 4 2 3" xfId="22913"/>
    <cellStyle name="常规 3 2 2 2 3 2 4 3" xfId="7205"/>
    <cellStyle name="常规 3 2 2 2 3 2 4 3 2" xfId="16625"/>
    <cellStyle name="常规 3 2 2 2 3 2 4 3 2 2" xfId="35473"/>
    <cellStyle name="常规 3 2 2 2 3 2 4 3 3" xfId="26049"/>
    <cellStyle name="常规 3 2 2 2 3 2 4 4" xfId="10353"/>
    <cellStyle name="常规 3 2 2 2 3 2 4 4 2" xfId="29201"/>
    <cellStyle name="常规 3 2 2 2 3 2 4 5" xfId="19777"/>
    <cellStyle name="常规 3 2 2 2 3 2 5" xfId="1717"/>
    <cellStyle name="常规 3 2 2 2 3 2 5 2" xfId="4853"/>
    <cellStyle name="常规 3 2 2 2 3 2 5 2 2" xfId="14273"/>
    <cellStyle name="常规 3 2 2 2 3 2 5 2 2 2" xfId="33121"/>
    <cellStyle name="常规 3 2 2 2 3 2 5 2 3" xfId="23697"/>
    <cellStyle name="常规 3 2 2 2 3 2 5 3" xfId="7989"/>
    <cellStyle name="常规 3 2 2 2 3 2 5 3 2" xfId="17409"/>
    <cellStyle name="常规 3 2 2 2 3 2 5 3 2 2" xfId="36257"/>
    <cellStyle name="常规 3 2 2 2 3 2 5 3 3" xfId="26833"/>
    <cellStyle name="常规 3 2 2 2 3 2 5 4" xfId="11137"/>
    <cellStyle name="常规 3 2 2 2 3 2 5 4 2" xfId="29985"/>
    <cellStyle name="常规 3 2 2 2 3 2 5 5" xfId="20561"/>
    <cellStyle name="常规 3 2 2 2 3 2 6" xfId="2501"/>
    <cellStyle name="常规 3 2 2 2 3 2 6 2" xfId="5637"/>
    <cellStyle name="常规 3 2 2 2 3 2 6 2 2" xfId="15057"/>
    <cellStyle name="常规 3 2 2 2 3 2 6 2 2 2" xfId="33905"/>
    <cellStyle name="常规 3 2 2 2 3 2 6 2 3" xfId="24481"/>
    <cellStyle name="常规 3 2 2 2 3 2 6 3" xfId="8773"/>
    <cellStyle name="常规 3 2 2 2 3 2 6 3 2" xfId="18193"/>
    <cellStyle name="常规 3 2 2 2 3 2 6 3 2 2" xfId="37041"/>
    <cellStyle name="常规 3 2 2 2 3 2 6 3 3" xfId="27617"/>
    <cellStyle name="常规 3 2 2 2 3 2 6 4" xfId="11921"/>
    <cellStyle name="常规 3 2 2 2 3 2 6 4 2" xfId="30769"/>
    <cellStyle name="常规 3 2 2 2 3 2 6 5" xfId="21345"/>
    <cellStyle name="常规 3 2 2 2 3 2 7" xfId="3343"/>
    <cellStyle name="常规 3 2 2 2 3 2 7 2" xfId="12763"/>
    <cellStyle name="常规 3 2 2 2 3 2 7 2 2" xfId="31611"/>
    <cellStyle name="常规 3 2 2 2 3 2 7 3" xfId="22187"/>
    <cellStyle name="常规 3 2 2 2 3 2 8" xfId="6421"/>
    <cellStyle name="常规 3 2 2 2 3 2 8 2" xfId="15841"/>
    <cellStyle name="常规 3 2 2 2 3 2 8 2 2" xfId="34689"/>
    <cellStyle name="常规 3 2 2 2 3 2 8 3" xfId="25265"/>
    <cellStyle name="常规 3 2 2 2 3 2 9" xfId="9568"/>
    <cellStyle name="常规 3 2 2 2 3 2 9 2" xfId="28413"/>
    <cellStyle name="常规 3 2 2 2 3 3" xfId="147"/>
    <cellStyle name="常规 3 2 2 2 3 3 2" xfId="545"/>
    <cellStyle name="常规 3 2 2 2 3 3 2 2" xfId="1329"/>
    <cellStyle name="常规 3 2 2 2 3 3 2 2 2" xfId="4465"/>
    <cellStyle name="常规 3 2 2 2 3 3 2 2 2 2" xfId="13885"/>
    <cellStyle name="常规 3 2 2 2 3 3 2 2 2 2 2" xfId="32733"/>
    <cellStyle name="常规 3 2 2 2 3 3 2 2 2 3" xfId="23309"/>
    <cellStyle name="常规 3 2 2 2 3 3 2 2 3" xfId="7601"/>
    <cellStyle name="常规 3 2 2 2 3 3 2 2 3 2" xfId="17021"/>
    <cellStyle name="常规 3 2 2 2 3 3 2 2 3 2 2" xfId="35869"/>
    <cellStyle name="常规 3 2 2 2 3 3 2 2 3 3" xfId="26445"/>
    <cellStyle name="常规 3 2 2 2 3 3 2 2 4" xfId="10749"/>
    <cellStyle name="常规 3 2 2 2 3 3 2 2 4 2" xfId="29597"/>
    <cellStyle name="常规 3 2 2 2 3 3 2 2 5" xfId="20173"/>
    <cellStyle name="常规 3 2 2 2 3 3 2 3" xfId="2113"/>
    <cellStyle name="常规 3 2 2 2 3 3 2 3 2" xfId="5249"/>
    <cellStyle name="常规 3 2 2 2 3 3 2 3 2 2" xfId="14669"/>
    <cellStyle name="常规 3 2 2 2 3 3 2 3 2 2 2" xfId="33517"/>
    <cellStyle name="常规 3 2 2 2 3 3 2 3 2 3" xfId="24093"/>
    <cellStyle name="常规 3 2 2 2 3 3 2 3 3" xfId="8385"/>
    <cellStyle name="常规 3 2 2 2 3 3 2 3 3 2" xfId="17805"/>
    <cellStyle name="常规 3 2 2 2 3 3 2 3 3 2 2" xfId="36653"/>
    <cellStyle name="常规 3 2 2 2 3 3 2 3 3 3" xfId="27229"/>
    <cellStyle name="常规 3 2 2 2 3 3 2 3 4" xfId="11533"/>
    <cellStyle name="常规 3 2 2 2 3 3 2 3 4 2" xfId="30381"/>
    <cellStyle name="常规 3 2 2 2 3 3 2 3 5" xfId="20957"/>
    <cellStyle name="常规 3 2 2 2 3 3 2 4" xfId="2897"/>
    <cellStyle name="常规 3 2 2 2 3 3 2 4 2" xfId="6033"/>
    <cellStyle name="常规 3 2 2 2 3 3 2 4 2 2" xfId="15453"/>
    <cellStyle name="常规 3 2 2 2 3 3 2 4 2 2 2" xfId="34301"/>
    <cellStyle name="常规 3 2 2 2 3 3 2 4 2 3" xfId="24877"/>
    <cellStyle name="常规 3 2 2 2 3 3 2 4 3" xfId="9169"/>
    <cellStyle name="常规 3 2 2 2 3 3 2 4 3 2" xfId="18589"/>
    <cellStyle name="常规 3 2 2 2 3 3 2 4 3 2 2" xfId="37437"/>
    <cellStyle name="常规 3 2 2 2 3 3 2 4 3 3" xfId="28013"/>
    <cellStyle name="常规 3 2 2 2 3 3 2 4 4" xfId="12317"/>
    <cellStyle name="常规 3 2 2 2 3 3 2 4 4 2" xfId="31165"/>
    <cellStyle name="常规 3 2 2 2 3 3 2 4 5" xfId="21741"/>
    <cellStyle name="常规 3 2 2 2 3 3 2 5" xfId="3681"/>
    <cellStyle name="常规 3 2 2 2 3 3 2 5 2" xfId="13101"/>
    <cellStyle name="常规 3 2 2 2 3 3 2 5 2 2" xfId="31949"/>
    <cellStyle name="常规 3 2 2 2 3 3 2 5 3" xfId="22525"/>
    <cellStyle name="常规 3 2 2 2 3 3 2 6" xfId="6817"/>
    <cellStyle name="常规 3 2 2 2 3 3 2 6 2" xfId="16237"/>
    <cellStyle name="常规 3 2 2 2 3 3 2 6 2 2" xfId="35085"/>
    <cellStyle name="常规 3 2 2 2 3 3 2 6 3" xfId="25661"/>
    <cellStyle name="常规 3 2 2 2 3 3 2 7" xfId="9965"/>
    <cellStyle name="常规 3 2 2 2 3 3 2 7 2" xfId="28813"/>
    <cellStyle name="常规 3 2 2 2 3 3 2 8" xfId="19389"/>
    <cellStyle name="常规 3 2 2 2 3 3 3" xfId="935"/>
    <cellStyle name="常规 3 2 2 2 3 3 3 2" xfId="4071"/>
    <cellStyle name="常规 3 2 2 2 3 3 3 2 2" xfId="13491"/>
    <cellStyle name="常规 3 2 2 2 3 3 3 2 2 2" xfId="32339"/>
    <cellStyle name="常规 3 2 2 2 3 3 3 2 3" xfId="22915"/>
    <cellStyle name="常规 3 2 2 2 3 3 3 3" xfId="7207"/>
    <cellStyle name="常规 3 2 2 2 3 3 3 3 2" xfId="16627"/>
    <cellStyle name="常规 3 2 2 2 3 3 3 3 2 2" xfId="35475"/>
    <cellStyle name="常规 3 2 2 2 3 3 3 3 3" xfId="26051"/>
    <cellStyle name="常规 3 2 2 2 3 3 3 4" xfId="10355"/>
    <cellStyle name="常规 3 2 2 2 3 3 3 4 2" xfId="29203"/>
    <cellStyle name="常规 3 2 2 2 3 3 3 5" xfId="19779"/>
    <cellStyle name="常规 3 2 2 2 3 3 4" xfId="1719"/>
    <cellStyle name="常规 3 2 2 2 3 3 4 2" xfId="4855"/>
    <cellStyle name="常规 3 2 2 2 3 3 4 2 2" xfId="14275"/>
    <cellStyle name="常规 3 2 2 2 3 3 4 2 2 2" xfId="33123"/>
    <cellStyle name="常规 3 2 2 2 3 3 4 2 3" xfId="23699"/>
    <cellStyle name="常规 3 2 2 2 3 3 4 3" xfId="7991"/>
    <cellStyle name="常规 3 2 2 2 3 3 4 3 2" xfId="17411"/>
    <cellStyle name="常规 3 2 2 2 3 3 4 3 2 2" xfId="36259"/>
    <cellStyle name="常规 3 2 2 2 3 3 4 3 3" xfId="26835"/>
    <cellStyle name="常规 3 2 2 2 3 3 4 4" xfId="11139"/>
    <cellStyle name="常规 3 2 2 2 3 3 4 4 2" xfId="29987"/>
    <cellStyle name="常规 3 2 2 2 3 3 4 5" xfId="20563"/>
    <cellStyle name="常规 3 2 2 2 3 3 5" xfId="2503"/>
    <cellStyle name="常规 3 2 2 2 3 3 5 2" xfId="5639"/>
    <cellStyle name="常规 3 2 2 2 3 3 5 2 2" xfId="15059"/>
    <cellStyle name="常规 3 2 2 2 3 3 5 2 2 2" xfId="33907"/>
    <cellStyle name="常规 3 2 2 2 3 3 5 2 3" xfId="24483"/>
    <cellStyle name="常规 3 2 2 2 3 3 5 3" xfId="8775"/>
    <cellStyle name="常规 3 2 2 2 3 3 5 3 2" xfId="18195"/>
    <cellStyle name="常规 3 2 2 2 3 3 5 3 2 2" xfId="37043"/>
    <cellStyle name="常规 3 2 2 2 3 3 5 3 3" xfId="27619"/>
    <cellStyle name="常规 3 2 2 2 3 3 5 4" xfId="11923"/>
    <cellStyle name="常规 3 2 2 2 3 3 5 4 2" xfId="30771"/>
    <cellStyle name="常规 3 2 2 2 3 3 5 5" xfId="21347"/>
    <cellStyle name="常规 3 2 2 2 3 3 6" xfId="3345"/>
    <cellStyle name="常规 3 2 2 2 3 3 6 2" xfId="12765"/>
    <cellStyle name="常规 3 2 2 2 3 3 6 2 2" xfId="31613"/>
    <cellStyle name="常规 3 2 2 2 3 3 6 3" xfId="22189"/>
    <cellStyle name="常规 3 2 2 2 3 3 7" xfId="6423"/>
    <cellStyle name="常规 3 2 2 2 3 3 7 2" xfId="15843"/>
    <cellStyle name="常规 3 2 2 2 3 3 7 2 2" xfId="34691"/>
    <cellStyle name="常规 3 2 2 2 3 3 7 3" xfId="25267"/>
    <cellStyle name="常规 3 2 2 2 3 3 8" xfId="9570"/>
    <cellStyle name="常规 3 2 2 2 3 3 8 2" xfId="28415"/>
    <cellStyle name="常规 3 2 2 2 3 3 9" xfId="18993"/>
    <cellStyle name="常规 3 2 2 2 3 4" xfId="542"/>
    <cellStyle name="常规 3 2 2 2 3 4 2" xfId="1326"/>
    <cellStyle name="常规 3 2 2 2 3 4 2 2" xfId="4462"/>
    <cellStyle name="常规 3 2 2 2 3 4 2 2 2" xfId="13882"/>
    <cellStyle name="常规 3 2 2 2 3 4 2 2 2 2" xfId="32730"/>
    <cellStyle name="常规 3 2 2 2 3 4 2 2 3" xfId="23306"/>
    <cellStyle name="常规 3 2 2 2 3 4 2 3" xfId="7598"/>
    <cellStyle name="常规 3 2 2 2 3 4 2 3 2" xfId="17018"/>
    <cellStyle name="常规 3 2 2 2 3 4 2 3 2 2" xfId="35866"/>
    <cellStyle name="常规 3 2 2 2 3 4 2 3 3" xfId="26442"/>
    <cellStyle name="常规 3 2 2 2 3 4 2 4" xfId="10746"/>
    <cellStyle name="常规 3 2 2 2 3 4 2 4 2" xfId="29594"/>
    <cellStyle name="常规 3 2 2 2 3 4 2 5" xfId="20170"/>
    <cellStyle name="常规 3 2 2 2 3 4 3" xfId="2110"/>
    <cellStyle name="常规 3 2 2 2 3 4 3 2" xfId="5246"/>
    <cellStyle name="常规 3 2 2 2 3 4 3 2 2" xfId="14666"/>
    <cellStyle name="常规 3 2 2 2 3 4 3 2 2 2" xfId="33514"/>
    <cellStyle name="常规 3 2 2 2 3 4 3 2 3" xfId="24090"/>
    <cellStyle name="常规 3 2 2 2 3 4 3 3" xfId="8382"/>
    <cellStyle name="常规 3 2 2 2 3 4 3 3 2" xfId="17802"/>
    <cellStyle name="常规 3 2 2 2 3 4 3 3 2 2" xfId="36650"/>
    <cellStyle name="常规 3 2 2 2 3 4 3 3 3" xfId="27226"/>
    <cellStyle name="常规 3 2 2 2 3 4 3 4" xfId="11530"/>
    <cellStyle name="常规 3 2 2 2 3 4 3 4 2" xfId="30378"/>
    <cellStyle name="常规 3 2 2 2 3 4 3 5" xfId="20954"/>
    <cellStyle name="常规 3 2 2 2 3 4 4" xfId="2894"/>
    <cellStyle name="常规 3 2 2 2 3 4 4 2" xfId="6030"/>
    <cellStyle name="常规 3 2 2 2 3 4 4 2 2" xfId="15450"/>
    <cellStyle name="常规 3 2 2 2 3 4 4 2 2 2" xfId="34298"/>
    <cellStyle name="常规 3 2 2 2 3 4 4 2 3" xfId="24874"/>
    <cellStyle name="常规 3 2 2 2 3 4 4 3" xfId="9166"/>
    <cellStyle name="常规 3 2 2 2 3 4 4 3 2" xfId="18586"/>
    <cellStyle name="常规 3 2 2 2 3 4 4 3 2 2" xfId="37434"/>
    <cellStyle name="常规 3 2 2 2 3 4 4 3 3" xfId="28010"/>
    <cellStyle name="常规 3 2 2 2 3 4 4 4" xfId="12314"/>
    <cellStyle name="常规 3 2 2 2 3 4 4 4 2" xfId="31162"/>
    <cellStyle name="常规 3 2 2 2 3 4 4 5" xfId="21738"/>
    <cellStyle name="常规 3 2 2 2 3 4 5" xfId="3678"/>
    <cellStyle name="常规 3 2 2 2 3 4 5 2" xfId="13098"/>
    <cellStyle name="常规 3 2 2 2 3 4 5 2 2" xfId="31946"/>
    <cellStyle name="常规 3 2 2 2 3 4 5 3" xfId="22522"/>
    <cellStyle name="常规 3 2 2 2 3 4 6" xfId="6814"/>
    <cellStyle name="常规 3 2 2 2 3 4 6 2" xfId="16234"/>
    <cellStyle name="常规 3 2 2 2 3 4 6 2 2" xfId="35082"/>
    <cellStyle name="常规 3 2 2 2 3 4 6 3" xfId="25658"/>
    <cellStyle name="常规 3 2 2 2 3 4 7" xfId="9962"/>
    <cellStyle name="常规 3 2 2 2 3 4 7 2" xfId="28810"/>
    <cellStyle name="常规 3 2 2 2 3 4 8" xfId="19386"/>
    <cellStyle name="常规 3 2 2 2 3 5" xfId="932"/>
    <cellStyle name="常规 3 2 2 2 3 5 2" xfId="4068"/>
    <cellStyle name="常规 3 2 2 2 3 5 2 2" xfId="13488"/>
    <cellStyle name="常规 3 2 2 2 3 5 2 2 2" xfId="32336"/>
    <cellStyle name="常规 3 2 2 2 3 5 2 3" xfId="22912"/>
    <cellStyle name="常规 3 2 2 2 3 5 3" xfId="7204"/>
    <cellStyle name="常规 3 2 2 2 3 5 3 2" xfId="16624"/>
    <cellStyle name="常规 3 2 2 2 3 5 3 2 2" xfId="35472"/>
    <cellStyle name="常规 3 2 2 2 3 5 3 3" xfId="26048"/>
    <cellStyle name="常规 3 2 2 2 3 5 4" xfId="10352"/>
    <cellStyle name="常规 3 2 2 2 3 5 4 2" xfId="29200"/>
    <cellStyle name="常规 3 2 2 2 3 5 5" xfId="19776"/>
    <cellStyle name="常规 3 2 2 2 3 6" xfId="1716"/>
    <cellStyle name="常规 3 2 2 2 3 6 2" xfId="4852"/>
    <cellStyle name="常规 3 2 2 2 3 6 2 2" xfId="14272"/>
    <cellStyle name="常规 3 2 2 2 3 6 2 2 2" xfId="33120"/>
    <cellStyle name="常规 3 2 2 2 3 6 2 3" xfId="23696"/>
    <cellStyle name="常规 3 2 2 2 3 6 3" xfId="7988"/>
    <cellStyle name="常规 3 2 2 2 3 6 3 2" xfId="17408"/>
    <cellStyle name="常规 3 2 2 2 3 6 3 2 2" xfId="36256"/>
    <cellStyle name="常规 3 2 2 2 3 6 3 3" xfId="26832"/>
    <cellStyle name="常规 3 2 2 2 3 6 4" xfId="11136"/>
    <cellStyle name="常规 3 2 2 2 3 6 4 2" xfId="29984"/>
    <cellStyle name="常规 3 2 2 2 3 6 5" xfId="20560"/>
    <cellStyle name="常规 3 2 2 2 3 7" xfId="2500"/>
    <cellStyle name="常规 3 2 2 2 3 7 2" xfId="5636"/>
    <cellStyle name="常规 3 2 2 2 3 7 2 2" xfId="15056"/>
    <cellStyle name="常规 3 2 2 2 3 7 2 2 2" xfId="33904"/>
    <cellStyle name="常规 3 2 2 2 3 7 2 3" xfId="24480"/>
    <cellStyle name="常规 3 2 2 2 3 7 3" xfId="8772"/>
    <cellStyle name="常规 3 2 2 2 3 7 3 2" xfId="18192"/>
    <cellStyle name="常规 3 2 2 2 3 7 3 2 2" xfId="37040"/>
    <cellStyle name="常规 3 2 2 2 3 7 3 3" xfId="27616"/>
    <cellStyle name="常规 3 2 2 2 3 7 4" xfId="11920"/>
    <cellStyle name="常规 3 2 2 2 3 7 4 2" xfId="30768"/>
    <cellStyle name="常规 3 2 2 2 3 7 5" xfId="21344"/>
    <cellStyle name="常规 3 2 2 2 3 8" xfId="3211"/>
    <cellStyle name="常规 3 2 2 2 3 8 2" xfId="12631"/>
    <cellStyle name="常规 3 2 2 2 3 8 2 2" xfId="31479"/>
    <cellStyle name="常规 3 2 2 2 3 8 3" xfId="22055"/>
    <cellStyle name="常规 3 2 2 2 3 9" xfId="6420"/>
    <cellStyle name="常规 3 2 2 2 3 9 2" xfId="15840"/>
    <cellStyle name="常规 3 2 2 2 3 9 2 2" xfId="34688"/>
    <cellStyle name="常规 3 2 2 2 3 9 3" xfId="25264"/>
    <cellStyle name="常规 3 2 2 2 4" xfId="148"/>
    <cellStyle name="常规 3 2 2 2 4 10" xfId="18994"/>
    <cellStyle name="常规 3 2 2 2 4 2" xfId="149"/>
    <cellStyle name="常规 3 2 2 2 4 2 2" xfId="547"/>
    <cellStyle name="常规 3 2 2 2 4 2 2 2" xfId="1331"/>
    <cellStyle name="常规 3 2 2 2 4 2 2 2 2" xfId="4467"/>
    <cellStyle name="常规 3 2 2 2 4 2 2 2 2 2" xfId="13887"/>
    <cellStyle name="常规 3 2 2 2 4 2 2 2 2 2 2" xfId="32735"/>
    <cellStyle name="常规 3 2 2 2 4 2 2 2 2 3" xfId="23311"/>
    <cellStyle name="常规 3 2 2 2 4 2 2 2 3" xfId="7603"/>
    <cellStyle name="常规 3 2 2 2 4 2 2 2 3 2" xfId="17023"/>
    <cellStyle name="常规 3 2 2 2 4 2 2 2 3 2 2" xfId="35871"/>
    <cellStyle name="常规 3 2 2 2 4 2 2 2 3 3" xfId="26447"/>
    <cellStyle name="常规 3 2 2 2 4 2 2 2 4" xfId="10751"/>
    <cellStyle name="常规 3 2 2 2 4 2 2 2 4 2" xfId="29599"/>
    <cellStyle name="常规 3 2 2 2 4 2 2 2 5" xfId="20175"/>
    <cellStyle name="常规 3 2 2 2 4 2 2 3" xfId="2115"/>
    <cellStyle name="常规 3 2 2 2 4 2 2 3 2" xfId="5251"/>
    <cellStyle name="常规 3 2 2 2 4 2 2 3 2 2" xfId="14671"/>
    <cellStyle name="常规 3 2 2 2 4 2 2 3 2 2 2" xfId="33519"/>
    <cellStyle name="常规 3 2 2 2 4 2 2 3 2 3" xfId="24095"/>
    <cellStyle name="常规 3 2 2 2 4 2 2 3 3" xfId="8387"/>
    <cellStyle name="常规 3 2 2 2 4 2 2 3 3 2" xfId="17807"/>
    <cellStyle name="常规 3 2 2 2 4 2 2 3 3 2 2" xfId="36655"/>
    <cellStyle name="常规 3 2 2 2 4 2 2 3 3 3" xfId="27231"/>
    <cellStyle name="常规 3 2 2 2 4 2 2 3 4" xfId="11535"/>
    <cellStyle name="常规 3 2 2 2 4 2 2 3 4 2" xfId="30383"/>
    <cellStyle name="常规 3 2 2 2 4 2 2 3 5" xfId="20959"/>
    <cellStyle name="常规 3 2 2 2 4 2 2 4" xfId="2899"/>
    <cellStyle name="常规 3 2 2 2 4 2 2 4 2" xfId="6035"/>
    <cellStyle name="常规 3 2 2 2 4 2 2 4 2 2" xfId="15455"/>
    <cellStyle name="常规 3 2 2 2 4 2 2 4 2 2 2" xfId="34303"/>
    <cellStyle name="常规 3 2 2 2 4 2 2 4 2 3" xfId="24879"/>
    <cellStyle name="常规 3 2 2 2 4 2 2 4 3" xfId="9171"/>
    <cellStyle name="常规 3 2 2 2 4 2 2 4 3 2" xfId="18591"/>
    <cellStyle name="常规 3 2 2 2 4 2 2 4 3 2 2" xfId="37439"/>
    <cellStyle name="常规 3 2 2 2 4 2 2 4 3 3" xfId="28015"/>
    <cellStyle name="常规 3 2 2 2 4 2 2 4 4" xfId="12319"/>
    <cellStyle name="常规 3 2 2 2 4 2 2 4 4 2" xfId="31167"/>
    <cellStyle name="常规 3 2 2 2 4 2 2 4 5" xfId="21743"/>
    <cellStyle name="常规 3 2 2 2 4 2 2 5" xfId="3683"/>
    <cellStyle name="常规 3 2 2 2 4 2 2 5 2" xfId="13103"/>
    <cellStyle name="常规 3 2 2 2 4 2 2 5 2 2" xfId="31951"/>
    <cellStyle name="常规 3 2 2 2 4 2 2 5 3" xfId="22527"/>
    <cellStyle name="常规 3 2 2 2 4 2 2 6" xfId="6819"/>
    <cellStyle name="常规 3 2 2 2 4 2 2 6 2" xfId="16239"/>
    <cellStyle name="常规 3 2 2 2 4 2 2 6 2 2" xfId="35087"/>
    <cellStyle name="常规 3 2 2 2 4 2 2 6 3" xfId="25663"/>
    <cellStyle name="常规 3 2 2 2 4 2 2 7" xfId="9967"/>
    <cellStyle name="常规 3 2 2 2 4 2 2 7 2" xfId="28815"/>
    <cellStyle name="常规 3 2 2 2 4 2 2 8" xfId="19391"/>
    <cellStyle name="常规 3 2 2 2 4 2 3" xfId="937"/>
    <cellStyle name="常规 3 2 2 2 4 2 3 2" xfId="4073"/>
    <cellStyle name="常规 3 2 2 2 4 2 3 2 2" xfId="13493"/>
    <cellStyle name="常规 3 2 2 2 4 2 3 2 2 2" xfId="32341"/>
    <cellStyle name="常规 3 2 2 2 4 2 3 2 3" xfId="22917"/>
    <cellStyle name="常规 3 2 2 2 4 2 3 3" xfId="7209"/>
    <cellStyle name="常规 3 2 2 2 4 2 3 3 2" xfId="16629"/>
    <cellStyle name="常规 3 2 2 2 4 2 3 3 2 2" xfId="35477"/>
    <cellStyle name="常规 3 2 2 2 4 2 3 3 3" xfId="26053"/>
    <cellStyle name="常规 3 2 2 2 4 2 3 4" xfId="10357"/>
    <cellStyle name="常规 3 2 2 2 4 2 3 4 2" xfId="29205"/>
    <cellStyle name="常规 3 2 2 2 4 2 3 5" xfId="19781"/>
    <cellStyle name="常规 3 2 2 2 4 2 4" xfId="1721"/>
    <cellStyle name="常规 3 2 2 2 4 2 4 2" xfId="4857"/>
    <cellStyle name="常规 3 2 2 2 4 2 4 2 2" xfId="14277"/>
    <cellStyle name="常规 3 2 2 2 4 2 4 2 2 2" xfId="33125"/>
    <cellStyle name="常规 3 2 2 2 4 2 4 2 3" xfId="23701"/>
    <cellStyle name="常规 3 2 2 2 4 2 4 3" xfId="7993"/>
    <cellStyle name="常规 3 2 2 2 4 2 4 3 2" xfId="17413"/>
    <cellStyle name="常规 3 2 2 2 4 2 4 3 2 2" xfId="36261"/>
    <cellStyle name="常规 3 2 2 2 4 2 4 3 3" xfId="26837"/>
    <cellStyle name="常规 3 2 2 2 4 2 4 4" xfId="11141"/>
    <cellStyle name="常规 3 2 2 2 4 2 4 4 2" xfId="29989"/>
    <cellStyle name="常规 3 2 2 2 4 2 4 5" xfId="20565"/>
    <cellStyle name="常规 3 2 2 2 4 2 5" xfId="2505"/>
    <cellStyle name="常规 3 2 2 2 4 2 5 2" xfId="5641"/>
    <cellStyle name="常规 3 2 2 2 4 2 5 2 2" xfId="15061"/>
    <cellStyle name="常规 3 2 2 2 4 2 5 2 2 2" xfId="33909"/>
    <cellStyle name="常规 3 2 2 2 4 2 5 2 3" xfId="24485"/>
    <cellStyle name="常规 3 2 2 2 4 2 5 3" xfId="8777"/>
    <cellStyle name="常规 3 2 2 2 4 2 5 3 2" xfId="18197"/>
    <cellStyle name="常规 3 2 2 2 4 2 5 3 2 2" xfId="37045"/>
    <cellStyle name="常规 3 2 2 2 4 2 5 3 3" xfId="27621"/>
    <cellStyle name="常规 3 2 2 2 4 2 5 4" xfId="11925"/>
    <cellStyle name="常规 3 2 2 2 4 2 5 4 2" xfId="30773"/>
    <cellStyle name="常规 3 2 2 2 4 2 5 5" xfId="21349"/>
    <cellStyle name="常规 3 2 2 2 4 2 6" xfId="3347"/>
    <cellStyle name="常规 3 2 2 2 4 2 6 2" xfId="12767"/>
    <cellStyle name="常规 3 2 2 2 4 2 6 2 2" xfId="31615"/>
    <cellStyle name="常规 3 2 2 2 4 2 6 3" xfId="22191"/>
    <cellStyle name="常规 3 2 2 2 4 2 7" xfId="6425"/>
    <cellStyle name="常规 3 2 2 2 4 2 7 2" xfId="15845"/>
    <cellStyle name="常规 3 2 2 2 4 2 7 2 2" xfId="34693"/>
    <cellStyle name="常规 3 2 2 2 4 2 7 3" xfId="25269"/>
    <cellStyle name="常规 3 2 2 2 4 2 8" xfId="9572"/>
    <cellStyle name="常规 3 2 2 2 4 2 8 2" xfId="28417"/>
    <cellStyle name="常规 3 2 2 2 4 2 9" xfId="18995"/>
    <cellStyle name="常规 3 2 2 2 4 3" xfId="546"/>
    <cellStyle name="常规 3 2 2 2 4 3 2" xfId="1330"/>
    <cellStyle name="常规 3 2 2 2 4 3 2 2" xfId="4466"/>
    <cellStyle name="常规 3 2 2 2 4 3 2 2 2" xfId="13886"/>
    <cellStyle name="常规 3 2 2 2 4 3 2 2 2 2" xfId="32734"/>
    <cellStyle name="常规 3 2 2 2 4 3 2 2 3" xfId="23310"/>
    <cellStyle name="常规 3 2 2 2 4 3 2 3" xfId="7602"/>
    <cellStyle name="常规 3 2 2 2 4 3 2 3 2" xfId="17022"/>
    <cellStyle name="常规 3 2 2 2 4 3 2 3 2 2" xfId="35870"/>
    <cellStyle name="常规 3 2 2 2 4 3 2 3 3" xfId="26446"/>
    <cellStyle name="常规 3 2 2 2 4 3 2 4" xfId="10750"/>
    <cellStyle name="常规 3 2 2 2 4 3 2 4 2" xfId="29598"/>
    <cellStyle name="常规 3 2 2 2 4 3 2 5" xfId="20174"/>
    <cellStyle name="常规 3 2 2 2 4 3 3" xfId="2114"/>
    <cellStyle name="常规 3 2 2 2 4 3 3 2" xfId="5250"/>
    <cellStyle name="常规 3 2 2 2 4 3 3 2 2" xfId="14670"/>
    <cellStyle name="常规 3 2 2 2 4 3 3 2 2 2" xfId="33518"/>
    <cellStyle name="常规 3 2 2 2 4 3 3 2 3" xfId="24094"/>
    <cellStyle name="常规 3 2 2 2 4 3 3 3" xfId="8386"/>
    <cellStyle name="常规 3 2 2 2 4 3 3 3 2" xfId="17806"/>
    <cellStyle name="常规 3 2 2 2 4 3 3 3 2 2" xfId="36654"/>
    <cellStyle name="常规 3 2 2 2 4 3 3 3 3" xfId="27230"/>
    <cellStyle name="常规 3 2 2 2 4 3 3 4" xfId="11534"/>
    <cellStyle name="常规 3 2 2 2 4 3 3 4 2" xfId="30382"/>
    <cellStyle name="常规 3 2 2 2 4 3 3 5" xfId="20958"/>
    <cellStyle name="常规 3 2 2 2 4 3 4" xfId="2898"/>
    <cellStyle name="常规 3 2 2 2 4 3 4 2" xfId="6034"/>
    <cellStyle name="常规 3 2 2 2 4 3 4 2 2" xfId="15454"/>
    <cellStyle name="常规 3 2 2 2 4 3 4 2 2 2" xfId="34302"/>
    <cellStyle name="常规 3 2 2 2 4 3 4 2 3" xfId="24878"/>
    <cellStyle name="常规 3 2 2 2 4 3 4 3" xfId="9170"/>
    <cellStyle name="常规 3 2 2 2 4 3 4 3 2" xfId="18590"/>
    <cellStyle name="常规 3 2 2 2 4 3 4 3 2 2" xfId="37438"/>
    <cellStyle name="常规 3 2 2 2 4 3 4 3 3" xfId="28014"/>
    <cellStyle name="常规 3 2 2 2 4 3 4 4" xfId="12318"/>
    <cellStyle name="常规 3 2 2 2 4 3 4 4 2" xfId="31166"/>
    <cellStyle name="常规 3 2 2 2 4 3 4 5" xfId="21742"/>
    <cellStyle name="常规 3 2 2 2 4 3 5" xfId="3682"/>
    <cellStyle name="常规 3 2 2 2 4 3 5 2" xfId="13102"/>
    <cellStyle name="常规 3 2 2 2 4 3 5 2 2" xfId="31950"/>
    <cellStyle name="常规 3 2 2 2 4 3 5 3" xfId="22526"/>
    <cellStyle name="常规 3 2 2 2 4 3 6" xfId="6818"/>
    <cellStyle name="常规 3 2 2 2 4 3 6 2" xfId="16238"/>
    <cellStyle name="常规 3 2 2 2 4 3 6 2 2" xfId="35086"/>
    <cellStyle name="常规 3 2 2 2 4 3 6 3" xfId="25662"/>
    <cellStyle name="常规 3 2 2 2 4 3 7" xfId="9966"/>
    <cellStyle name="常规 3 2 2 2 4 3 7 2" xfId="28814"/>
    <cellStyle name="常规 3 2 2 2 4 3 8" xfId="19390"/>
    <cellStyle name="常规 3 2 2 2 4 4" xfId="936"/>
    <cellStyle name="常规 3 2 2 2 4 4 2" xfId="4072"/>
    <cellStyle name="常规 3 2 2 2 4 4 2 2" xfId="13492"/>
    <cellStyle name="常规 3 2 2 2 4 4 2 2 2" xfId="32340"/>
    <cellStyle name="常规 3 2 2 2 4 4 2 3" xfId="22916"/>
    <cellStyle name="常规 3 2 2 2 4 4 3" xfId="7208"/>
    <cellStyle name="常规 3 2 2 2 4 4 3 2" xfId="16628"/>
    <cellStyle name="常规 3 2 2 2 4 4 3 2 2" xfId="35476"/>
    <cellStyle name="常规 3 2 2 2 4 4 3 3" xfId="26052"/>
    <cellStyle name="常规 3 2 2 2 4 4 4" xfId="10356"/>
    <cellStyle name="常规 3 2 2 2 4 4 4 2" xfId="29204"/>
    <cellStyle name="常规 3 2 2 2 4 4 5" xfId="19780"/>
    <cellStyle name="常规 3 2 2 2 4 5" xfId="1720"/>
    <cellStyle name="常规 3 2 2 2 4 5 2" xfId="4856"/>
    <cellStyle name="常规 3 2 2 2 4 5 2 2" xfId="14276"/>
    <cellStyle name="常规 3 2 2 2 4 5 2 2 2" xfId="33124"/>
    <cellStyle name="常规 3 2 2 2 4 5 2 3" xfId="23700"/>
    <cellStyle name="常规 3 2 2 2 4 5 3" xfId="7992"/>
    <cellStyle name="常规 3 2 2 2 4 5 3 2" xfId="17412"/>
    <cellStyle name="常规 3 2 2 2 4 5 3 2 2" xfId="36260"/>
    <cellStyle name="常规 3 2 2 2 4 5 3 3" xfId="26836"/>
    <cellStyle name="常规 3 2 2 2 4 5 4" xfId="11140"/>
    <cellStyle name="常规 3 2 2 2 4 5 4 2" xfId="29988"/>
    <cellStyle name="常规 3 2 2 2 4 5 5" xfId="20564"/>
    <cellStyle name="常规 3 2 2 2 4 6" xfId="2504"/>
    <cellStyle name="常规 3 2 2 2 4 6 2" xfId="5640"/>
    <cellStyle name="常规 3 2 2 2 4 6 2 2" xfId="15060"/>
    <cellStyle name="常规 3 2 2 2 4 6 2 2 2" xfId="33908"/>
    <cellStyle name="常规 3 2 2 2 4 6 2 3" xfId="24484"/>
    <cellStyle name="常规 3 2 2 2 4 6 3" xfId="8776"/>
    <cellStyle name="常规 3 2 2 2 4 6 3 2" xfId="18196"/>
    <cellStyle name="常规 3 2 2 2 4 6 3 2 2" xfId="37044"/>
    <cellStyle name="常规 3 2 2 2 4 6 3 3" xfId="27620"/>
    <cellStyle name="常规 3 2 2 2 4 6 4" xfId="11924"/>
    <cellStyle name="常规 3 2 2 2 4 6 4 2" xfId="30772"/>
    <cellStyle name="常规 3 2 2 2 4 6 5" xfId="21348"/>
    <cellStyle name="常规 3 2 2 2 4 7" xfId="3346"/>
    <cellStyle name="常规 3 2 2 2 4 7 2" xfId="12766"/>
    <cellStyle name="常规 3 2 2 2 4 7 2 2" xfId="31614"/>
    <cellStyle name="常规 3 2 2 2 4 7 3" xfId="22190"/>
    <cellStyle name="常规 3 2 2 2 4 8" xfId="6424"/>
    <cellStyle name="常规 3 2 2 2 4 8 2" xfId="15844"/>
    <cellStyle name="常规 3 2 2 2 4 8 2 2" xfId="34692"/>
    <cellStyle name="常规 3 2 2 2 4 8 3" xfId="25268"/>
    <cellStyle name="常规 3 2 2 2 4 9" xfId="9571"/>
    <cellStyle name="常规 3 2 2 2 4 9 2" xfId="28416"/>
    <cellStyle name="常规 3 2 2 2 5" xfId="150"/>
    <cellStyle name="常规 3 2 2 2 5 2" xfId="548"/>
    <cellStyle name="常规 3 2 2 2 5 2 2" xfId="1332"/>
    <cellStyle name="常规 3 2 2 2 5 2 2 2" xfId="4468"/>
    <cellStyle name="常规 3 2 2 2 5 2 2 2 2" xfId="13888"/>
    <cellStyle name="常规 3 2 2 2 5 2 2 2 2 2" xfId="32736"/>
    <cellStyle name="常规 3 2 2 2 5 2 2 2 3" xfId="23312"/>
    <cellStyle name="常规 3 2 2 2 5 2 2 3" xfId="7604"/>
    <cellStyle name="常规 3 2 2 2 5 2 2 3 2" xfId="17024"/>
    <cellStyle name="常规 3 2 2 2 5 2 2 3 2 2" xfId="35872"/>
    <cellStyle name="常规 3 2 2 2 5 2 2 3 3" xfId="26448"/>
    <cellStyle name="常规 3 2 2 2 5 2 2 4" xfId="10752"/>
    <cellStyle name="常规 3 2 2 2 5 2 2 4 2" xfId="29600"/>
    <cellStyle name="常规 3 2 2 2 5 2 2 5" xfId="20176"/>
    <cellStyle name="常规 3 2 2 2 5 2 3" xfId="2116"/>
    <cellStyle name="常规 3 2 2 2 5 2 3 2" xfId="5252"/>
    <cellStyle name="常规 3 2 2 2 5 2 3 2 2" xfId="14672"/>
    <cellStyle name="常规 3 2 2 2 5 2 3 2 2 2" xfId="33520"/>
    <cellStyle name="常规 3 2 2 2 5 2 3 2 3" xfId="24096"/>
    <cellStyle name="常规 3 2 2 2 5 2 3 3" xfId="8388"/>
    <cellStyle name="常规 3 2 2 2 5 2 3 3 2" xfId="17808"/>
    <cellStyle name="常规 3 2 2 2 5 2 3 3 2 2" xfId="36656"/>
    <cellStyle name="常规 3 2 2 2 5 2 3 3 3" xfId="27232"/>
    <cellStyle name="常规 3 2 2 2 5 2 3 4" xfId="11536"/>
    <cellStyle name="常规 3 2 2 2 5 2 3 4 2" xfId="30384"/>
    <cellStyle name="常规 3 2 2 2 5 2 3 5" xfId="20960"/>
    <cellStyle name="常规 3 2 2 2 5 2 4" xfId="2900"/>
    <cellStyle name="常规 3 2 2 2 5 2 4 2" xfId="6036"/>
    <cellStyle name="常规 3 2 2 2 5 2 4 2 2" xfId="15456"/>
    <cellStyle name="常规 3 2 2 2 5 2 4 2 2 2" xfId="34304"/>
    <cellStyle name="常规 3 2 2 2 5 2 4 2 3" xfId="24880"/>
    <cellStyle name="常规 3 2 2 2 5 2 4 3" xfId="9172"/>
    <cellStyle name="常规 3 2 2 2 5 2 4 3 2" xfId="18592"/>
    <cellStyle name="常规 3 2 2 2 5 2 4 3 2 2" xfId="37440"/>
    <cellStyle name="常规 3 2 2 2 5 2 4 3 3" xfId="28016"/>
    <cellStyle name="常规 3 2 2 2 5 2 4 4" xfId="12320"/>
    <cellStyle name="常规 3 2 2 2 5 2 4 4 2" xfId="31168"/>
    <cellStyle name="常规 3 2 2 2 5 2 4 5" xfId="21744"/>
    <cellStyle name="常规 3 2 2 2 5 2 5" xfId="3684"/>
    <cellStyle name="常规 3 2 2 2 5 2 5 2" xfId="13104"/>
    <cellStyle name="常规 3 2 2 2 5 2 5 2 2" xfId="31952"/>
    <cellStyle name="常规 3 2 2 2 5 2 5 3" xfId="22528"/>
    <cellStyle name="常规 3 2 2 2 5 2 6" xfId="6820"/>
    <cellStyle name="常规 3 2 2 2 5 2 6 2" xfId="16240"/>
    <cellStyle name="常规 3 2 2 2 5 2 6 2 2" xfId="35088"/>
    <cellStyle name="常规 3 2 2 2 5 2 6 3" xfId="25664"/>
    <cellStyle name="常规 3 2 2 2 5 2 7" xfId="9968"/>
    <cellStyle name="常规 3 2 2 2 5 2 7 2" xfId="28816"/>
    <cellStyle name="常规 3 2 2 2 5 2 8" xfId="19392"/>
    <cellStyle name="常规 3 2 2 2 5 3" xfId="938"/>
    <cellStyle name="常规 3 2 2 2 5 3 2" xfId="4074"/>
    <cellStyle name="常规 3 2 2 2 5 3 2 2" xfId="13494"/>
    <cellStyle name="常规 3 2 2 2 5 3 2 2 2" xfId="32342"/>
    <cellStyle name="常规 3 2 2 2 5 3 2 3" xfId="22918"/>
    <cellStyle name="常规 3 2 2 2 5 3 3" xfId="7210"/>
    <cellStyle name="常规 3 2 2 2 5 3 3 2" xfId="16630"/>
    <cellStyle name="常规 3 2 2 2 5 3 3 2 2" xfId="35478"/>
    <cellStyle name="常规 3 2 2 2 5 3 3 3" xfId="26054"/>
    <cellStyle name="常规 3 2 2 2 5 3 4" xfId="10358"/>
    <cellStyle name="常规 3 2 2 2 5 3 4 2" xfId="29206"/>
    <cellStyle name="常规 3 2 2 2 5 3 5" xfId="19782"/>
    <cellStyle name="常规 3 2 2 2 5 4" xfId="1722"/>
    <cellStyle name="常规 3 2 2 2 5 4 2" xfId="4858"/>
    <cellStyle name="常规 3 2 2 2 5 4 2 2" xfId="14278"/>
    <cellStyle name="常规 3 2 2 2 5 4 2 2 2" xfId="33126"/>
    <cellStyle name="常规 3 2 2 2 5 4 2 3" xfId="23702"/>
    <cellStyle name="常规 3 2 2 2 5 4 3" xfId="7994"/>
    <cellStyle name="常规 3 2 2 2 5 4 3 2" xfId="17414"/>
    <cellStyle name="常规 3 2 2 2 5 4 3 2 2" xfId="36262"/>
    <cellStyle name="常规 3 2 2 2 5 4 3 3" xfId="26838"/>
    <cellStyle name="常规 3 2 2 2 5 4 4" xfId="11142"/>
    <cellStyle name="常规 3 2 2 2 5 4 4 2" xfId="29990"/>
    <cellStyle name="常规 3 2 2 2 5 4 5" xfId="20566"/>
    <cellStyle name="常规 3 2 2 2 5 5" xfId="2506"/>
    <cellStyle name="常规 3 2 2 2 5 5 2" xfId="5642"/>
    <cellStyle name="常规 3 2 2 2 5 5 2 2" xfId="15062"/>
    <cellStyle name="常规 3 2 2 2 5 5 2 2 2" xfId="33910"/>
    <cellStyle name="常规 3 2 2 2 5 5 2 3" xfId="24486"/>
    <cellStyle name="常规 3 2 2 2 5 5 3" xfId="8778"/>
    <cellStyle name="常规 3 2 2 2 5 5 3 2" xfId="18198"/>
    <cellStyle name="常规 3 2 2 2 5 5 3 2 2" xfId="37046"/>
    <cellStyle name="常规 3 2 2 2 5 5 3 3" xfId="27622"/>
    <cellStyle name="常规 3 2 2 2 5 5 4" xfId="11926"/>
    <cellStyle name="常规 3 2 2 2 5 5 4 2" xfId="30774"/>
    <cellStyle name="常规 3 2 2 2 5 5 5" xfId="21350"/>
    <cellStyle name="常规 3 2 2 2 5 6" xfId="3348"/>
    <cellStyle name="常规 3 2 2 2 5 6 2" xfId="12768"/>
    <cellStyle name="常规 3 2 2 2 5 6 2 2" xfId="31616"/>
    <cellStyle name="常规 3 2 2 2 5 6 3" xfId="22192"/>
    <cellStyle name="常规 3 2 2 2 5 7" xfId="6426"/>
    <cellStyle name="常规 3 2 2 2 5 7 2" xfId="15846"/>
    <cellStyle name="常规 3 2 2 2 5 7 2 2" xfId="34694"/>
    <cellStyle name="常规 3 2 2 2 5 7 3" xfId="25270"/>
    <cellStyle name="常规 3 2 2 2 5 8" xfId="9573"/>
    <cellStyle name="常规 3 2 2 2 5 8 2" xfId="28418"/>
    <cellStyle name="常规 3 2 2 2 5 9" xfId="18996"/>
    <cellStyle name="常规 3 2 2 2 6" xfId="533"/>
    <cellStyle name="常规 3 2 2 2 6 2" xfId="1317"/>
    <cellStyle name="常规 3 2 2 2 6 2 2" xfId="4453"/>
    <cellStyle name="常规 3 2 2 2 6 2 2 2" xfId="13873"/>
    <cellStyle name="常规 3 2 2 2 6 2 2 2 2" xfId="32721"/>
    <cellStyle name="常规 3 2 2 2 6 2 2 3" xfId="23297"/>
    <cellStyle name="常规 3 2 2 2 6 2 3" xfId="7589"/>
    <cellStyle name="常规 3 2 2 2 6 2 3 2" xfId="17009"/>
    <cellStyle name="常规 3 2 2 2 6 2 3 2 2" xfId="35857"/>
    <cellStyle name="常规 3 2 2 2 6 2 3 3" xfId="26433"/>
    <cellStyle name="常规 3 2 2 2 6 2 4" xfId="10737"/>
    <cellStyle name="常规 3 2 2 2 6 2 4 2" xfId="29585"/>
    <cellStyle name="常规 3 2 2 2 6 2 5" xfId="20161"/>
    <cellStyle name="常规 3 2 2 2 6 3" xfId="2101"/>
    <cellStyle name="常规 3 2 2 2 6 3 2" xfId="5237"/>
    <cellStyle name="常规 3 2 2 2 6 3 2 2" xfId="14657"/>
    <cellStyle name="常规 3 2 2 2 6 3 2 2 2" xfId="33505"/>
    <cellStyle name="常规 3 2 2 2 6 3 2 3" xfId="24081"/>
    <cellStyle name="常规 3 2 2 2 6 3 3" xfId="8373"/>
    <cellStyle name="常规 3 2 2 2 6 3 3 2" xfId="17793"/>
    <cellStyle name="常规 3 2 2 2 6 3 3 2 2" xfId="36641"/>
    <cellStyle name="常规 3 2 2 2 6 3 3 3" xfId="27217"/>
    <cellStyle name="常规 3 2 2 2 6 3 4" xfId="11521"/>
    <cellStyle name="常规 3 2 2 2 6 3 4 2" xfId="30369"/>
    <cellStyle name="常规 3 2 2 2 6 3 5" xfId="20945"/>
    <cellStyle name="常规 3 2 2 2 6 4" xfId="2885"/>
    <cellStyle name="常规 3 2 2 2 6 4 2" xfId="6021"/>
    <cellStyle name="常规 3 2 2 2 6 4 2 2" xfId="15441"/>
    <cellStyle name="常规 3 2 2 2 6 4 2 2 2" xfId="34289"/>
    <cellStyle name="常规 3 2 2 2 6 4 2 3" xfId="24865"/>
    <cellStyle name="常规 3 2 2 2 6 4 3" xfId="9157"/>
    <cellStyle name="常规 3 2 2 2 6 4 3 2" xfId="18577"/>
    <cellStyle name="常规 3 2 2 2 6 4 3 2 2" xfId="37425"/>
    <cellStyle name="常规 3 2 2 2 6 4 3 3" xfId="28001"/>
    <cellStyle name="常规 3 2 2 2 6 4 4" xfId="12305"/>
    <cellStyle name="常规 3 2 2 2 6 4 4 2" xfId="31153"/>
    <cellStyle name="常规 3 2 2 2 6 4 5" xfId="21729"/>
    <cellStyle name="常规 3 2 2 2 6 5" xfId="3669"/>
    <cellStyle name="常规 3 2 2 2 6 5 2" xfId="13089"/>
    <cellStyle name="常规 3 2 2 2 6 5 2 2" xfId="31937"/>
    <cellStyle name="常规 3 2 2 2 6 5 3" xfId="22513"/>
    <cellStyle name="常规 3 2 2 2 6 6" xfId="6805"/>
    <cellStyle name="常规 3 2 2 2 6 6 2" xfId="16225"/>
    <cellStyle name="常规 3 2 2 2 6 6 2 2" xfId="35073"/>
    <cellStyle name="常规 3 2 2 2 6 6 3" xfId="25649"/>
    <cellStyle name="常规 3 2 2 2 6 7" xfId="9953"/>
    <cellStyle name="常规 3 2 2 2 6 7 2" xfId="28801"/>
    <cellStyle name="常规 3 2 2 2 6 8" xfId="19377"/>
    <cellStyle name="常规 3 2 2 2 7" xfId="923"/>
    <cellStyle name="常规 3 2 2 2 7 2" xfId="4059"/>
    <cellStyle name="常规 3 2 2 2 7 2 2" xfId="13479"/>
    <cellStyle name="常规 3 2 2 2 7 2 2 2" xfId="32327"/>
    <cellStyle name="常规 3 2 2 2 7 2 3" xfId="22903"/>
    <cellStyle name="常规 3 2 2 2 7 3" xfId="7195"/>
    <cellStyle name="常规 3 2 2 2 7 3 2" xfId="16615"/>
    <cellStyle name="常规 3 2 2 2 7 3 2 2" xfId="35463"/>
    <cellStyle name="常规 3 2 2 2 7 3 3" xfId="26039"/>
    <cellStyle name="常规 3 2 2 2 7 4" xfId="10343"/>
    <cellStyle name="常规 3 2 2 2 7 4 2" xfId="29191"/>
    <cellStyle name="常规 3 2 2 2 7 5" xfId="19767"/>
    <cellStyle name="常规 3 2 2 2 8" xfId="1707"/>
    <cellStyle name="常规 3 2 2 2 8 2" xfId="4843"/>
    <cellStyle name="常规 3 2 2 2 8 2 2" xfId="14263"/>
    <cellStyle name="常规 3 2 2 2 8 2 2 2" xfId="33111"/>
    <cellStyle name="常规 3 2 2 2 8 2 3" xfId="23687"/>
    <cellStyle name="常规 3 2 2 2 8 3" xfId="7979"/>
    <cellStyle name="常规 3 2 2 2 8 3 2" xfId="17399"/>
    <cellStyle name="常规 3 2 2 2 8 3 2 2" xfId="36247"/>
    <cellStyle name="常规 3 2 2 2 8 3 3" xfId="26823"/>
    <cellStyle name="常规 3 2 2 2 8 4" xfId="11127"/>
    <cellStyle name="常规 3 2 2 2 8 4 2" xfId="29975"/>
    <cellStyle name="常规 3 2 2 2 8 5" xfId="20551"/>
    <cellStyle name="常规 3 2 2 2 9" xfId="2491"/>
    <cellStyle name="常规 3 2 2 2 9 2" xfId="5627"/>
    <cellStyle name="常规 3 2 2 2 9 2 2" xfId="15047"/>
    <cellStyle name="常规 3 2 2 2 9 2 2 2" xfId="33895"/>
    <cellStyle name="常规 3 2 2 2 9 2 3" xfId="24471"/>
    <cellStyle name="常规 3 2 2 2 9 3" xfId="8763"/>
    <cellStyle name="常规 3 2 2 2 9 3 2" xfId="18183"/>
    <cellStyle name="常规 3 2 2 2 9 3 2 2" xfId="37031"/>
    <cellStyle name="常规 3 2 2 2 9 3 3" xfId="27607"/>
    <cellStyle name="常规 3 2 2 2 9 4" xfId="11911"/>
    <cellStyle name="常规 3 2 2 2 9 4 2" xfId="30759"/>
    <cellStyle name="常规 3 2 2 2 9 5" xfId="21335"/>
    <cellStyle name="常规 3 2 2 3" xfId="151"/>
    <cellStyle name="常规 3 2 2 3 10" xfId="6427"/>
    <cellStyle name="常规 3 2 2 3 10 2" xfId="15847"/>
    <cellStyle name="常规 3 2 2 3 10 2 2" xfId="34695"/>
    <cellStyle name="常规 3 2 2 3 10 3" xfId="25271"/>
    <cellStyle name="常规 3 2 2 3 11" xfId="9574"/>
    <cellStyle name="常规 3 2 2 3 11 2" xfId="28419"/>
    <cellStyle name="常规 3 2 2 3 12" xfId="18997"/>
    <cellStyle name="常规 3 2 2 3 2" xfId="152"/>
    <cellStyle name="常规 3 2 2 3 2 10" xfId="9575"/>
    <cellStyle name="常规 3 2 2 3 2 10 2" xfId="28420"/>
    <cellStyle name="常规 3 2 2 3 2 11" xfId="18998"/>
    <cellStyle name="常规 3 2 2 3 2 2" xfId="153"/>
    <cellStyle name="常规 3 2 2 3 2 2 10" xfId="18999"/>
    <cellStyle name="常规 3 2 2 3 2 2 2" xfId="154"/>
    <cellStyle name="常规 3 2 2 3 2 2 2 2" xfId="552"/>
    <cellStyle name="常规 3 2 2 3 2 2 2 2 2" xfId="1336"/>
    <cellStyle name="常规 3 2 2 3 2 2 2 2 2 2" xfId="4472"/>
    <cellStyle name="常规 3 2 2 3 2 2 2 2 2 2 2" xfId="13892"/>
    <cellStyle name="常规 3 2 2 3 2 2 2 2 2 2 2 2" xfId="32740"/>
    <cellStyle name="常规 3 2 2 3 2 2 2 2 2 2 3" xfId="23316"/>
    <cellStyle name="常规 3 2 2 3 2 2 2 2 2 3" xfId="7608"/>
    <cellStyle name="常规 3 2 2 3 2 2 2 2 2 3 2" xfId="17028"/>
    <cellStyle name="常规 3 2 2 3 2 2 2 2 2 3 2 2" xfId="35876"/>
    <cellStyle name="常规 3 2 2 3 2 2 2 2 2 3 3" xfId="26452"/>
    <cellStyle name="常规 3 2 2 3 2 2 2 2 2 4" xfId="10756"/>
    <cellStyle name="常规 3 2 2 3 2 2 2 2 2 4 2" xfId="29604"/>
    <cellStyle name="常规 3 2 2 3 2 2 2 2 2 5" xfId="20180"/>
    <cellStyle name="常规 3 2 2 3 2 2 2 2 3" xfId="2120"/>
    <cellStyle name="常规 3 2 2 3 2 2 2 2 3 2" xfId="5256"/>
    <cellStyle name="常规 3 2 2 3 2 2 2 2 3 2 2" xfId="14676"/>
    <cellStyle name="常规 3 2 2 3 2 2 2 2 3 2 2 2" xfId="33524"/>
    <cellStyle name="常规 3 2 2 3 2 2 2 2 3 2 3" xfId="24100"/>
    <cellStyle name="常规 3 2 2 3 2 2 2 2 3 3" xfId="8392"/>
    <cellStyle name="常规 3 2 2 3 2 2 2 2 3 3 2" xfId="17812"/>
    <cellStyle name="常规 3 2 2 3 2 2 2 2 3 3 2 2" xfId="36660"/>
    <cellStyle name="常规 3 2 2 3 2 2 2 2 3 3 3" xfId="27236"/>
    <cellStyle name="常规 3 2 2 3 2 2 2 2 3 4" xfId="11540"/>
    <cellStyle name="常规 3 2 2 3 2 2 2 2 3 4 2" xfId="30388"/>
    <cellStyle name="常规 3 2 2 3 2 2 2 2 3 5" xfId="20964"/>
    <cellStyle name="常规 3 2 2 3 2 2 2 2 4" xfId="2904"/>
    <cellStyle name="常规 3 2 2 3 2 2 2 2 4 2" xfId="6040"/>
    <cellStyle name="常规 3 2 2 3 2 2 2 2 4 2 2" xfId="15460"/>
    <cellStyle name="常规 3 2 2 3 2 2 2 2 4 2 2 2" xfId="34308"/>
    <cellStyle name="常规 3 2 2 3 2 2 2 2 4 2 3" xfId="24884"/>
    <cellStyle name="常规 3 2 2 3 2 2 2 2 4 3" xfId="9176"/>
    <cellStyle name="常规 3 2 2 3 2 2 2 2 4 3 2" xfId="18596"/>
    <cellStyle name="常规 3 2 2 3 2 2 2 2 4 3 2 2" xfId="37444"/>
    <cellStyle name="常规 3 2 2 3 2 2 2 2 4 3 3" xfId="28020"/>
    <cellStyle name="常规 3 2 2 3 2 2 2 2 4 4" xfId="12324"/>
    <cellStyle name="常规 3 2 2 3 2 2 2 2 4 4 2" xfId="31172"/>
    <cellStyle name="常规 3 2 2 3 2 2 2 2 4 5" xfId="21748"/>
    <cellStyle name="常规 3 2 2 3 2 2 2 2 5" xfId="3688"/>
    <cellStyle name="常规 3 2 2 3 2 2 2 2 5 2" xfId="13108"/>
    <cellStyle name="常规 3 2 2 3 2 2 2 2 5 2 2" xfId="31956"/>
    <cellStyle name="常规 3 2 2 3 2 2 2 2 5 3" xfId="22532"/>
    <cellStyle name="常规 3 2 2 3 2 2 2 2 6" xfId="6824"/>
    <cellStyle name="常规 3 2 2 3 2 2 2 2 6 2" xfId="16244"/>
    <cellStyle name="常规 3 2 2 3 2 2 2 2 6 2 2" xfId="35092"/>
    <cellStyle name="常规 3 2 2 3 2 2 2 2 6 3" xfId="25668"/>
    <cellStyle name="常规 3 2 2 3 2 2 2 2 7" xfId="9972"/>
    <cellStyle name="常规 3 2 2 3 2 2 2 2 7 2" xfId="28820"/>
    <cellStyle name="常规 3 2 2 3 2 2 2 2 8" xfId="19396"/>
    <cellStyle name="常规 3 2 2 3 2 2 2 3" xfId="942"/>
    <cellStyle name="常规 3 2 2 3 2 2 2 3 2" xfId="4078"/>
    <cellStyle name="常规 3 2 2 3 2 2 2 3 2 2" xfId="13498"/>
    <cellStyle name="常规 3 2 2 3 2 2 2 3 2 2 2" xfId="32346"/>
    <cellStyle name="常规 3 2 2 3 2 2 2 3 2 3" xfId="22922"/>
    <cellStyle name="常规 3 2 2 3 2 2 2 3 3" xfId="7214"/>
    <cellStyle name="常规 3 2 2 3 2 2 2 3 3 2" xfId="16634"/>
    <cellStyle name="常规 3 2 2 3 2 2 2 3 3 2 2" xfId="35482"/>
    <cellStyle name="常规 3 2 2 3 2 2 2 3 3 3" xfId="26058"/>
    <cellStyle name="常规 3 2 2 3 2 2 2 3 4" xfId="10362"/>
    <cellStyle name="常规 3 2 2 3 2 2 2 3 4 2" xfId="29210"/>
    <cellStyle name="常规 3 2 2 3 2 2 2 3 5" xfId="19786"/>
    <cellStyle name="常规 3 2 2 3 2 2 2 4" xfId="1726"/>
    <cellStyle name="常规 3 2 2 3 2 2 2 4 2" xfId="4862"/>
    <cellStyle name="常规 3 2 2 3 2 2 2 4 2 2" xfId="14282"/>
    <cellStyle name="常规 3 2 2 3 2 2 2 4 2 2 2" xfId="33130"/>
    <cellStyle name="常规 3 2 2 3 2 2 2 4 2 3" xfId="23706"/>
    <cellStyle name="常规 3 2 2 3 2 2 2 4 3" xfId="7998"/>
    <cellStyle name="常规 3 2 2 3 2 2 2 4 3 2" xfId="17418"/>
    <cellStyle name="常规 3 2 2 3 2 2 2 4 3 2 2" xfId="36266"/>
    <cellStyle name="常规 3 2 2 3 2 2 2 4 3 3" xfId="26842"/>
    <cellStyle name="常规 3 2 2 3 2 2 2 4 4" xfId="11146"/>
    <cellStyle name="常规 3 2 2 3 2 2 2 4 4 2" xfId="29994"/>
    <cellStyle name="常规 3 2 2 3 2 2 2 4 5" xfId="20570"/>
    <cellStyle name="常规 3 2 2 3 2 2 2 5" xfId="2510"/>
    <cellStyle name="常规 3 2 2 3 2 2 2 5 2" xfId="5646"/>
    <cellStyle name="常规 3 2 2 3 2 2 2 5 2 2" xfId="15066"/>
    <cellStyle name="常规 3 2 2 3 2 2 2 5 2 2 2" xfId="33914"/>
    <cellStyle name="常规 3 2 2 3 2 2 2 5 2 3" xfId="24490"/>
    <cellStyle name="常规 3 2 2 3 2 2 2 5 3" xfId="8782"/>
    <cellStyle name="常规 3 2 2 3 2 2 2 5 3 2" xfId="18202"/>
    <cellStyle name="常规 3 2 2 3 2 2 2 5 3 2 2" xfId="37050"/>
    <cellStyle name="常规 3 2 2 3 2 2 2 5 3 3" xfId="27626"/>
    <cellStyle name="常规 3 2 2 3 2 2 2 5 4" xfId="11930"/>
    <cellStyle name="常规 3 2 2 3 2 2 2 5 4 2" xfId="30778"/>
    <cellStyle name="常规 3 2 2 3 2 2 2 5 5" xfId="21354"/>
    <cellStyle name="常规 3 2 2 3 2 2 2 6" xfId="3350"/>
    <cellStyle name="常规 3 2 2 3 2 2 2 6 2" xfId="12770"/>
    <cellStyle name="常规 3 2 2 3 2 2 2 6 2 2" xfId="31618"/>
    <cellStyle name="常规 3 2 2 3 2 2 2 6 3" xfId="22194"/>
    <cellStyle name="常规 3 2 2 3 2 2 2 7" xfId="6430"/>
    <cellStyle name="常规 3 2 2 3 2 2 2 7 2" xfId="15850"/>
    <cellStyle name="常规 3 2 2 3 2 2 2 7 2 2" xfId="34698"/>
    <cellStyle name="常规 3 2 2 3 2 2 2 7 3" xfId="25274"/>
    <cellStyle name="常规 3 2 2 3 2 2 2 8" xfId="9577"/>
    <cellStyle name="常规 3 2 2 3 2 2 2 8 2" xfId="28422"/>
    <cellStyle name="常规 3 2 2 3 2 2 2 9" xfId="19000"/>
    <cellStyle name="常规 3 2 2 3 2 2 3" xfId="551"/>
    <cellStyle name="常规 3 2 2 3 2 2 3 2" xfId="1335"/>
    <cellStyle name="常规 3 2 2 3 2 2 3 2 2" xfId="4471"/>
    <cellStyle name="常规 3 2 2 3 2 2 3 2 2 2" xfId="13891"/>
    <cellStyle name="常规 3 2 2 3 2 2 3 2 2 2 2" xfId="32739"/>
    <cellStyle name="常规 3 2 2 3 2 2 3 2 2 3" xfId="23315"/>
    <cellStyle name="常规 3 2 2 3 2 2 3 2 3" xfId="7607"/>
    <cellStyle name="常规 3 2 2 3 2 2 3 2 3 2" xfId="17027"/>
    <cellStyle name="常规 3 2 2 3 2 2 3 2 3 2 2" xfId="35875"/>
    <cellStyle name="常规 3 2 2 3 2 2 3 2 3 3" xfId="26451"/>
    <cellStyle name="常规 3 2 2 3 2 2 3 2 4" xfId="10755"/>
    <cellStyle name="常规 3 2 2 3 2 2 3 2 4 2" xfId="29603"/>
    <cellStyle name="常规 3 2 2 3 2 2 3 2 5" xfId="20179"/>
    <cellStyle name="常规 3 2 2 3 2 2 3 3" xfId="2119"/>
    <cellStyle name="常规 3 2 2 3 2 2 3 3 2" xfId="5255"/>
    <cellStyle name="常规 3 2 2 3 2 2 3 3 2 2" xfId="14675"/>
    <cellStyle name="常规 3 2 2 3 2 2 3 3 2 2 2" xfId="33523"/>
    <cellStyle name="常规 3 2 2 3 2 2 3 3 2 3" xfId="24099"/>
    <cellStyle name="常规 3 2 2 3 2 2 3 3 3" xfId="8391"/>
    <cellStyle name="常规 3 2 2 3 2 2 3 3 3 2" xfId="17811"/>
    <cellStyle name="常规 3 2 2 3 2 2 3 3 3 2 2" xfId="36659"/>
    <cellStyle name="常规 3 2 2 3 2 2 3 3 3 3" xfId="27235"/>
    <cellStyle name="常规 3 2 2 3 2 2 3 3 4" xfId="11539"/>
    <cellStyle name="常规 3 2 2 3 2 2 3 3 4 2" xfId="30387"/>
    <cellStyle name="常规 3 2 2 3 2 2 3 3 5" xfId="20963"/>
    <cellStyle name="常规 3 2 2 3 2 2 3 4" xfId="2903"/>
    <cellStyle name="常规 3 2 2 3 2 2 3 4 2" xfId="6039"/>
    <cellStyle name="常规 3 2 2 3 2 2 3 4 2 2" xfId="15459"/>
    <cellStyle name="常规 3 2 2 3 2 2 3 4 2 2 2" xfId="34307"/>
    <cellStyle name="常规 3 2 2 3 2 2 3 4 2 3" xfId="24883"/>
    <cellStyle name="常规 3 2 2 3 2 2 3 4 3" xfId="9175"/>
    <cellStyle name="常规 3 2 2 3 2 2 3 4 3 2" xfId="18595"/>
    <cellStyle name="常规 3 2 2 3 2 2 3 4 3 2 2" xfId="37443"/>
    <cellStyle name="常规 3 2 2 3 2 2 3 4 3 3" xfId="28019"/>
    <cellStyle name="常规 3 2 2 3 2 2 3 4 4" xfId="12323"/>
    <cellStyle name="常规 3 2 2 3 2 2 3 4 4 2" xfId="31171"/>
    <cellStyle name="常规 3 2 2 3 2 2 3 4 5" xfId="21747"/>
    <cellStyle name="常规 3 2 2 3 2 2 3 5" xfId="3687"/>
    <cellStyle name="常规 3 2 2 3 2 2 3 5 2" xfId="13107"/>
    <cellStyle name="常规 3 2 2 3 2 2 3 5 2 2" xfId="31955"/>
    <cellStyle name="常规 3 2 2 3 2 2 3 5 3" xfId="22531"/>
    <cellStyle name="常规 3 2 2 3 2 2 3 6" xfId="6823"/>
    <cellStyle name="常规 3 2 2 3 2 2 3 6 2" xfId="16243"/>
    <cellStyle name="常规 3 2 2 3 2 2 3 6 2 2" xfId="35091"/>
    <cellStyle name="常规 3 2 2 3 2 2 3 6 3" xfId="25667"/>
    <cellStyle name="常规 3 2 2 3 2 2 3 7" xfId="9971"/>
    <cellStyle name="常规 3 2 2 3 2 2 3 7 2" xfId="28819"/>
    <cellStyle name="常规 3 2 2 3 2 2 3 8" xfId="19395"/>
    <cellStyle name="常规 3 2 2 3 2 2 4" xfId="941"/>
    <cellStyle name="常规 3 2 2 3 2 2 4 2" xfId="4077"/>
    <cellStyle name="常规 3 2 2 3 2 2 4 2 2" xfId="13497"/>
    <cellStyle name="常规 3 2 2 3 2 2 4 2 2 2" xfId="32345"/>
    <cellStyle name="常规 3 2 2 3 2 2 4 2 3" xfId="22921"/>
    <cellStyle name="常规 3 2 2 3 2 2 4 3" xfId="7213"/>
    <cellStyle name="常规 3 2 2 3 2 2 4 3 2" xfId="16633"/>
    <cellStyle name="常规 3 2 2 3 2 2 4 3 2 2" xfId="35481"/>
    <cellStyle name="常规 3 2 2 3 2 2 4 3 3" xfId="26057"/>
    <cellStyle name="常规 3 2 2 3 2 2 4 4" xfId="10361"/>
    <cellStyle name="常规 3 2 2 3 2 2 4 4 2" xfId="29209"/>
    <cellStyle name="常规 3 2 2 3 2 2 4 5" xfId="19785"/>
    <cellStyle name="常规 3 2 2 3 2 2 5" xfId="1725"/>
    <cellStyle name="常规 3 2 2 3 2 2 5 2" xfId="4861"/>
    <cellStyle name="常规 3 2 2 3 2 2 5 2 2" xfId="14281"/>
    <cellStyle name="常规 3 2 2 3 2 2 5 2 2 2" xfId="33129"/>
    <cellStyle name="常规 3 2 2 3 2 2 5 2 3" xfId="23705"/>
    <cellStyle name="常规 3 2 2 3 2 2 5 3" xfId="7997"/>
    <cellStyle name="常规 3 2 2 3 2 2 5 3 2" xfId="17417"/>
    <cellStyle name="常规 3 2 2 3 2 2 5 3 2 2" xfId="36265"/>
    <cellStyle name="常规 3 2 2 3 2 2 5 3 3" xfId="26841"/>
    <cellStyle name="常规 3 2 2 3 2 2 5 4" xfId="11145"/>
    <cellStyle name="常规 3 2 2 3 2 2 5 4 2" xfId="29993"/>
    <cellStyle name="常规 3 2 2 3 2 2 5 5" xfId="20569"/>
    <cellStyle name="常规 3 2 2 3 2 2 6" xfId="2509"/>
    <cellStyle name="常规 3 2 2 3 2 2 6 2" xfId="5645"/>
    <cellStyle name="常规 3 2 2 3 2 2 6 2 2" xfId="15065"/>
    <cellStyle name="常规 3 2 2 3 2 2 6 2 2 2" xfId="33913"/>
    <cellStyle name="常规 3 2 2 3 2 2 6 2 3" xfId="24489"/>
    <cellStyle name="常规 3 2 2 3 2 2 6 3" xfId="8781"/>
    <cellStyle name="常规 3 2 2 3 2 2 6 3 2" xfId="18201"/>
    <cellStyle name="常规 3 2 2 3 2 2 6 3 2 2" xfId="37049"/>
    <cellStyle name="常规 3 2 2 3 2 2 6 3 3" xfId="27625"/>
    <cellStyle name="常规 3 2 2 3 2 2 6 4" xfId="11929"/>
    <cellStyle name="常规 3 2 2 3 2 2 6 4 2" xfId="30777"/>
    <cellStyle name="常规 3 2 2 3 2 2 6 5" xfId="21353"/>
    <cellStyle name="常规 3 2 2 3 2 2 7" xfId="3349"/>
    <cellStyle name="常规 3 2 2 3 2 2 7 2" xfId="12769"/>
    <cellStyle name="常规 3 2 2 3 2 2 7 2 2" xfId="31617"/>
    <cellStyle name="常规 3 2 2 3 2 2 7 3" xfId="22193"/>
    <cellStyle name="常规 3 2 2 3 2 2 8" xfId="6429"/>
    <cellStyle name="常规 3 2 2 3 2 2 8 2" xfId="15849"/>
    <cellStyle name="常规 3 2 2 3 2 2 8 2 2" xfId="34697"/>
    <cellStyle name="常规 3 2 2 3 2 2 8 3" xfId="25273"/>
    <cellStyle name="常规 3 2 2 3 2 2 9" xfId="9576"/>
    <cellStyle name="常规 3 2 2 3 2 2 9 2" xfId="28421"/>
    <cellStyle name="常规 3 2 2 3 2 3" xfId="155"/>
    <cellStyle name="常规 3 2 2 3 2 3 2" xfId="553"/>
    <cellStyle name="常规 3 2 2 3 2 3 2 2" xfId="1337"/>
    <cellStyle name="常规 3 2 2 3 2 3 2 2 2" xfId="4473"/>
    <cellStyle name="常规 3 2 2 3 2 3 2 2 2 2" xfId="13893"/>
    <cellStyle name="常规 3 2 2 3 2 3 2 2 2 2 2" xfId="32741"/>
    <cellStyle name="常规 3 2 2 3 2 3 2 2 2 3" xfId="23317"/>
    <cellStyle name="常规 3 2 2 3 2 3 2 2 3" xfId="7609"/>
    <cellStyle name="常规 3 2 2 3 2 3 2 2 3 2" xfId="17029"/>
    <cellStyle name="常规 3 2 2 3 2 3 2 2 3 2 2" xfId="35877"/>
    <cellStyle name="常规 3 2 2 3 2 3 2 2 3 3" xfId="26453"/>
    <cellStyle name="常规 3 2 2 3 2 3 2 2 4" xfId="10757"/>
    <cellStyle name="常规 3 2 2 3 2 3 2 2 4 2" xfId="29605"/>
    <cellStyle name="常规 3 2 2 3 2 3 2 2 5" xfId="20181"/>
    <cellStyle name="常规 3 2 2 3 2 3 2 3" xfId="2121"/>
    <cellStyle name="常规 3 2 2 3 2 3 2 3 2" xfId="5257"/>
    <cellStyle name="常规 3 2 2 3 2 3 2 3 2 2" xfId="14677"/>
    <cellStyle name="常规 3 2 2 3 2 3 2 3 2 2 2" xfId="33525"/>
    <cellStyle name="常规 3 2 2 3 2 3 2 3 2 3" xfId="24101"/>
    <cellStyle name="常规 3 2 2 3 2 3 2 3 3" xfId="8393"/>
    <cellStyle name="常规 3 2 2 3 2 3 2 3 3 2" xfId="17813"/>
    <cellStyle name="常规 3 2 2 3 2 3 2 3 3 2 2" xfId="36661"/>
    <cellStyle name="常规 3 2 2 3 2 3 2 3 3 3" xfId="27237"/>
    <cellStyle name="常规 3 2 2 3 2 3 2 3 4" xfId="11541"/>
    <cellStyle name="常规 3 2 2 3 2 3 2 3 4 2" xfId="30389"/>
    <cellStyle name="常规 3 2 2 3 2 3 2 3 5" xfId="20965"/>
    <cellStyle name="常规 3 2 2 3 2 3 2 4" xfId="2905"/>
    <cellStyle name="常规 3 2 2 3 2 3 2 4 2" xfId="6041"/>
    <cellStyle name="常规 3 2 2 3 2 3 2 4 2 2" xfId="15461"/>
    <cellStyle name="常规 3 2 2 3 2 3 2 4 2 2 2" xfId="34309"/>
    <cellStyle name="常规 3 2 2 3 2 3 2 4 2 3" xfId="24885"/>
    <cellStyle name="常规 3 2 2 3 2 3 2 4 3" xfId="9177"/>
    <cellStyle name="常规 3 2 2 3 2 3 2 4 3 2" xfId="18597"/>
    <cellStyle name="常规 3 2 2 3 2 3 2 4 3 2 2" xfId="37445"/>
    <cellStyle name="常规 3 2 2 3 2 3 2 4 3 3" xfId="28021"/>
    <cellStyle name="常规 3 2 2 3 2 3 2 4 4" xfId="12325"/>
    <cellStyle name="常规 3 2 2 3 2 3 2 4 4 2" xfId="31173"/>
    <cellStyle name="常规 3 2 2 3 2 3 2 4 5" xfId="21749"/>
    <cellStyle name="常规 3 2 2 3 2 3 2 5" xfId="3689"/>
    <cellStyle name="常规 3 2 2 3 2 3 2 5 2" xfId="13109"/>
    <cellStyle name="常规 3 2 2 3 2 3 2 5 2 2" xfId="31957"/>
    <cellStyle name="常规 3 2 2 3 2 3 2 5 3" xfId="22533"/>
    <cellStyle name="常规 3 2 2 3 2 3 2 6" xfId="6825"/>
    <cellStyle name="常规 3 2 2 3 2 3 2 6 2" xfId="16245"/>
    <cellStyle name="常规 3 2 2 3 2 3 2 6 2 2" xfId="35093"/>
    <cellStyle name="常规 3 2 2 3 2 3 2 6 3" xfId="25669"/>
    <cellStyle name="常规 3 2 2 3 2 3 2 7" xfId="9973"/>
    <cellStyle name="常规 3 2 2 3 2 3 2 7 2" xfId="28821"/>
    <cellStyle name="常规 3 2 2 3 2 3 2 8" xfId="19397"/>
    <cellStyle name="常规 3 2 2 3 2 3 3" xfId="943"/>
    <cellStyle name="常规 3 2 2 3 2 3 3 2" xfId="4079"/>
    <cellStyle name="常规 3 2 2 3 2 3 3 2 2" xfId="13499"/>
    <cellStyle name="常规 3 2 2 3 2 3 3 2 2 2" xfId="32347"/>
    <cellStyle name="常规 3 2 2 3 2 3 3 2 3" xfId="22923"/>
    <cellStyle name="常规 3 2 2 3 2 3 3 3" xfId="7215"/>
    <cellStyle name="常规 3 2 2 3 2 3 3 3 2" xfId="16635"/>
    <cellStyle name="常规 3 2 2 3 2 3 3 3 2 2" xfId="35483"/>
    <cellStyle name="常规 3 2 2 3 2 3 3 3 3" xfId="26059"/>
    <cellStyle name="常规 3 2 2 3 2 3 3 4" xfId="10363"/>
    <cellStyle name="常规 3 2 2 3 2 3 3 4 2" xfId="29211"/>
    <cellStyle name="常规 3 2 2 3 2 3 3 5" xfId="19787"/>
    <cellStyle name="常规 3 2 2 3 2 3 4" xfId="1727"/>
    <cellStyle name="常规 3 2 2 3 2 3 4 2" xfId="4863"/>
    <cellStyle name="常规 3 2 2 3 2 3 4 2 2" xfId="14283"/>
    <cellStyle name="常规 3 2 2 3 2 3 4 2 2 2" xfId="33131"/>
    <cellStyle name="常规 3 2 2 3 2 3 4 2 3" xfId="23707"/>
    <cellStyle name="常规 3 2 2 3 2 3 4 3" xfId="7999"/>
    <cellStyle name="常规 3 2 2 3 2 3 4 3 2" xfId="17419"/>
    <cellStyle name="常规 3 2 2 3 2 3 4 3 2 2" xfId="36267"/>
    <cellStyle name="常规 3 2 2 3 2 3 4 3 3" xfId="26843"/>
    <cellStyle name="常规 3 2 2 3 2 3 4 4" xfId="11147"/>
    <cellStyle name="常规 3 2 2 3 2 3 4 4 2" xfId="29995"/>
    <cellStyle name="常规 3 2 2 3 2 3 4 5" xfId="20571"/>
    <cellStyle name="常规 3 2 2 3 2 3 5" xfId="2511"/>
    <cellStyle name="常规 3 2 2 3 2 3 5 2" xfId="5647"/>
    <cellStyle name="常规 3 2 2 3 2 3 5 2 2" xfId="15067"/>
    <cellStyle name="常规 3 2 2 3 2 3 5 2 2 2" xfId="33915"/>
    <cellStyle name="常规 3 2 2 3 2 3 5 2 3" xfId="24491"/>
    <cellStyle name="常规 3 2 2 3 2 3 5 3" xfId="8783"/>
    <cellStyle name="常规 3 2 2 3 2 3 5 3 2" xfId="18203"/>
    <cellStyle name="常规 3 2 2 3 2 3 5 3 2 2" xfId="37051"/>
    <cellStyle name="常规 3 2 2 3 2 3 5 3 3" xfId="27627"/>
    <cellStyle name="常规 3 2 2 3 2 3 5 4" xfId="11931"/>
    <cellStyle name="常规 3 2 2 3 2 3 5 4 2" xfId="30779"/>
    <cellStyle name="常规 3 2 2 3 2 3 5 5" xfId="21355"/>
    <cellStyle name="常规 3 2 2 3 2 3 6" xfId="3351"/>
    <cellStyle name="常规 3 2 2 3 2 3 6 2" xfId="12771"/>
    <cellStyle name="常规 3 2 2 3 2 3 6 2 2" xfId="31619"/>
    <cellStyle name="常规 3 2 2 3 2 3 6 3" xfId="22195"/>
    <cellStyle name="常规 3 2 2 3 2 3 7" xfId="6431"/>
    <cellStyle name="常规 3 2 2 3 2 3 7 2" xfId="15851"/>
    <cellStyle name="常规 3 2 2 3 2 3 7 2 2" xfId="34699"/>
    <cellStyle name="常规 3 2 2 3 2 3 7 3" xfId="25275"/>
    <cellStyle name="常规 3 2 2 3 2 3 8" xfId="9578"/>
    <cellStyle name="常规 3 2 2 3 2 3 8 2" xfId="28423"/>
    <cellStyle name="常规 3 2 2 3 2 3 9" xfId="19001"/>
    <cellStyle name="常规 3 2 2 3 2 4" xfId="550"/>
    <cellStyle name="常规 3 2 2 3 2 4 2" xfId="1334"/>
    <cellStyle name="常规 3 2 2 3 2 4 2 2" xfId="4470"/>
    <cellStyle name="常规 3 2 2 3 2 4 2 2 2" xfId="13890"/>
    <cellStyle name="常规 3 2 2 3 2 4 2 2 2 2" xfId="32738"/>
    <cellStyle name="常规 3 2 2 3 2 4 2 2 3" xfId="23314"/>
    <cellStyle name="常规 3 2 2 3 2 4 2 3" xfId="7606"/>
    <cellStyle name="常规 3 2 2 3 2 4 2 3 2" xfId="17026"/>
    <cellStyle name="常规 3 2 2 3 2 4 2 3 2 2" xfId="35874"/>
    <cellStyle name="常规 3 2 2 3 2 4 2 3 3" xfId="26450"/>
    <cellStyle name="常规 3 2 2 3 2 4 2 4" xfId="10754"/>
    <cellStyle name="常规 3 2 2 3 2 4 2 4 2" xfId="29602"/>
    <cellStyle name="常规 3 2 2 3 2 4 2 5" xfId="20178"/>
    <cellStyle name="常规 3 2 2 3 2 4 3" xfId="2118"/>
    <cellStyle name="常规 3 2 2 3 2 4 3 2" xfId="5254"/>
    <cellStyle name="常规 3 2 2 3 2 4 3 2 2" xfId="14674"/>
    <cellStyle name="常规 3 2 2 3 2 4 3 2 2 2" xfId="33522"/>
    <cellStyle name="常规 3 2 2 3 2 4 3 2 3" xfId="24098"/>
    <cellStyle name="常规 3 2 2 3 2 4 3 3" xfId="8390"/>
    <cellStyle name="常规 3 2 2 3 2 4 3 3 2" xfId="17810"/>
    <cellStyle name="常规 3 2 2 3 2 4 3 3 2 2" xfId="36658"/>
    <cellStyle name="常规 3 2 2 3 2 4 3 3 3" xfId="27234"/>
    <cellStyle name="常规 3 2 2 3 2 4 3 4" xfId="11538"/>
    <cellStyle name="常规 3 2 2 3 2 4 3 4 2" xfId="30386"/>
    <cellStyle name="常规 3 2 2 3 2 4 3 5" xfId="20962"/>
    <cellStyle name="常规 3 2 2 3 2 4 4" xfId="2902"/>
    <cellStyle name="常规 3 2 2 3 2 4 4 2" xfId="6038"/>
    <cellStyle name="常规 3 2 2 3 2 4 4 2 2" xfId="15458"/>
    <cellStyle name="常规 3 2 2 3 2 4 4 2 2 2" xfId="34306"/>
    <cellStyle name="常规 3 2 2 3 2 4 4 2 3" xfId="24882"/>
    <cellStyle name="常规 3 2 2 3 2 4 4 3" xfId="9174"/>
    <cellStyle name="常规 3 2 2 3 2 4 4 3 2" xfId="18594"/>
    <cellStyle name="常规 3 2 2 3 2 4 4 3 2 2" xfId="37442"/>
    <cellStyle name="常规 3 2 2 3 2 4 4 3 3" xfId="28018"/>
    <cellStyle name="常规 3 2 2 3 2 4 4 4" xfId="12322"/>
    <cellStyle name="常规 3 2 2 3 2 4 4 4 2" xfId="31170"/>
    <cellStyle name="常规 3 2 2 3 2 4 4 5" xfId="21746"/>
    <cellStyle name="常规 3 2 2 3 2 4 5" xfId="3686"/>
    <cellStyle name="常规 3 2 2 3 2 4 5 2" xfId="13106"/>
    <cellStyle name="常规 3 2 2 3 2 4 5 2 2" xfId="31954"/>
    <cellStyle name="常规 3 2 2 3 2 4 5 3" xfId="22530"/>
    <cellStyle name="常规 3 2 2 3 2 4 6" xfId="6822"/>
    <cellStyle name="常规 3 2 2 3 2 4 6 2" xfId="16242"/>
    <cellStyle name="常规 3 2 2 3 2 4 6 2 2" xfId="35090"/>
    <cellStyle name="常规 3 2 2 3 2 4 6 3" xfId="25666"/>
    <cellStyle name="常规 3 2 2 3 2 4 7" xfId="9970"/>
    <cellStyle name="常规 3 2 2 3 2 4 7 2" xfId="28818"/>
    <cellStyle name="常规 3 2 2 3 2 4 8" xfId="19394"/>
    <cellStyle name="常规 3 2 2 3 2 5" xfId="940"/>
    <cellStyle name="常规 3 2 2 3 2 5 2" xfId="4076"/>
    <cellStyle name="常规 3 2 2 3 2 5 2 2" xfId="13496"/>
    <cellStyle name="常规 3 2 2 3 2 5 2 2 2" xfId="32344"/>
    <cellStyle name="常规 3 2 2 3 2 5 2 3" xfId="22920"/>
    <cellStyle name="常规 3 2 2 3 2 5 3" xfId="7212"/>
    <cellStyle name="常规 3 2 2 3 2 5 3 2" xfId="16632"/>
    <cellStyle name="常规 3 2 2 3 2 5 3 2 2" xfId="35480"/>
    <cellStyle name="常规 3 2 2 3 2 5 3 3" xfId="26056"/>
    <cellStyle name="常规 3 2 2 3 2 5 4" xfId="10360"/>
    <cellStyle name="常规 3 2 2 3 2 5 4 2" xfId="29208"/>
    <cellStyle name="常规 3 2 2 3 2 5 5" xfId="19784"/>
    <cellStyle name="常规 3 2 2 3 2 6" xfId="1724"/>
    <cellStyle name="常规 3 2 2 3 2 6 2" xfId="4860"/>
    <cellStyle name="常规 3 2 2 3 2 6 2 2" xfId="14280"/>
    <cellStyle name="常规 3 2 2 3 2 6 2 2 2" xfId="33128"/>
    <cellStyle name="常规 3 2 2 3 2 6 2 3" xfId="23704"/>
    <cellStyle name="常规 3 2 2 3 2 6 3" xfId="7996"/>
    <cellStyle name="常规 3 2 2 3 2 6 3 2" xfId="17416"/>
    <cellStyle name="常规 3 2 2 3 2 6 3 2 2" xfId="36264"/>
    <cellStyle name="常规 3 2 2 3 2 6 3 3" xfId="26840"/>
    <cellStyle name="常规 3 2 2 3 2 6 4" xfId="11144"/>
    <cellStyle name="常规 3 2 2 3 2 6 4 2" xfId="29992"/>
    <cellStyle name="常规 3 2 2 3 2 6 5" xfId="20568"/>
    <cellStyle name="常规 3 2 2 3 2 7" xfId="2508"/>
    <cellStyle name="常规 3 2 2 3 2 7 2" xfId="5644"/>
    <cellStyle name="常规 3 2 2 3 2 7 2 2" xfId="15064"/>
    <cellStyle name="常规 3 2 2 3 2 7 2 2 2" xfId="33912"/>
    <cellStyle name="常规 3 2 2 3 2 7 2 3" xfId="24488"/>
    <cellStyle name="常规 3 2 2 3 2 7 3" xfId="8780"/>
    <cellStyle name="常规 3 2 2 3 2 7 3 2" xfId="18200"/>
    <cellStyle name="常规 3 2 2 3 2 7 3 2 2" xfId="37048"/>
    <cellStyle name="常规 3 2 2 3 2 7 3 3" xfId="27624"/>
    <cellStyle name="常规 3 2 2 3 2 7 4" xfId="11928"/>
    <cellStyle name="常规 3 2 2 3 2 7 4 2" xfId="30776"/>
    <cellStyle name="常规 3 2 2 3 2 7 5" xfId="21352"/>
    <cellStyle name="常规 3 2 2 3 2 8" xfId="3213"/>
    <cellStyle name="常规 3 2 2 3 2 8 2" xfId="12633"/>
    <cellStyle name="常规 3 2 2 3 2 8 2 2" xfId="31481"/>
    <cellStyle name="常规 3 2 2 3 2 8 3" xfId="22057"/>
    <cellStyle name="常规 3 2 2 3 2 9" xfId="6428"/>
    <cellStyle name="常规 3 2 2 3 2 9 2" xfId="15848"/>
    <cellStyle name="常规 3 2 2 3 2 9 2 2" xfId="34696"/>
    <cellStyle name="常规 3 2 2 3 2 9 3" xfId="25272"/>
    <cellStyle name="常规 3 2 2 3 3" xfId="156"/>
    <cellStyle name="常规 3 2 2 3 3 10" xfId="19002"/>
    <cellStyle name="常规 3 2 2 3 3 2" xfId="157"/>
    <cellStyle name="常规 3 2 2 3 3 2 2" xfId="555"/>
    <cellStyle name="常规 3 2 2 3 3 2 2 2" xfId="1339"/>
    <cellStyle name="常规 3 2 2 3 3 2 2 2 2" xfId="4475"/>
    <cellStyle name="常规 3 2 2 3 3 2 2 2 2 2" xfId="13895"/>
    <cellStyle name="常规 3 2 2 3 3 2 2 2 2 2 2" xfId="32743"/>
    <cellStyle name="常规 3 2 2 3 3 2 2 2 2 3" xfId="23319"/>
    <cellStyle name="常规 3 2 2 3 3 2 2 2 3" xfId="7611"/>
    <cellStyle name="常规 3 2 2 3 3 2 2 2 3 2" xfId="17031"/>
    <cellStyle name="常规 3 2 2 3 3 2 2 2 3 2 2" xfId="35879"/>
    <cellStyle name="常规 3 2 2 3 3 2 2 2 3 3" xfId="26455"/>
    <cellStyle name="常规 3 2 2 3 3 2 2 2 4" xfId="10759"/>
    <cellStyle name="常规 3 2 2 3 3 2 2 2 4 2" xfId="29607"/>
    <cellStyle name="常规 3 2 2 3 3 2 2 2 5" xfId="20183"/>
    <cellStyle name="常规 3 2 2 3 3 2 2 3" xfId="2123"/>
    <cellStyle name="常规 3 2 2 3 3 2 2 3 2" xfId="5259"/>
    <cellStyle name="常规 3 2 2 3 3 2 2 3 2 2" xfId="14679"/>
    <cellStyle name="常规 3 2 2 3 3 2 2 3 2 2 2" xfId="33527"/>
    <cellStyle name="常规 3 2 2 3 3 2 2 3 2 3" xfId="24103"/>
    <cellStyle name="常规 3 2 2 3 3 2 2 3 3" xfId="8395"/>
    <cellStyle name="常规 3 2 2 3 3 2 2 3 3 2" xfId="17815"/>
    <cellStyle name="常规 3 2 2 3 3 2 2 3 3 2 2" xfId="36663"/>
    <cellStyle name="常规 3 2 2 3 3 2 2 3 3 3" xfId="27239"/>
    <cellStyle name="常规 3 2 2 3 3 2 2 3 4" xfId="11543"/>
    <cellStyle name="常规 3 2 2 3 3 2 2 3 4 2" xfId="30391"/>
    <cellStyle name="常规 3 2 2 3 3 2 2 3 5" xfId="20967"/>
    <cellStyle name="常规 3 2 2 3 3 2 2 4" xfId="2907"/>
    <cellStyle name="常规 3 2 2 3 3 2 2 4 2" xfId="6043"/>
    <cellStyle name="常规 3 2 2 3 3 2 2 4 2 2" xfId="15463"/>
    <cellStyle name="常规 3 2 2 3 3 2 2 4 2 2 2" xfId="34311"/>
    <cellStyle name="常规 3 2 2 3 3 2 2 4 2 3" xfId="24887"/>
    <cellStyle name="常规 3 2 2 3 3 2 2 4 3" xfId="9179"/>
    <cellStyle name="常规 3 2 2 3 3 2 2 4 3 2" xfId="18599"/>
    <cellStyle name="常规 3 2 2 3 3 2 2 4 3 2 2" xfId="37447"/>
    <cellStyle name="常规 3 2 2 3 3 2 2 4 3 3" xfId="28023"/>
    <cellStyle name="常规 3 2 2 3 3 2 2 4 4" xfId="12327"/>
    <cellStyle name="常规 3 2 2 3 3 2 2 4 4 2" xfId="31175"/>
    <cellStyle name="常规 3 2 2 3 3 2 2 4 5" xfId="21751"/>
    <cellStyle name="常规 3 2 2 3 3 2 2 5" xfId="3691"/>
    <cellStyle name="常规 3 2 2 3 3 2 2 5 2" xfId="13111"/>
    <cellStyle name="常规 3 2 2 3 3 2 2 5 2 2" xfId="31959"/>
    <cellStyle name="常规 3 2 2 3 3 2 2 5 3" xfId="22535"/>
    <cellStyle name="常规 3 2 2 3 3 2 2 6" xfId="6827"/>
    <cellStyle name="常规 3 2 2 3 3 2 2 6 2" xfId="16247"/>
    <cellStyle name="常规 3 2 2 3 3 2 2 6 2 2" xfId="35095"/>
    <cellStyle name="常规 3 2 2 3 3 2 2 6 3" xfId="25671"/>
    <cellStyle name="常规 3 2 2 3 3 2 2 7" xfId="9975"/>
    <cellStyle name="常规 3 2 2 3 3 2 2 7 2" xfId="28823"/>
    <cellStyle name="常规 3 2 2 3 3 2 2 8" xfId="19399"/>
    <cellStyle name="常规 3 2 2 3 3 2 3" xfId="945"/>
    <cellStyle name="常规 3 2 2 3 3 2 3 2" xfId="4081"/>
    <cellStyle name="常规 3 2 2 3 3 2 3 2 2" xfId="13501"/>
    <cellStyle name="常规 3 2 2 3 3 2 3 2 2 2" xfId="32349"/>
    <cellStyle name="常规 3 2 2 3 3 2 3 2 3" xfId="22925"/>
    <cellStyle name="常规 3 2 2 3 3 2 3 3" xfId="7217"/>
    <cellStyle name="常规 3 2 2 3 3 2 3 3 2" xfId="16637"/>
    <cellStyle name="常规 3 2 2 3 3 2 3 3 2 2" xfId="35485"/>
    <cellStyle name="常规 3 2 2 3 3 2 3 3 3" xfId="26061"/>
    <cellStyle name="常规 3 2 2 3 3 2 3 4" xfId="10365"/>
    <cellStyle name="常规 3 2 2 3 3 2 3 4 2" xfId="29213"/>
    <cellStyle name="常规 3 2 2 3 3 2 3 5" xfId="19789"/>
    <cellStyle name="常规 3 2 2 3 3 2 4" xfId="1729"/>
    <cellStyle name="常规 3 2 2 3 3 2 4 2" xfId="4865"/>
    <cellStyle name="常规 3 2 2 3 3 2 4 2 2" xfId="14285"/>
    <cellStyle name="常规 3 2 2 3 3 2 4 2 2 2" xfId="33133"/>
    <cellStyle name="常规 3 2 2 3 3 2 4 2 3" xfId="23709"/>
    <cellStyle name="常规 3 2 2 3 3 2 4 3" xfId="8001"/>
    <cellStyle name="常规 3 2 2 3 3 2 4 3 2" xfId="17421"/>
    <cellStyle name="常规 3 2 2 3 3 2 4 3 2 2" xfId="36269"/>
    <cellStyle name="常规 3 2 2 3 3 2 4 3 3" xfId="26845"/>
    <cellStyle name="常规 3 2 2 3 3 2 4 4" xfId="11149"/>
    <cellStyle name="常规 3 2 2 3 3 2 4 4 2" xfId="29997"/>
    <cellStyle name="常规 3 2 2 3 3 2 4 5" xfId="20573"/>
    <cellStyle name="常规 3 2 2 3 3 2 5" xfId="2513"/>
    <cellStyle name="常规 3 2 2 3 3 2 5 2" xfId="5649"/>
    <cellStyle name="常规 3 2 2 3 3 2 5 2 2" xfId="15069"/>
    <cellStyle name="常规 3 2 2 3 3 2 5 2 2 2" xfId="33917"/>
    <cellStyle name="常规 3 2 2 3 3 2 5 2 3" xfId="24493"/>
    <cellStyle name="常规 3 2 2 3 3 2 5 3" xfId="8785"/>
    <cellStyle name="常规 3 2 2 3 3 2 5 3 2" xfId="18205"/>
    <cellStyle name="常规 3 2 2 3 3 2 5 3 2 2" xfId="37053"/>
    <cellStyle name="常规 3 2 2 3 3 2 5 3 3" xfId="27629"/>
    <cellStyle name="常规 3 2 2 3 3 2 5 4" xfId="11933"/>
    <cellStyle name="常规 3 2 2 3 3 2 5 4 2" xfId="30781"/>
    <cellStyle name="常规 3 2 2 3 3 2 5 5" xfId="21357"/>
    <cellStyle name="常规 3 2 2 3 3 2 6" xfId="3353"/>
    <cellStyle name="常规 3 2 2 3 3 2 6 2" xfId="12773"/>
    <cellStyle name="常规 3 2 2 3 3 2 6 2 2" xfId="31621"/>
    <cellStyle name="常规 3 2 2 3 3 2 6 3" xfId="22197"/>
    <cellStyle name="常规 3 2 2 3 3 2 7" xfId="6433"/>
    <cellStyle name="常规 3 2 2 3 3 2 7 2" xfId="15853"/>
    <cellStyle name="常规 3 2 2 3 3 2 7 2 2" xfId="34701"/>
    <cellStyle name="常规 3 2 2 3 3 2 7 3" xfId="25277"/>
    <cellStyle name="常规 3 2 2 3 3 2 8" xfId="9580"/>
    <cellStyle name="常规 3 2 2 3 3 2 8 2" xfId="28425"/>
    <cellStyle name="常规 3 2 2 3 3 2 9" xfId="19003"/>
    <cellStyle name="常规 3 2 2 3 3 3" xfId="554"/>
    <cellStyle name="常规 3 2 2 3 3 3 2" xfId="1338"/>
    <cellStyle name="常规 3 2 2 3 3 3 2 2" xfId="4474"/>
    <cellStyle name="常规 3 2 2 3 3 3 2 2 2" xfId="13894"/>
    <cellStyle name="常规 3 2 2 3 3 3 2 2 2 2" xfId="32742"/>
    <cellStyle name="常规 3 2 2 3 3 3 2 2 3" xfId="23318"/>
    <cellStyle name="常规 3 2 2 3 3 3 2 3" xfId="7610"/>
    <cellStyle name="常规 3 2 2 3 3 3 2 3 2" xfId="17030"/>
    <cellStyle name="常规 3 2 2 3 3 3 2 3 2 2" xfId="35878"/>
    <cellStyle name="常规 3 2 2 3 3 3 2 3 3" xfId="26454"/>
    <cellStyle name="常规 3 2 2 3 3 3 2 4" xfId="10758"/>
    <cellStyle name="常规 3 2 2 3 3 3 2 4 2" xfId="29606"/>
    <cellStyle name="常规 3 2 2 3 3 3 2 5" xfId="20182"/>
    <cellStyle name="常规 3 2 2 3 3 3 3" xfId="2122"/>
    <cellStyle name="常规 3 2 2 3 3 3 3 2" xfId="5258"/>
    <cellStyle name="常规 3 2 2 3 3 3 3 2 2" xfId="14678"/>
    <cellStyle name="常规 3 2 2 3 3 3 3 2 2 2" xfId="33526"/>
    <cellStyle name="常规 3 2 2 3 3 3 3 2 3" xfId="24102"/>
    <cellStyle name="常规 3 2 2 3 3 3 3 3" xfId="8394"/>
    <cellStyle name="常规 3 2 2 3 3 3 3 3 2" xfId="17814"/>
    <cellStyle name="常规 3 2 2 3 3 3 3 3 2 2" xfId="36662"/>
    <cellStyle name="常规 3 2 2 3 3 3 3 3 3" xfId="27238"/>
    <cellStyle name="常规 3 2 2 3 3 3 3 4" xfId="11542"/>
    <cellStyle name="常规 3 2 2 3 3 3 3 4 2" xfId="30390"/>
    <cellStyle name="常规 3 2 2 3 3 3 3 5" xfId="20966"/>
    <cellStyle name="常规 3 2 2 3 3 3 4" xfId="2906"/>
    <cellStyle name="常规 3 2 2 3 3 3 4 2" xfId="6042"/>
    <cellStyle name="常规 3 2 2 3 3 3 4 2 2" xfId="15462"/>
    <cellStyle name="常规 3 2 2 3 3 3 4 2 2 2" xfId="34310"/>
    <cellStyle name="常规 3 2 2 3 3 3 4 2 3" xfId="24886"/>
    <cellStyle name="常规 3 2 2 3 3 3 4 3" xfId="9178"/>
    <cellStyle name="常规 3 2 2 3 3 3 4 3 2" xfId="18598"/>
    <cellStyle name="常规 3 2 2 3 3 3 4 3 2 2" xfId="37446"/>
    <cellStyle name="常规 3 2 2 3 3 3 4 3 3" xfId="28022"/>
    <cellStyle name="常规 3 2 2 3 3 3 4 4" xfId="12326"/>
    <cellStyle name="常规 3 2 2 3 3 3 4 4 2" xfId="31174"/>
    <cellStyle name="常规 3 2 2 3 3 3 4 5" xfId="21750"/>
    <cellStyle name="常规 3 2 2 3 3 3 5" xfId="3690"/>
    <cellStyle name="常规 3 2 2 3 3 3 5 2" xfId="13110"/>
    <cellStyle name="常规 3 2 2 3 3 3 5 2 2" xfId="31958"/>
    <cellStyle name="常规 3 2 2 3 3 3 5 3" xfId="22534"/>
    <cellStyle name="常规 3 2 2 3 3 3 6" xfId="6826"/>
    <cellStyle name="常规 3 2 2 3 3 3 6 2" xfId="16246"/>
    <cellStyle name="常规 3 2 2 3 3 3 6 2 2" xfId="35094"/>
    <cellStyle name="常规 3 2 2 3 3 3 6 3" xfId="25670"/>
    <cellStyle name="常规 3 2 2 3 3 3 7" xfId="9974"/>
    <cellStyle name="常规 3 2 2 3 3 3 7 2" xfId="28822"/>
    <cellStyle name="常规 3 2 2 3 3 3 8" xfId="19398"/>
    <cellStyle name="常规 3 2 2 3 3 4" xfId="944"/>
    <cellStyle name="常规 3 2 2 3 3 4 2" xfId="4080"/>
    <cellStyle name="常规 3 2 2 3 3 4 2 2" xfId="13500"/>
    <cellStyle name="常规 3 2 2 3 3 4 2 2 2" xfId="32348"/>
    <cellStyle name="常规 3 2 2 3 3 4 2 3" xfId="22924"/>
    <cellStyle name="常规 3 2 2 3 3 4 3" xfId="7216"/>
    <cellStyle name="常规 3 2 2 3 3 4 3 2" xfId="16636"/>
    <cellStyle name="常规 3 2 2 3 3 4 3 2 2" xfId="35484"/>
    <cellStyle name="常规 3 2 2 3 3 4 3 3" xfId="26060"/>
    <cellStyle name="常规 3 2 2 3 3 4 4" xfId="10364"/>
    <cellStyle name="常规 3 2 2 3 3 4 4 2" xfId="29212"/>
    <cellStyle name="常规 3 2 2 3 3 4 5" xfId="19788"/>
    <cellStyle name="常规 3 2 2 3 3 5" xfId="1728"/>
    <cellStyle name="常规 3 2 2 3 3 5 2" xfId="4864"/>
    <cellStyle name="常规 3 2 2 3 3 5 2 2" xfId="14284"/>
    <cellStyle name="常规 3 2 2 3 3 5 2 2 2" xfId="33132"/>
    <cellStyle name="常规 3 2 2 3 3 5 2 3" xfId="23708"/>
    <cellStyle name="常规 3 2 2 3 3 5 3" xfId="8000"/>
    <cellStyle name="常规 3 2 2 3 3 5 3 2" xfId="17420"/>
    <cellStyle name="常规 3 2 2 3 3 5 3 2 2" xfId="36268"/>
    <cellStyle name="常规 3 2 2 3 3 5 3 3" xfId="26844"/>
    <cellStyle name="常规 3 2 2 3 3 5 4" xfId="11148"/>
    <cellStyle name="常规 3 2 2 3 3 5 4 2" xfId="29996"/>
    <cellStyle name="常规 3 2 2 3 3 5 5" xfId="20572"/>
    <cellStyle name="常规 3 2 2 3 3 6" xfId="2512"/>
    <cellStyle name="常规 3 2 2 3 3 6 2" xfId="5648"/>
    <cellStyle name="常规 3 2 2 3 3 6 2 2" xfId="15068"/>
    <cellStyle name="常规 3 2 2 3 3 6 2 2 2" xfId="33916"/>
    <cellStyle name="常规 3 2 2 3 3 6 2 3" xfId="24492"/>
    <cellStyle name="常规 3 2 2 3 3 6 3" xfId="8784"/>
    <cellStyle name="常规 3 2 2 3 3 6 3 2" xfId="18204"/>
    <cellStyle name="常规 3 2 2 3 3 6 3 2 2" xfId="37052"/>
    <cellStyle name="常规 3 2 2 3 3 6 3 3" xfId="27628"/>
    <cellStyle name="常规 3 2 2 3 3 6 4" xfId="11932"/>
    <cellStyle name="常规 3 2 2 3 3 6 4 2" xfId="30780"/>
    <cellStyle name="常规 3 2 2 3 3 6 5" xfId="21356"/>
    <cellStyle name="常规 3 2 2 3 3 7" xfId="3352"/>
    <cellStyle name="常规 3 2 2 3 3 7 2" xfId="12772"/>
    <cellStyle name="常规 3 2 2 3 3 7 2 2" xfId="31620"/>
    <cellStyle name="常规 3 2 2 3 3 7 3" xfId="22196"/>
    <cellStyle name="常规 3 2 2 3 3 8" xfId="6432"/>
    <cellStyle name="常规 3 2 2 3 3 8 2" xfId="15852"/>
    <cellStyle name="常规 3 2 2 3 3 8 2 2" xfId="34700"/>
    <cellStyle name="常规 3 2 2 3 3 8 3" xfId="25276"/>
    <cellStyle name="常规 3 2 2 3 3 9" xfId="9579"/>
    <cellStyle name="常规 3 2 2 3 3 9 2" xfId="28424"/>
    <cellStyle name="常规 3 2 2 3 4" xfId="158"/>
    <cellStyle name="常规 3 2 2 3 4 2" xfId="556"/>
    <cellStyle name="常规 3 2 2 3 4 2 2" xfId="1340"/>
    <cellStyle name="常规 3 2 2 3 4 2 2 2" xfId="4476"/>
    <cellStyle name="常规 3 2 2 3 4 2 2 2 2" xfId="13896"/>
    <cellStyle name="常规 3 2 2 3 4 2 2 2 2 2" xfId="32744"/>
    <cellStyle name="常规 3 2 2 3 4 2 2 2 3" xfId="23320"/>
    <cellStyle name="常规 3 2 2 3 4 2 2 3" xfId="7612"/>
    <cellStyle name="常规 3 2 2 3 4 2 2 3 2" xfId="17032"/>
    <cellStyle name="常规 3 2 2 3 4 2 2 3 2 2" xfId="35880"/>
    <cellStyle name="常规 3 2 2 3 4 2 2 3 3" xfId="26456"/>
    <cellStyle name="常规 3 2 2 3 4 2 2 4" xfId="10760"/>
    <cellStyle name="常规 3 2 2 3 4 2 2 4 2" xfId="29608"/>
    <cellStyle name="常规 3 2 2 3 4 2 2 5" xfId="20184"/>
    <cellStyle name="常规 3 2 2 3 4 2 3" xfId="2124"/>
    <cellStyle name="常规 3 2 2 3 4 2 3 2" xfId="5260"/>
    <cellStyle name="常规 3 2 2 3 4 2 3 2 2" xfId="14680"/>
    <cellStyle name="常规 3 2 2 3 4 2 3 2 2 2" xfId="33528"/>
    <cellStyle name="常规 3 2 2 3 4 2 3 2 3" xfId="24104"/>
    <cellStyle name="常规 3 2 2 3 4 2 3 3" xfId="8396"/>
    <cellStyle name="常规 3 2 2 3 4 2 3 3 2" xfId="17816"/>
    <cellStyle name="常规 3 2 2 3 4 2 3 3 2 2" xfId="36664"/>
    <cellStyle name="常规 3 2 2 3 4 2 3 3 3" xfId="27240"/>
    <cellStyle name="常规 3 2 2 3 4 2 3 4" xfId="11544"/>
    <cellStyle name="常规 3 2 2 3 4 2 3 4 2" xfId="30392"/>
    <cellStyle name="常规 3 2 2 3 4 2 3 5" xfId="20968"/>
    <cellStyle name="常规 3 2 2 3 4 2 4" xfId="2908"/>
    <cellStyle name="常规 3 2 2 3 4 2 4 2" xfId="6044"/>
    <cellStyle name="常规 3 2 2 3 4 2 4 2 2" xfId="15464"/>
    <cellStyle name="常规 3 2 2 3 4 2 4 2 2 2" xfId="34312"/>
    <cellStyle name="常规 3 2 2 3 4 2 4 2 3" xfId="24888"/>
    <cellStyle name="常规 3 2 2 3 4 2 4 3" xfId="9180"/>
    <cellStyle name="常规 3 2 2 3 4 2 4 3 2" xfId="18600"/>
    <cellStyle name="常规 3 2 2 3 4 2 4 3 2 2" xfId="37448"/>
    <cellStyle name="常规 3 2 2 3 4 2 4 3 3" xfId="28024"/>
    <cellStyle name="常规 3 2 2 3 4 2 4 4" xfId="12328"/>
    <cellStyle name="常规 3 2 2 3 4 2 4 4 2" xfId="31176"/>
    <cellStyle name="常规 3 2 2 3 4 2 4 5" xfId="21752"/>
    <cellStyle name="常规 3 2 2 3 4 2 5" xfId="3692"/>
    <cellStyle name="常规 3 2 2 3 4 2 5 2" xfId="13112"/>
    <cellStyle name="常规 3 2 2 3 4 2 5 2 2" xfId="31960"/>
    <cellStyle name="常规 3 2 2 3 4 2 5 3" xfId="22536"/>
    <cellStyle name="常规 3 2 2 3 4 2 6" xfId="6828"/>
    <cellStyle name="常规 3 2 2 3 4 2 6 2" xfId="16248"/>
    <cellStyle name="常规 3 2 2 3 4 2 6 2 2" xfId="35096"/>
    <cellStyle name="常规 3 2 2 3 4 2 6 3" xfId="25672"/>
    <cellStyle name="常规 3 2 2 3 4 2 7" xfId="9976"/>
    <cellStyle name="常规 3 2 2 3 4 2 7 2" xfId="28824"/>
    <cellStyle name="常规 3 2 2 3 4 2 8" xfId="19400"/>
    <cellStyle name="常规 3 2 2 3 4 3" xfId="946"/>
    <cellStyle name="常规 3 2 2 3 4 3 2" xfId="4082"/>
    <cellStyle name="常规 3 2 2 3 4 3 2 2" xfId="13502"/>
    <cellStyle name="常规 3 2 2 3 4 3 2 2 2" xfId="32350"/>
    <cellStyle name="常规 3 2 2 3 4 3 2 3" xfId="22926"/>
    <cellStyle name="常规 3 2 2 3 4 3 3" xfId="7218"/>
    <cellStyle name="常规 3 2 2 3 4 3 3 2" xfId="16638"/>
    <cellStyle name="常规 3 2 2 3 4 3 3 2 2" xfId="35486"/>
    <cellStyle name="常规 3 2 2 3 4 3 3 3" xfId="26062"/>
    <cellStyle name="常规 3 2 2 3 4 3 4" xfId="10366"/>
    <cellStyle name="常规 3 2 2 3 4 3 4 2" xfId="29214"/>
    <cellStyle name="常规 3 2 2 3 4 3 5" xfId="19790"/>
    <cellStyle name="常规 3 2 2 3 4 4" xfId="1730"/>
    <cellStyle name="常规 3 2 2 3 4 4 2" xfId="4866"/>
    <cellStyle name="常规 3 2 2 3 4 4 2 2" xfId="14286"/>
    <cellStyle name="常规 3 2 2 3 4 4 2 2 2" xfId="33134"/>
    <cellStyle name="常规 3 2 2 3 4 4 2 3" xfId="23710"/>
    <cellStyle name="常规 3 2 2 3 4 4 3" xfId="8002"/>
    <cellStyle name="常规 3 2 2 3 4 4 3 2" xfId="17422"/>
    <cellStyle name="常规 3 2 2 3 4 4 3 2 2" xfId="36270"/>
    <cellStyle name="常规 3 2 2 3 4 4 3 3" xfId="26846"/>
    <cellStyle name="常规 3 2 2 3 4 4 4" xfId="11150"/>
    <cellStyle name="常规 3 2 2 3 4 4 4 2" xfId="29998"/>
    <cellStyle name="常规 3 2 2 3 4 4 5" xfId="20574"/>
    <cellStyle name="常规 3 2 2 3 4 5" xfId="2514"/>
    <cellStyle name="常规 3 2 2 3 4 5 2" xfId="5650"/>
    <cellStyle name="常规 3 2 2 3 4 5 2 2" xfId="15070"/>
    <cellStyle name="常规 3 2 2 3 4 5 2 2 2" xfId="33918"/>
    <cellStyle name="常规 3 2 2 3 4 5 2 3" xfId="24494"/>
    <cellStyle name="常规 3 2 2 3 4 5 3" xfId="8786"/>
    <cellStyle name="常规 3 2 2 3 4 5 3 2" xfId="18206"/>
    <cellStyle name="常规 3 2 2 3 4 5 3 2 2" xfId="37054"/>
    <cellStyle name="常规 3 2 2 3 4 5 3 3" xfId="27630"/>
    <cellStyle name="常规 3 2 2 3 4 5 4" xfId="11934"/>
    <cellStyle name="常规 3 2 2 3 4 5 4 2" xfId="30782"/>
    <cellStyle name="常规 3 2 2 3 4 5 5" xfId="21358"/>
    <cellStyle name="常规 3 2 2 3 4 6" xfId="3354"/>
    <cellStyle name="常规 3 2 2 3 4 6 2" xfId="12774"/>
    <cellStyle name="常规 3 2 2 3 4 6 2 2" xfId="31622"/>
    <cellStyle name="常规 3 2 2 3 4 6 3" xfId="22198"/>
    <cellStyle name="常规 3 2 2 3 4 7" xfId="6434"/>
    <cellStyle name="常规 3 2 2 3 4 7 2" xfId="15854"/>
    <cellStyle name="常规 3 2 2 3 4 7 2 2" xfId="34702"/>
    <cellStyle name="常规 3 2 2 3 4 7 3" xfId="25278"/>
    <cellStyle name="常规 3 2 2 3 4 8" xfId="9581"/>
    <cellStyle name="常规 3 2 2 3 4 8 2" xfId="28426"/>
    <cellStyle name="常规 3 2 2 3 4 9" xfId="19004"/>
    <cellStyle name="常规 3 2 2 3 5" xfId="549"/>
    <cellStyle name="常规 3 2 2 3 5 2" xfId="1333"/>
    <cellStyle name="常规 3 2 2 3 5 2 2" xfId="4469"/>
    <cellStyle name="常规 3 2 2 3 5 2 2 2" xfId="13889"/>
    <cellStyle name="常规 3 2 2 3 5 2 2 2 2" xfId="32737"/>
    <cellStyle name="常规 3 2 2 3 5 2 2 3" xfId="23313"/>
    <cellStyle name="常规 3 2 2 3 5 2 3" xfId="7605"/>
    <cellStyle name="常规 3 2 2 3 5 2 3 2" xfId="17025"/>
    <cellStyle name="常规 3 2 2 3 5 2 3 2 2" xfId="35873"/>
    <cellStyle name="常规 3 2 2 3 5 2 3 3" xfId="26449"/>
    <cellStyle name="常规 3 2 2 3 5 2 4" xfId="10753"/>
    <cellStyle name="常规 3 2 2 3 5 2 4 2" xfId="29601"/>
    <cellStyle name="常规 3 2 2 3 5 2 5" xfId="20177"/>
    <cellStyle name="常规 3 2 2 3 5 3" xfId="2117"/>
    <cellStyle name="常规 3 2 2 3 5 3 2" xfId="5253"/>
    <cellStyle name="常规 3 2 2 3 5 3 2 2" xfId="14673"/>
    <cellStyle name="常规 3 2 2 3 5 3 2 2 2" xfId="33521"/>
    <cellStyle name="常规 3 2 2 3 5 3 2 3" xfId="24097"/>
    <cellStyle name="常规 3 2 2 3 5 3 3" xfId="8389"/>
    <cellStyle name="常规 3 2 2 3 5 3 3 2" xfId="17809"/>
    <cellStyle name="常规 3 2 2 3 5 3 3 2 2" xfId="36657"/>
    <cellStyle name="常规 3 2 2 3 5 3 3 3" xfId="27233"/>
    <cellStyle name="常规 3 2 2 3 5 3 4" xfId="11537"/>
    <cellStyle name="常规 3 2 2 3 5 3 4 2" xfId="30385"/>
    <cellStyle name="常规 3 2 2 3 5 3 5" xfId="20961"/>
    <cellStyle name="常规 3 2 2 3 5 4" xfId="2901"/>
    <cellStyle name="常规 3 2 2 3 5 4 2" xfId="6037"/>
    <cellStyle name="常规 3 2 2 3 5 4 2 2" xfId="15457"/>
    <cellStyle name="常规 3 2 2 3 5 4 2 2 2" xfId="34305"/>
    <cellStyle name="常规 3 2 2 3 5 4 2 3" xfId="24881"/>
    <cellStyle name="常规 3 2 2 3 5 4 3" xfId="9173"/>
    <cellStyle name="常规 3 2 2 3 5 4 3 2" xfId="18593"/>
    <cellStyle name="常规 3 2 2 3 5 4 3 2 2" xfId="37441"/>
    <cellStyle name="常规 3 2 2 3 5 4 3 3" xfId="28017"/>
    <cellStyle name="常规 3 2 2 3 5 4 4" xfId="12321"/>
    <cellStyle name="常规 3 2 2 3 5 4 4 2" xfId="31169"/>
    <cellStyle name="常规 3 2 2 3 5 4 5" xfId="21745"/>
    <cellStyle name="常规 3 2 2 3 5 5" xfId="3685"/>
    <cellStyle name="常规 3 2 2 3 5 5 2" xfId="13105"/>
    <cellStyle name="常规 3 2 2 3 5 5 2 2" xfId="31953"/>
    <cellStyle name="常规 3 2 2 3 5 5 3" xfId="22529"/>
    <cellStyle name="常规 3 2 2 3 5 6" xfId="6821"/>
    <cellStyle name="常规 3 2 2 3 5 6 2" xfId="16241"/>
    <cellStyle name="常规 3 2 2 3 5 6 2 2" xfId="35089"/>
    <cellStyle name="常规 3 2 2 3 5 6 3" xfId="25665"/>
    <cellStyle name="常规 3 2 2 3 5 7" xfId="9969"/>
    <cellStyle name="常规 3 2 2 3 5 7 2" xfId="28817"/>
    <cellStyle name="常规 3 2 2 3 5 8" xfId="19393"/>
    <cellStyle name="常规 3 2 2 3 6" xfId="939"/>
    <cellStyle name="常规 3 2 2 3 6 2" xfId="4075"/>
    <cellStyle name="常规 3 2 2 3 6 2 2" xfId="13495"/>
    <cellStyle name="常规 3 2 2 3 6 2 2 2" xfId="32343"/>
    <cellStyle name="常规 3 2 2 3 6 2 3" xfId="22919"/>
    <cellStyle name="常规 3 2 2 3 6 3" xfId="7211"/>
    <cellStyle name="常规 3 2 2 3 6 3 2" xfId="16631"/>
    <cellStyle name="常规 3 2 2 3 6 3 2 2" xfId="35479"/>
    <cellStyle name="常规 3 2 2 3 6 3 3" xfId="26055"/>
    <cellStyle name="常规 3 2 2 3 6 4" xfId="10359"/>
    <cellStyle name="常规 3 2 2 3 6 4 2" xfId="29207"/>
    <cellStyle name="常规 3 2 2 3 6 5" xfId="19783"/>
    <cellStyle name="常规 3 2 2 3 7" xfId="1723"/>
    <cellStyle name="常规 3 2 2 3 7 2" xfId="4859"/>
    <cellStyle name="常规 3 2 2 3 7 2 2" xfId="14279"/>
    <cellStyle name="常规 3 2 2 3 7 2 2 2" xfId="33127"/>
    <cellStyle name="常规 3 2 2 3 7 2 3" xfId="23703"/>
    <cellStyle name="常规 3 2 2 3 7 3" xfId="7995"/>
    <cellStyle name="常规 3 2 2 3 7 3 2" xfId="17415"/>
    <cellStyle name="常规 3 2 2 3 7 3 2 2" xfId="36263"/>
    <cellStyle name="常规 3 2 2 3 7 3 3" xfId="26839"/>
    <cellStyle name="常规 3 2 2 3 7 4" xfId="11143"/>
    <cellStyle name="常规 3 2 2 3 7 4 2" xfId="29991"/>
    <cellStyle name="常规 3 2 2 3 7 5" xfId="20567"/>
    <cellStyle name="常规 3 2 2 3 8" xfId="2507"/>
    <cellStyle name="常规 3 2 2 3 8 2" xfId="5643"/>
    <cellStyle name="常规 3 2 2 3 8 2 2" xfId="15063"/>
    <cellStyle name="常规 3 2 2 3 8 2 2 2" xfId="33911"/>
    <cellStyle name="常规 3 2 2 3 8 2 3" xfId="24487"/>
    <cellStyle name="常规 3 2 2 3 8 3" xfId="8779"/>
    <cellStyle name="常规 3 2 2 3 8 3 2" xfId="18199"/>
    <cellStyle name="常规 3 2 2 3 8 3 2 2" xfId="37047"/>
    <cellStyle name="常规 3 2 2 3 8 3 3" xfId="27623"/>
    <cellStyle name="常规 3 2 2 3 8 4" xfId="11927"/>
    <cellStyle name="常规 3 2 2 3 8 4 2" xfId="30775"/>
    <cellStyle name="常规 3 2 2 3 8 5" xfId="21351"/>
    <cellStyle name="常规 3 2 2 3 9" xfId="3165"/>
    <cellStyle name="常规 3 2 2 3 9 2" xfId="12585"/>
    <cellStyle name="常规 3 2 2 3 9 2 2" xfId="31433"/>
    <cellStyle name="常规 3 2 2 3 9 3" xfId="22009"/>
    <cellStyle name="常规 3 2 2 4" xfId="159"/>
    <cellStyle name="常规 3 2 2 4 10" xfId="9582"/>
    <cellStyle name="常规 3 2 2 4 10 2" xfId="28427"/>
    <cellStyle name="常规 3 2 2 4 11" xfId="19005"/>
    <cellStyle name="常规 3 2 2 4 2" xfId="160"/>
    <cellStyle name="常规 3 2 2 4 2 10" xfId="19006"/>
    <cellStyle name="常规 3 2 2 4 2 2" xfId="161"/>
    <cellStyle name="常规 3 2 2 4 2 2 2" xfId="559"/>
    <cellStyle name="常规 3 2 2 4 2 2 2 2" xfId="1343"/>
    <cellStyle name="常规 3 2 2 4 2 2 2 2 2" xfId="4479"/>
    <cellStyle name="常规 3 2 2 4 2 2 2 2 2 2" xfId="13899"/>
    <cellStyle name="常规 3 2 2 4 2 2 2 2 2 2 2" xfId="32747"/>
    <cellStyle name="常规 3 2 2 4 2 2 2 2 2 3" xfId="23323"/>
    <cellStyle name="常规 3 2 2 4 2 2 2 2 3" xfId="7615"/>
    <cellStyle name="常规 3 2 2 4 2 2 2 2 3 2" xfId="17035"/>
    <cellStyle name="常规 3 2 2 4 2 2 2 2 3 2 2" xfId="35883"/>
    <cellStyle name="常规 3 2 2 4 2 2 2 2 3 3" xfId="26459"/>
    <cellStyle name="常规 3 2 2 4 2 2 2 2 4" xfId="10763"/>
    <cellStyle name="常规 3 2 2 4 2 2 2 2 4 2" xfId="29611"/>
    <cellStyle name="常规 3 2 2 4 2 2 2 2 5" xfId="20187"/>
    <cellStyle name="常规 3 2 2 4 2 2 2 3" xfId="2127"/>
    <cellStyle name="常规 3 2 2 4 2 2 2 3 2" xfId="5263"/>
    <cellStyle name="常规 3 2 2 4 2 2 2 3 2 2" xfId="14683"/>
    <cellStyle name="常规 3 2 2 4 2 2 2 3 2 2 2" xfId="33531"/>
    <cellStyle name="常规 3 2 2 4 2 2 2 3 2 3" xfId="24107"/>
    <cellStyle name="常规 3 2 2 4 2 2 2 3 3" xfId="8399"/>
    <cellStyle name="常规 3 2 2 4 2 2 2 3 3 2" xfId="17819"/>
    <cellStyle name="常规 3 2 2 4 2 2 2 3 3 2 2" xfId="36667"/>
    <cellStyle name="常规 3 2 2 4 2 2 2 3 3 3" xfId="27243"/>
    <cellStyle name="常规 3 2 2 4 2 2 2 3 4" xfId="11547"/>
    <cellStyle name="常规 3 2 2 4 2 2 2 3 4 2" xfId="30395"/>
    <cellStyle name="常规 3 2 2 4 2 2 2 3 5" xfId="20971"/>
    <cellStyle name="常规 3 2 2 4 2 2 2 4" xfId="2911"/>
    <cellStyle name="常规 3 2 2 4 2 2 2 4 2" xfId="6047"/>
    <cellStyle name="常规 3 2 2 4 2 2 2 4 2 2" xfId="15467"/>
    <cellStyle name="常规 3 2 2 4 2 2 2 4 2 2 2" xfId="34315"/>
    <cellStyle name="常规 3 2 2 4 2 2 2 4 2 3" xfId="24891"/>
    <cellStyle name="常规 3 2 2 4 2 2 2 4 3" xfId="9183"/>
    <cellStyle name="常规 3 2 2 4 2 2 2 4 3 2" xfId="18603"/>
    <cellStyle name="常规 3 2 2 4 2 2 2 4 3 2 2" xfId="37451"/>
    <cellStyle name="常规 3 2 2 4 2 2 2 4 3 3" xfId="28027"/>
    <cellStyle name="常规 3 2 2 4 2 2 2 4 4" xfId="12331"/>
    <cellStyle name="常规 3 2 2 4 2 2 2 4 4 2" xfId="31179"/>
    <cellStyle name="常规 3 2 2 4 2 2 2 4 5" xfId="21755"/>
    <cellStyle name="常规 3 2 2 4 2 2 2 5" xfId="3695"/>
    <cellStyle name="常规 3 2 2 4 2 2 2 5 2" xfId="13115"/>
    <cellStyle name="常规 3 2 2 4 2 2 2 5 2 2" xfId="31963"/>
    <cellStyle name="常规 3 2 2 4 2 2 2 5 3" xfId="22539"/>
    <cellStyle name="常规 3 2 2 4 2 2 2 6" xfId="6831"/>
    <cellStyle name="常规 3 2 2 4 2 2 2 6 2" xfId="16251"/>
    <cellStyle name="常规 3 2 2 4 2 2 2 6 2 2" xfId="35099"/>
    <cellStyle name="常规 3 2 2 4 2 2 2 6 3" xfId="25675"/>
    <cellStyle name="常规 3 2 2 4 2 2 2 7" xfId="9979"/>
    <cellStyle name="常规 3 2 2 4 2 2 2 7 2" xfId="28827"/>
    <cellStyle name="常规 3 2 2 4 2 2 2 8" xfId="19403"/>
    <cellStyle name="常规 3 2 2 4 2 2 3" xfId="949"/>
    <cellStyle name="常规 3 2 2 4 2 2 3 2" xfId="4085"/>
    <cellStyle name="常规 3 2 2 4 2 2 3 2 2" xfId="13505"/>
    <cellStyle name="常规 3 2 2 4 2 2 3 2 2 2" xfId="32353"/>
    <cellStyle name="常规 3 2 2 4 2 2 3 2 3" xfId="22929"/>
    <cellStyle name="常规 3 2 2 4 2 2 3 3" xfId="7221"/>
    <cellStyle name="常规 3 2 2 4 2 2 3 3 2" xfId="16641"/>
    <cellStyle name="常规 3 2 2 4 2 2 3 3 2 2" xfId="35489"/>
    <cellStyle name="常规 3 2 2 4 2 2 3 3 3" xfId="26065"/>
    <cellStyle name="常规 3 2 2 4 2 2 3 4" xfId="10369"/>
    <cellStyle name="常规 3 2 2 4 2 2 3 4 2" xfId="29217"/>
    <cellStyle name="常规 3 2 2 4 2 2 3 5" xfId="19793"/>
    <cellStyle name="常规 3 2 2 4 2 2 4" xfId="1733"/>
    <cellStyle name="常规 3 2 2 4 2 2 4 2" xfId="4869"/>
    <cellStyle name="常规 3 2 2 4 2 2 4 2 2" xfId="14289"/>
    <cellStyle name="常规 3 2 2 4 2 2 4 2 2 2" xfId="33137"/>
    <cellStyle name="常规 3 2 2 4 2 2 4 2 3" xfId="23713"/>
    <cellStyle name="常规 3 2 2 4 2 2 4 3" xfId="8005"/>
    <cellStyle name="常规 3 2 2 4 2 2 4 3 2" xfId="17425"/>
    <cellStyle name="常规 3 2 2 4 2 2 4 3 2 2" xfId="36273"/>
    <cellStyle name="常规 3 2 2 4 2 2 4 3 3" xfId="26849"/>
    <cellStyle name="常规 3 2 2 4 2 2 4 4" xfId="11153"/>
    <cellStyle name="常规 3 2 2 4 2 2 4 4 2" xfId="30001"/>
    <cellStyle name="常规 3 2 2 4 2 2 4 5" xfId="20577"/>
    <cellStyle name="常规 3 2 2 4 2 2 5" xfId="2517"/>
    <cellStyle name="常规 3 2 2 4 2 2 5 2" xfId="5653"/>
    <cellStyle name="常规 3 2 2 4 2 2 5 2 2" xfId="15073"/>
    <cellStyle name="常规 3 2 2 4 2 2 5 2 2 2" xfId="33921"/>
    <cellStyle name="常规 3 2 2 4 2 2 5 2 3" xfId="24497"/>
    <cellStyle name="常规 3 2 2 4 2 2 5 3" xfId="8789"/>
    <cellStyle name="常规 3 2 2 4 2 2 5 3 2" xfId="18209"/>
    <cellStyle name="常规 3 2 2 4 2 2 5 3 2 2" xfId="37057"/>
    <cellStyle name="常规 3 2 2 4 2 2 5 3 3" xfId="27633"/>
    <cellStyle name="常规 3 2 2 4 2 2 5 4" xfId="11937"/>
    <cellStyle name="常规 3 2 2 4 2 2 5 4 2" xfId="30785"/>
    <cellStyle name="常规 3 2 2 4 2 2 5 5" xfId="21361"/>
    <cellStyle name="常规 3 2 2 4 2 2 6" xfId="3356"/>
    <cellStyle name="常规 3 2 2 4 2 2 6 2" xfId="12776"/>
    <cellStyle name="常规 3 2 2 4 2 2 6 2 2" xfId="31624"/>
    <cellStyle name="常规 3 2 2 4 2 2 6 3" xfId="22200"/>
    <cellStyle name="常规 3 2 2 4 2 2 7" xfId="6437"/>
    <cellStyle name="常规 3 2 2 4 2 2 7 2" xfId="15857"/>
    <cellStyle name="常规 3 2 2 4 2 2 7 2 2" xfId="34705"/>
    <cellStyle name="常规 3 2 2 4 2 2 7 3" xfId="25281"/>
    <cellStyle name="常规 3 2 2 4 2 2 8" xfId="9584"/>
    <cellStyle name="常规 3 2 2 4 2 2 8 2" xfId="28429"/>
    <cellStyle name="常规 3 2 2 4 2 2 9" xfId="19007"/>
    <cellStyle name="常规 3 2 2 4 2 3" xfId="558"/>
    <cellStyle name="常规 3 2 2 4 2 3 2" xfId="1342"/>
    <cellStyle name="常规 3 2 2 4 2 3 2 2" xfId="4478"/>
    <cellStyle name="常规 3 2 2 4 2 3 2 2 2" xfId="13898"/>
    <cellStyle name="常规 3 2 2 4 2 3 2 2 2 2" xfId="32746"/>
    <cellStyle name="常规 3 2 2 4 2 3 2 2 3" xfId="23322"/>
    <cellStyle name="常规 3 2 2 4 2 3 2 3" xfId="7614"/>
    <cellStyle name="常规 3 2 2 4 2 3 2 3 2" xfId="17034"/>
    <cellStyle name="常规 3 2 2 4 2 3 2 3 2 2" xfId="35882"/>
    <cellStyle name="常规 3 2 2 4 2 3 2 3 3" xfId="26458"/>
    <cellStyle name="常规 3 2 2 4 2 3 2 4" xfId="10762"/>
    <cellStyle name="常规 3 2 2 4 2 3 2 4 2" xfId="29610"/>
    <cellStyle name="常规 3 2 2 4 2 3 2 5" xfId="20186"/>
    <cellStyle name="常规 3 2 2 4 2 3 3" xfId="2126"/>
    <cellStyle name="常规 3 2 2 4 2 3 3 2" xfId="5262"/>
    <cellStyle name="常规 3 2 2 4 2 3 3 2 2" xfId="14682"/>
    <cellStyle name="常规 3 2 2 4 2 3 3 2 2 2" xfId="33530"/>
    <cellStyle name="常规 3 2 2 4 2 3 3 2 3" xfId="24106"/>
    <cellStyle name="常规 3 2 2 4 2 3 3 3" xfId="8398"/>
    <cellStyle name="常规 3 2 2 4 2 3 3 3 2" xfId="17818"/>
    <cellStyle name="常规 3 2 2 4 2 3 3 3 2 2" xfId="36666"/>
    <cellStyle name="常规 3 2 2 4 2 3 3 3 3" xfId="27242"/>
    <cellStyle name="常规 3 2 2 4 2 3 3 4" xfId="11546"/>
    <cellStyle name="常规 3 2 2 4 2 3 3 4 2" xfId="30394"/>
    <cellStyle name="常规 3 2 2 4 2 3 3 5" xfId="20970"/>
    <cellStyle name="常规 3 2 2 4 2 3 4" xfId="2910"/>
    <cellStyle name="常规 3 2 2 4 2 3 4 2" xfId="6046"/>
    <cellStyle name="常规 3 2 2 4 2 3 4 2 2" xfId="15466"/>
    <cellStyle name="常规 3 2 2 4 2 3 4 2 2 2" xfId="34314"/>
    <cellStyle name="常规 3 2 2 4 2 3 4 2 3" xfId="24890"/>
    <cellStyle name="常规 3 2 2 4 2 3 4 3" xfId="9182"/>
    <cellStyle name="常规 3 2 2 4 2 3 4 3 2" xfId="18602"/>
    <cellStyle name="常规 3 2 2 4 2 3 4 3 2 2" xfId="37450"/>
    <cellStyle name="常规 3 2 2 4 2 3 4 3 3" xfId="28026"/>
    <cellStyle name="常规 3 2 2 4 2 3 4 4" xfId="12330"/>
    <cellStyle name="常规 3 2 2 4 2 3 4 4 2" xfId="31178"/>
    <cellStyle name="常规 3 2 2 4 2 3 4 5" xfId="21754"/>
    <cellStyle name="常规 3 2 2 4 2 3 5" xfId="3694"/>
    <cellStyle name="常规 3 2 2 4 2 3 5 2" xfId="13114"/>
    <cellStyle name="常规 3 2 2 4 2 3 5 2 2" xfId="31962"/>
    <cellStyle name="常规 3 2 2 4 2 3 5 3" xfId="22538"/>
    <cellStyle name="常规 3 2 2 4 2 3 6" xfId="6830"/>
    <cellStyle name="常规 3 2 2 4 2 3 6 2" xfId="16250"/>
    <cellStyle name="常规 3 2 2 4 2 3 6 2 2" xfId="35098"/>
    <cellStyle name="常规 3 2 2 4 2 3 6 3" xfId="25674"/>
    <cellStyle name="常规 3 2 2 4 2 3 7" xfId="9978"/>
    <cellStyle name="常规 3 2 2 4 2 3 7 2" xfId="28826"/>
    <cellStyle name="常规 3 2 2 4 2 3 8" xfId="19402"/>
    <cellStyle name="常规 3 2 2 4 2 4" xfId="948"/>
    <cellStyle name="常规 3 2 2 4 2 4 2" xfId="4084"/>
    <cellStyle name="常规 3 2 2 4 2 4 2 2" xfId="13504"/>
    <cellStyle name="常规 3 2 2 4 2 4 2 2 2" xfId="32352"/>
    <cellStyle name="常规 3 2 2 4 2 4 2 3" xfId="22928"/>
    <cellStyle name="常规 3 2 2 4 2 4 3" xfId="7220"/>
    <cellStyle name="常规 3 2 2 4 2 4 3 2" xfId="16640"/>
    <cellStyle name="常规 3 2 2 4 2 4 3 2 2" xfId="35488"/>
    <cellStyle name="常规 3 2 2 4 2 4 3 3" xfId="26064"/>
    <cellStyle name="常规 3 2 2 4 2 4 4" xfId="10368"/>
    <cellStyle name="常规 3 2 2 4 2 4 4 2" xfId="29216"/>
    <cellStyle name="常规 3 2 2 4 2 4 5" xfId="19792"/>
    <cellStyle name="常规 3 2 2 4 2 5" xfId="1732"/>
    <cellStyle name="常规 3 2 2 4 2 5 2" xfId="4868"/>
    <cellStyle name="常规 3 2 2 4 2 5 2 2" xfId="14288"/>
    <cellStyle name="常规 3 2 2 4 2 5 2 2 2" xfId="33136"/>
    <cellStyle name="常规 3 2 2 4 2 5 2 3" xfId="23712"/>
    <cellStyle name="常规 3 2 2 4 2 5 3" xfId="8004"/>
    <cellStyle name="常规 3 2 2 4 2 5 3 2" xfId="17424"/>
    <cellStyle name="常规 3 2 2 4 2 5 3 2 2" xfId="36272"/>
    <cellStyle name="常规 3 2 2 4 2 5 3 3" xfId="26848"/>
    <cellStyle name="常规 3 2 2 4 2 5 4" xfId="11152"/>
    <cellStyle name="常规 3 2 2 4 2 5 4 2" xfId="30000"/>
    <cellStyle name="常规 3 2 2 4 2 5 5" xfId="20576"/>
    <cellStyle name="常规 3 2 2 4 2 6" xfId="2516"/>
    <cellStyle name="常规 3 2 2 4 2 6 2" xfId="5652"/>
    <cellStyle name="常规 3 2 2 4 2 6 2 2" xfId="15072"/>
    <cellStyle name="常规 3 2 2 4 2 6 2 2 2" xfId="33920"/>
    <cellStyle name="常规 3 2 2 4 2 6 2 3" xfId="24496"/>
    <cellStyle name="常规 3 2 2 4 2 6 3" xfId="8788"/>
    <cellStyle name="常规 3 2 2 4 2 6 3 2" xfId="18208"/>
    <cellStyle name="常规 3 2 2 4 2 6 3 2 2" xfId="37056"/>
    <cellStyle name="常规 3 2 2 4 2 6 3 3" xfId="27632"/>
    <cellStyle name="常规 3 2 2 4 2 6 4" xfId="11936"/>
    <cellStyle name="常规 3 2 2 4 2 6 4 2" xfId="30784"/>
    <cellStyle name="常规 3 2 2 4 2 6 5" xfId="21360"/>
    <cellStyle name="常规 3 2 2 4 2 7" xfId="3355"/>
    <cellStyle name="常规 3 2 2 4 2 7 2" xfId="12775"/>
    <cellStyle name="常规 3 2 2 4 2 7 2 2" xfId="31623"/>
    <cellStyle name="常规 3 2 2 4 2 7 3" xfId="22199"/>
    <cellStyle name="常规 3 2 2 4 2 8" xfId="6436"/>
    <cellStyle name="常规 3 2 2 4 2 8 2" xfId="15856"/>
    <cellStyle name="常规 3 2 2 4 2 8 2 2" xfId="34704"/>
    <cellStyle name="常规 3 2 2 4 2 8 3" xfId="25280"/>
    <cellStyle name="常规 3 2 2 4 2 9" xfId="9583"/>
    <cellStyle name="常规 3 2 2 4 2 9 2" xfId="28428"/>
    <cellStyle name="常规 3 2 2 4 3" xfId="162"/>
    <cellStyle name="常规 3 2 2 4 3 2" xfId="560"/>
    <cellStyle name="常规 3 2 2 4 3 2 2" xfId="1344"/>
    <cellStyle name="常规 3 2 2 4 3 2 2 2" xfId="4480"/>
    <cellStyle name="常规 3 2 2 4 3 2 2 2 2" xfId="13900"/>
    <cellStyle name="常规 3 2 2 4 3 2 2 2 2 2" xfId="32748"/>
    <cellStyle name="常规 3 2 2 4 3 2 2 2 3" xfId="23324"/>
    <cellStyle name="常规 3 2 2 4 3 2 2 3" xfId="7616"/>
    <cellStyle name="常规 3 2 2 4 3 2 2 3 2" xfId="17036"/>
    <cellStyle name="常规 3 2 2 4 3 2 2 3 2 2" xfId="35884"/>
    <cellStyle name="常规 3 2 2 4 3 2 2 3 3" xfId="26460"/>
    <cellStyle name="常规 3 2 2 4 3 2 2 4" xfId="10764"/>
    <cellStyle name="常规 3 2 2 4 3 2 2 4 2" xfId="29612"/>
    <cellStyle name="常规 3 2 2 4 3 2 2 5" xfId="20188"/>
    <cellStyle name="常规 3 2 2 4 3 2 3" xfId="2128"/>
    <cellStyle name="常规 3 2 2 4 3 2 3 2" xfId="5264"/>
    <cellStyle name="常规 3 2 2 4 3 2 3 2 2" xfId="14684"/>
    <cellStyle name="常规 3 2 2 4 3 2 3 2 2 2" xfId="33532"/>
    <cellStyle name="常规 3 2 2 4 3 2 3 2 3" xfId="24108"/>
    <cellStyle name="常规 3 2 2 4 3 2 3 3" xfId="8400"/>
    <cellStyle name="常规 3 2 2 4 3 2 3 3 2" xfId="17820"/>
    <cellStyle name="常规 3 2 2 4 3 2 3 3 2 2" xfId="36668"/>
    <cellStyle name="常规 3 2 2 4 3 2 3 3 3" xfId="27244"/>
    <cellStyle name="常规 3 2 2 4 3 2 3 4" xfId="11548"/>
    <cellStyle name="常规 3 2 2 4 3 2 3 4 2" xfId="30396"/>
    <cellStyle name="常规 3 2 2 4 3 2 3 5" xfId="20972"/>
    <cellStyle name="常规 3 2 2 4 3 2 4" xfId="2912"/>
    <cellStyle name="常规 3 2 2 4 3 2 4 2" xfId="6048"/>
    <cellStyle name="常规 3 2 2 4 3 2 4 2 2" xfId="15468"/>
    <cellStyle name="常规 3 2 2 4 3 2 4 2 2 2" xfId="34316"/>
    <cellStyle name="常规 3 2 2 4 3 2 4 2 3" xfId="24892"/>
    <cellStyle name="常规 3 2 2 4 3 2 4 3" xfId="9184"/>
    <cellStyle name="常规 3 2 2 4 3 2 4 3 2" xfId="18604"/>
    <cellStyle name="常规 3 2 2 4 3 2 4 3 2 2" xfId="37452"/>
    <cellStyle name="常规 3 2 2 4 3 2 4 3 3" xfId="28028"/>
    <cellStyle name="常规 3 2 2 4 3 2 4 4" xfId="12332"/>
    <cellStyle name="常规 3 2 2 4 3 2 4 4 2" xfId="31180"/>
    <cellStyle name="常规 3 2 2 4 3 2 4 5" xfId="21756"/>
    <cellStyle name="常规 3 2 2 4 3 2 5" xfId="3696"/>
    <cellStyle name="常规 3 2 2 4 3 2 5 2" xfId="13116"/>
    <cellStyle name="常规 3 2 2 4 3 2 5 2 2" xfId="31964"/>
    <cellStyle name="常规 3 2 2 4 3 2 5 3" xfId="22540"/>
    <cellStyle name="常规 3 2 2 4 3 2 6" xfId="6832"/>
    <cellStyle name="常规 3 2 2 4 3 2 6 2" xfId="16252"/>
    <cellStyle name="常规 3 2 2 4 3 2 6 2 2" xfId="35100"/>
    <cellStyle name="常规 3 2 2 4 3 2 6 3" xfId="25676"/>
    <cellStyle name="常规 3 2 2 4 3 2 7" xfId="9980"/>
    <cellStyle name="常规 3 2 2 4 3 2 7 2" xfId="28828"/>
    <cellStyle name="常规 3 2 2 4 3 2 8" xfId="19404"/>
    <cellStyle name="常规 3 2 2 4 3 3" xfId="950"/>
    <cellStyle name="常规 3 2 2 4 3 3 2" xfId="4086"/>
    <cellStyle name="常规 3 2 2 4 3 3 2 2" xfId="13506"/>
    <cellStyle name="常规 3 2 2 4 3 3 2 2 2" xfId="32354"/>
    <cellStyle name="常规 3 2 2 4 3 3 2 3" xfId="22930"/>
    <cellStyle name="常规 3 2 2 4 3 3 3" xfId="7222"/>
    <cellStyle name="常规 3 2 2 4 3 3 3 2" xfId="16642"/>
    <cellStyle name="常规 3 2 2 4 3 3 3 2 2" xfId="35490"/>
    <cellStyle name="常规 3 2 2 4 3 3 3 3" xfId="26066"/>
    <cellStyle name="常规 3 2 2 4 3 3 4" xfId="10370"/>
    <cellStyle name="常规 3 2 2 4 3 3 4 2" xfId="29218"/>
    <cellStyle name="常规 3 2 2 4 3 3 5" xfId="19794"/>
    <cellStyle name="常规 3 2 2 4 3 4" xfId="1734"/>
    <cellStyle name="常规 3 2 2 4 3 4 2" xfId="4870"/>
    <cellStyle name="常规 3 2 2 4 3 4 2 2" xfId="14290"/>
    <cellStyle name="常规 3 2 2 4 3 4 2 2 2" xfId="33138"/>
    <cellStyle name="常规 3 2 2 4 3 4 2 3" xfId="23714"/>
    <cellStyle name="常规 3 2 2 4 3 4 3" xfId="8006"/>
    <cellStyle name="常规 3 2 2 4 3 4 3 2" xfId="17426"/>
    <cellStyle name="常规 3 2 2 4 3 4 3 2 2" xfId="36274"/>
    <cellStyle name="常规 3 2 2 4 3 4 3 3" xfId="26850"/>
    <cellStyle name="常规 3 2 2 4 3 4 4" xfId="11154"/>
    <cellStyle name="常规 3 2 2 4 3 4 4 2" xfId="30002"/>
    <cellStyle name="常规 3 2 2 4 3 4 5" xfId="20578"/>
    <cellStyle name="常规 3 2 2 4 3 5" xfId="2518"/>
    <cellStyle name="常规 3 2 2 4 3 5 2" xfId="5654"/>
    <cellStyle name="常规 3 2 2 4 3 5 2 2" xfId="15074"/>
    <cellStyle name="常规 3 2 2 4 3 5 2 2 2" xfId="33922"/>
    <cellStyle name="常规 3 2 2 4 3 5 2 3" xfId="24498"/>
    <cellStyle name="常规 3 2 2 4 3 5 3" xfId="8790"/>
    <cellStyle name="常规 3 2 2 4 3 5 3 2" xfId="18210"/>
    <cellStyle name="常规 3 2 2 4 3 5 3 2 2" xfId="37058"/>
    <cellStyle name="常规 3 2 2 4 3 5 3 3" xfId="27634"/>
    <cellStyle name="常规 3 2 2 4 3 5 4" xfId="11938"/>
    <cellStyle name="常规 3 2 2 4 3 5 4 2" xfId="30786"/>
    <cellStyle name="常规 3 2 2 4 3 5 5" xfId="21362"/>
    <cellStyle name="常规 3 2 2 4 3 6" xfId="3357"/>
    <cellStyle name="常规 3 2 2 4 3 6 2" xfId="12777"/>
    <cellStyle name="常规 3 2 2 4 3 6 2 2" xfId="31625"/>
    <cellStyle name="常规 3 2 2 4 3 6 3" xfId="22201"/>
    <cellStyle name="常规 3 2 2 4 3 7" xfId="6438"/>
    <cellStyle name="常规 3 2 2 4 3 7 2" xfId="15858"/>
    <cellStyle name="常规 3 2 2 4 3 7 2 2" xfId="34706"/>
    <cellStyle name="常规 3 2 2 4 3 7 3" xfId="25282"/>
    <cellStyle name="常规 3 2 2 4 3 8" xfId="9585"/>
    <cellStyle name="常规 3 2 2 4 3 8 2" xfId="28430"/>
    <cellStyle name="常规 3 2 2 4 3 9" xfId="19008"/>
    <cellStyle name="常规 3 2 2 4 4" xfId="557"/>
    <cellStyle name="常规 3 2 2 4 4 2" xfId="1341"/>
    <cellStyle name="常规 3 2 2 4 4 2 2" xfId="4477"/>
    <cellStyle name="常规 3 2 2 4 4 2 2 2" xfId="13897"/>
    <cellStyle name="常规 3 2 2 4 4 2 2 2 2" xfId="32745"/>
    <cellStyle name="常规 3 2 2 4 4 2 2 3" xfId="23321"/>
    <cellStyle name="常规 3 2 2 4 4 2 3" xfId="7613"/>
    <cellStyle name="常规 3 2 2 4 4 2 3 2" xfId="17033"/>
    <cellStyle name="常规 3 2 2 4 4 2 3 2 2" xfId="35881"/>
    <cellStyle name="常规 3 2 2 4 4 2 3 3" xfId="26457"/>
    <cellStyle name="常规 3 2 2 4 4 2 4" xfId="10761"/>
    <cellStyle name="常规 3 2 2 4 4 2 4 2" xfId="29609"/>
    <cellStyle name="常规 3 2 2 4 4 2 5" xfId="20185"/>
    <cellStyle name="常规 3 2 2 4 4 3" xfId="2125"/>
    <cellStyle name="常规 3 2 2 4 4 3 2" xfId="5261"/>
    <cellStyle name="常规 3 2 2 4 4 3 2 2" xfId="14681"/>
    <cellStyle name="常规 3 2 2 4 4 3 2 2 2" xfId="33529"/>
    <cellStyle name="常规 3 2 2 4 4 3 2 3" xfId="24105"/>
    <cellStyle name="常规 3 2 2 4 4 3 3" xfId="8397"/>
    <cellStyle name="常规 3 2 2 4 4 3 3 2" xfId="17817"/>
    <cellStyle name="常规 3 2 2 4 4 3 3 2 2" xfId="36665"/>
    <cellStyle name="常规 3 2 2 4 4 3 3 3" xfId="27241"/>
    <cellStyle name="常规 3 2 2 4 4 3 4" xfId="11545"/>
    <cellStyle name="常规 3 2 2 4 4 3 4 2" xfId="30393"/>
    <cellStyle name="常规 3 2 2 4 4 3 5" xfId="20969"/>
    <cellStyle name="常规 3 2 2 4 4 4" xfId="2909"/>
    <cellStyle name="常规 3 2 2 4 4 4 2" xfId="6045"/>
    <cellStyle name="常规 3 2 2 4 4 4 2 2" xfId="15465"/>
    <cellStyle name="常规 3 2 2 4 4 4 2 2 2" xfId="34313"/>
    <cellStyle name="常规 3 2 2 4 4 4 2 3" xfId="24889"/>
    <cellStyle name="常规 3 2 2 4 4 4 3" xfId="9181"/>
    <cellStyle name="常规 3 2 2 4 4 4 3 2" xfId="18601"/>
    <cellStyle name="常规 3 2 2 4 4 4 3 2 2" xfId="37449"/>
    <cellStyle name="常规 3 2 2 4 4 4 3 3" xfId="28025"/>
    <cellStyle name="常规 3 2 2 4 4 4 4" xfId="12329"/>
    <cellStyle name="常规 3 2 2 4 4 4 4 2" xfId="31177"/>
    <cellStyle name="常规 3 2 2 4 4 4 5" xfId="21753"/>
    <cellStyle name="常规 3 2 2 4 4 5" xfId="3693"/>
    <cellStyle name="常规 3 2 2 4 4 5 2" xfId="13113"/>
    <cellStyle name="常规 3 2 2 4 4 5 2 2" xfId="31961"/>
    <cellStyle name="常规 3 2 2 4 4 5 3" xfId="22537"/>
    <cellStyle name="常规 3 2 2 4 4 6" xfId="6829"/>
    <cellStyle name="常规 3 2 2 4 4 6 2" xfId="16249"/>
    <cellStyle name="常规 3 2 2 4 4 6 2 2" xfId="35097"/>
    <cellStyle name="常规 3 2 2 4 4 6 3" xfId="25673"/>
    <cellStyle name="常规 3 2 2 4 4 7" xfId="9977"/>
    <cellStyle name="常规 3 2 2 4 4 7 2" xfId="28825"/>
    <cellStyle name="常规 3 2 2 4 4 8" xfId="19401"/>
    <cellStyle name="常规 3 2 2 4 5" xfId="947"/>
    <cellStyle name="常规 3 2 2 4 5 2" xfId="4083"/>
    <cellStyle name="常规 3 2 2 4 5 2 2" xfId="13503"/>
    <cellStyle name="常规 3 2 2 4 5 2 2 2" xfId="32351"/>
    <cellStyle name="常规 3 2 2 4 5 2 3" xfId="22927"/>
    <cellStyle name="常规 3 2 2 4 5 3" xfId="7219"/>
    <cellStyle name="常规 3 2 2 4 5 3 2" xfId="16639"/>
    <cellStyle name="常规 3 2 2 4 5 3 2 2" xfId="35487"/>
    <cellStyle name="常规 3 2 2 4 5 3 3" xfId="26063"/>
    <cellStyle name="常规 3 2 2 4 5 4" xfId="10367"/>
    <cellStyle name="常规 3 2 2 4 5 4 2" xfId="29215"/>
    <cellStyle name="常规 3 2 2 4 5 5" xfId="19791"/>
    <cellStyle name="常规 3 2 2 4 6" xfId="1731"/>
    <cellStyle name="常规 3 2 2 4 6 2" xfId="4867"/>
    <cellStyle name="常规 3 2 2 4 6 2 2" xfId="14287"/>
    <cellStyle name="常规 3 2 2 4 6 2 2 2" xfId="33135"/>
    <cellStyle name="常规 3 2 2 4 6 2 3" xfId="23711"/>
    <cellStyle name="常规 3 2 2 4 6 3" xfId="8003"/>
    <cellStyle name="常规 3 2 2 4 6 3 2" xfId="17423"/>
    <cellStyle name="常规 3 2 2 4 6 3 2 2" xfId="36271"/>
    <cellStyle name="常规 3 2 2 4 6 3 3" xfId="26847"/>
    <cellStyle name="常规 3 2 2 4 6 4" xfId="11151"/>
    <cellStyle name="常规 3 2 2 4 6 4 2" xfId="29999"/>
    <cellStyle name="常规 3 2 2 4 6 5" xfId="20575"/>
    <cellStyle name="常规 3 2 2 4 7" xfId="2515"/>
    <cellStyle name="常规 3 2 2 4 7 2" xfId="5651"/>
    <cellStyle name="常规 3 2 2 4 7 2 2" xfId="15071"/>
    <cellStyle name="常规 3 2 2 4 7 2 2 2" xfId="33919"/>
    <cellStyle name="常规 3 2 2 4 7 2 3" xfId="24495"/>
    <cellStyle name="常规 3 2 2 4 7 3" xfId="8787"/>
    <cellStyle name="常规 3 2 2 4 7 3 2" xfId="18207"/>
    <cellStyle name="常规 3 2 2 4 7 3 2 2" xfId="37055"/>
    <cellStyle name="常规 3 2 2 4 7 3 3" xfId="27631"/>
    <cellStyle name="常规 3 2 2 4 7 4" xfId="11935"/>
    <cellStyle name="常规 3 2 2 4 7 4 2" xfId="30783"/>
    <cellStyle name="常规 3 2 2 4 7 5" xfId="21359"/>
    <cellStyle name="常规 3 2 2 4 8" xfId="3210"/>
    <cellStyle name="常规 3 2 2 4 8 2" xfId="12630"/>
    <cellStyle name="常规 3 2 2 4 8 2 2" xfId="31478"/>
    <cellStyle name="常规 3 2 2 4 8 3" xfId="22054"/>
    <cellStyle name="常规 3 2 2 4 9" xfId="6435"/>
    <cellStyle name="常规 3 2 2 4 9 2" xfId="15855"/>
    <cellStyle name="常规 3 2 2 4 9 2 2" xfId="34703"/>
    <cellStyle name="常规 3 2 2 4 9 3" xfId="25279"/>
    <cellStyle name="常规 3 2 2 5" xfId="163"/>
    <cellStyle name="常规 3 2 2 5 10" xfId="19009"/>
    <cellStyle name="常规 3 2 2 5 2" xfId="164"/>
    <cellStyle name="常规 3 2 2 5 2 2" xfId="562"/>
    <cellStyle name="常规 3 2 2 5 2 2 2" xfId="1346"/>
    <cellStyle name="常规 3 2 2 5 2 2 2 2" xfId="4482"/>
    <cellStyle name="常规 3 2 2 5 2 2 2 2 2" xfId="13902"/>
    <cellStyle name="常规 3 2 2 5 2 2 2 2 2 2" xfId="32750"/>
    <cellStyle name="常规 3 2 2 5 2 2 2 2 3" xfId="23326"/>
    <cellStyle name="常规 3 2 2 5 2 2 2 3" xfId="7618"/>
    <cellStyle name="常规 3 2 2 5 2 2 2 3 2" xfId="17038"/>
    <cellStyle name="常规 3 2 2 5 2 2 2 3 2 2" xfId="35886"/>
    <cellStyle name="常规 3 2 2 5 2 2 2 3 3" xfId="26462"/>
    <cellStyle name="常规 3 2 2 5 2 2 2 4" xfId="10766"/>
    <cellStyle name="常规 3 2 2 5 2 2 2 4 2" xfId="29614"/>
    <cellStyle name="常规 3 2 2 5 2 2 2 5" xfId="20190"/>
    <cellStyle name="常规 3 2 2 5 2 2 3" xfId="2130"/>
    <cellStyle name="常规 3 2 2 5 2 2 3 2" xfId="5266"/>
    <cellStyle name="常规 3 2 2 5 2 2 3 2 2" xfId="14686"/>
    <cellStyle name="常规 3 2 2 5 2 2 3 2 2 2" xfId="33534"/>
    <cellStyle name="常规 3 2 2 5 2 2 3 2 3" xfId="24110"/>
    <cellStyle name="常规 3 2 2 5 2 2 3 3" xfId="8402"/>
    <cellStyle name="常规 3 2 2 5 2 2 3 3 2" xfId="17822"/>
    <cellStyle name="常规 3 2 2 5 2 2 3 3 2 2" xfId="36670"/>
    <cellStyle name="常规 3 2 2 5 2 2 3 3 3" xfId="27246"/>
    <cellStyle name="常规 3 2 2 5 2 2 3 4" xfId="11550"/>
    <cellStyle name="常规 3 2 2 5 2 2 3 4 2" xfId="30398"/>
    <cellStyle name="常规 3 2 2 5 2 2 3 5" xfId="20974"/>
    <cellStyle name="常规 3 2 2 5 2 2 4" xfId="2914"/>
    <cellStyle name="常规 3 2 2 5 2 2 4 2" xfId="6050"/>
    <cellStyle name="常规 3 2 2 5 2 2 4 2 2" xfId="15470"/>
    <cellStyle name="常规 3 2 2 5 2 2 4 2 2 2" xfId="34318"/>
    <cellStyle name="常规 3 2 2 5 2 2 4 2 3" xfId="24894"/>
    <cellStyle name="常规 3 2 2 5 2 2 4 3" xfId="9186"/>
    <cellStyle name="常规 3 2 2 5 2 2 4 3 2" xfId="18606"/>
    <cellStyle name="常规 3 2 2 5 2 2 4 3 2 2" xfId="37454"/>
    <cellStyle name="常规 3 2 2 5 2 2 4 3 3" xfId="28030"/>
    <cellStyle name="常规 3 2 2 5 2 2 4 4" xfId="12334"/>
    <cellStyle name="常规 3 2 2 5 2 2 4 4 2" xfId="31182"/>
    <cellStyle name="常规 3 2 2 5 2 2 4 5" xfId="21758"/>
    <cellStyle name="常规 3 2 2 5 2 2 5" xfId="3698"/>
    <cellStyle name="常规 3 2 2 5 2 2 5 2" xfId="13118"/>
    <cellStyle name="常规 3 2 2 5 2 2 5 2 2" xfId="31966"/>
    <cellStyle name="常规 3 2 2 5 2 2 5 3" xfId="22542"/>
    <cellStyle name="常规 3 2 2 5 2 2 6" xfId="6834"/>
    <cellStyle name="常规 3 2 2 5 2 2 6 2" xfId="16254"/>
    <cellStyle name="常规 3 2 2 5 2 2 6 2 2" xfId="35102"/>
    <cellStyle name="常规 3 2 2 5 2 2 6 3" xfId="25678"/>
    <cellStyle name="常规 3 2 2 5 2 2 7" xfId="9982"/>
    <cellStyle name="常规 3 2 2 5 2 2 7 2" xfId="28830"/>
    <cellStyle name="常规 3 2 2 5 2 2 8" xfId="19406"/>
    <cellStyle name="常规 3 2 2 5 2 3" xfId="952"/>
    <cellStyle name="常规 3 2 2 5 2 3 2" xfId="4088"/>
    <cellStyle name="常规 3 2 2 5 2 3 2 2" xfId="13508"/>
    <cellStyle name="常规 3 2 2 5 2 3 2 2 2" xfId="32356"/>
    <cellStyle name="常规 3 2 2 5 2 3 2 3" xfId="22932"/>
    <cellStyle name="常规 3 2 2 5 2 3 3" xfId="7224"/>
    <cellStyle name="常规 3 2 2 5 2 3 3 2" xfId="16644"/>
    <cellStyle name="常规 3 2 2 5 2 3 3 2 2" xfId="35492"/>
    <cellStyle name="常规 3 2 2 5 2 3 3 3" xfId="26068"/>
    <cellStyle name="常规 3 2 2 5 2 3 4" xfId="10372"/>
    <cellStyle name="常规 3 2 2 5 2 3 4 2" xfId="29220"/>
    <cellStyle name="常规 3 2 2 5 2 3 5" xfId="19796"/>
    <cellStyle name="常规 3 2 2 5 2 4" xfId="1736"/>
    <cellStyle name="常规 3 2 2 5 2 4 2" xfId="4872"/>
    <cellStyle name="常规 3 2 2 5 2 4 2 2" xfId="14292"/>
    <cellStyle name="常规 3 2 2 5 2 4 2 2 2" xfId="33140"/>
    <cellStyle name="常规 3 2 2 5 2 4 2 3" xfId="23716"/>
    <cellStyle name="常规 3 2 2 5 2 4 3" xfId="8008"/>
    <cellStyle name="常规 3 2 2 5 2 4 3 2" xfId="17428"/>
    <cellStyle name="常规 3 2 2 5 2 4 3 2 2" xfId="36276"/>
    <cellStyle name="常规 3 2 2 5 2 4 3 3" xfId="26852"/>
    <cellStyle name="常规 3 2 2 5 2 4 4" xfId="11156"/>
    <cellStyle name="常规 3 2 2 5 2 4 4 2" xfId="30004"/>
    <cellStyle name="常规 3 2 2 5 2 4 5" xfId="20580"/>
    <cellStyle name="常规 3 2 2 5 2 5" xfId="2520"/>
    <cellStyle name="常规 3 2 2 5 2 5 2" xfId="5656"/>
    <cellStyle name="常规 3 2 2 5 2 5 2 2" xfId="15076"/>
    <cellStyle name="常规 3 2 2 5 2 5 2 2 2" xfId="33924"/>
    <cellStyle name="常规 3 2 2 5 2 5 2 3" xfId="24500"/>
    <cellStyle name="常规 3 2 2 5 2 5 3" xfId="8792"/>
    <cellStyle name="常规 3 2 2 5 2 5 3 2" xfId="18212"/>
    <cellStyle name="常规 3 2 2 5 2 5 3 2 2" xfId="37060"/>
    <cellStyle name="常规 3 2 2 5 2 5 3 3" xfId="27636"/>
    <cellStyle name="常规 3 2 2 5 2 5 4" xfId="11940"/>
    <cellStyle name="常规 3 2 2 5 2 5 4 2" xfId="30788"/>
    <cellStyle name="常规 3 2 2 5 2 5 5" xfId="21364"/>
    <cellStyle name="常规 3 2 2 5 2 6" xfId="3359"/>
    <cellStyle name="常规 3 2 2 5 2 6 2" xfId="12779"/>
    <cellStyle name="常规 3 2 2 5 2 6 2 2" xfId="31627"/>
    <cellStyle name="常规 3 2 2 5 2 6 3" xfId="22203"/>
    <cellStyle name="常规 3 2 2 5 2 7" xfId="6440"/>
    <cellStyle name="常规 3 2 2 5 2 7 2" xfId="15860"/>
    <cellStyle name="常规 3 2 2 5 2 7 2 2" xfId="34708"/>
    <cellStyle name="常规 3 2 2 5 2 7 3" xfId="25284"/>
    <cellStyle name="常规 3 2 2 5 2 8" xfId="9587"/>
    <cellStyle name="常规 3 2 2 5 2 8 2" xfId="28432"/>
    <cellStyle name="常规 3 2 2 5 2 9" xfId="19010"/>
    <cellStyle name="常规 3 2 2 5 3" xfId="561"/>
    <cellStyle name="常规 3 2 2 5 3 2" xfId="1345"/>
    <cellStyle name="常规 3 2 2 5 3 2 2" xfId="4481"/>
    <cellStyle name="常规 3 2 2 5 3 2 2 2" xfId="13901"/>
    <cellStyle name="常规 3 2 2 5 3 2 2 2 2" xfId="32749"/>
    <cellStyle name="常规 3 2 2 5 3 2 2 3" xfId="23325"/>
    <cellStyle name="常规 3 2 2 5 3 2 3" xfId="7617"/>
    <cellStyle name="常规 3 2 2 5 3 2 3 2" xfId="17037"/>
    <cellStyle name="常规 3 2 2 5 3 2 3 2 2" xfId="35885"/>
    <cellStyle name="常规 3 2 2 5 3 2 3 3" xfId="26461"/>
    <cellStyle name="常规 3 2 2 5 3 2 4" xfId="10765"/>
    <cellStyle name="常规 3 2 2 5 3 2 4 2" xfId="29613"/>
    <cellStyle name="常规 3 2 2 5 3 2 5" xfId="20189"/>
    <cellStyle name="常规 3 2 2 5 3 3" xfId="2129"/>
    <cellStyle name="常规 3 2 2 5 3 3 2" xfId="5265"/>
    <cellStyle name="常规 3 2 2 5 3 3 2 2" xfId="14685"/>
    <cellStyle name="常规 3 2 2 5 3 3 2 2 2" xfId="33533"/>
    <cellStyle name="常规 3 2 2 5 3 3 2 3" xfId="24109"/>
    <cellStyle name="常规 3 2 2 5 3 3 3" xfId="8401"/>
    <cellStyle name="常规 3 2 2 5 3 3 3 2" xfId="17821"/>
    <cellStyle name="常规 3 2 2 5 3 3 3 2 2" xfId="36669"/>
    <cellStyle name="常规 3 2 2 5 3 3 3 3" xfId="27245"/>
    <cellStyle name="常规 3 2 2 5 3 3 4" xfId="11549"/>
    <cellStyle name="常规 3 2 2 5 3 3 4 2" xfId="30397"/>
    <cellStyle name="常规 3 2 2 5 3 3 5" xfId="20973"/>
    <cellStyle name="常规 3 2 2 5 3 4" xfId="2913"/>
    <cellStyle name="常规 3 2 2 5 3 4 2" xfId="6049"/>
    <cellStyle name="常规 3 2 2 5 3 4 2 2" xfId="15469"/>
    <cellStyle name="常规 3 2 2 5 3 4 2 2 2" xfId="34317"/>
    <cellStyle name="常规 3 2 2 5 3 4 2 3" xfId="24893"/>
    <cellStyle name="常规 3 2 2 5 3 4 3" xfId="9185"/>
    <cellStyle name="常规 3 2 2 5 3 4 3 2" xfId="18605"/>
    <cellStyle name="常规 3 2 2 5 3 4 3 2 2" xfId="37453"/>
    <cellStyle name="常规 3 2 2 5 3 4 3 3" xfId="28029"/>
    <cellStyle name="常规 3 2 2 5 3 4 4" xfId="12333"/>
    <cellStyle name="常规 3 2 2 5 3 4 4 2" xfId="31181"/>
    <cellStyle name="常规 3 2 2 5 3 4 5" xfId="21757"/>
    <cellStyle name="常规 3 2 2 5 3 5" xfId="3697"/>
    <cellStyle name="常规 3 2 2 5 3 5 2" xfId="13117"/>
    <cellStyle name="常规 3 2 2 5 3 5 2 2" xfId="31965"/>
    <cellStyle name="常规 3 2 2 5 3 5 3" xfId="22541"/>
    <cellStyle name="常规 3 2 2 5 3 6" xfId="6833"/>
    <cellStyle name="常规 3 2 2 5 3 6 2" xfId="16253"/>
    <cellStyle name="常规 3 2 2 5 3 6 2 2" xfId="35101"/>
    <cellStyle name="常规 3 2 2 5 3 6 3" xfId="25677"/>
    <cellStyle name="常规 3 2 2 5 3 7" xfId="9981"/>
    <cellStyle name="常规 3 2 2 5 3 7 2" xfId="28829"/>
    <cellStyle name="常规 3 2 2 5 3 8" xfId="19405"/>
    <cellStyle name="常规 3 2 2 5 4" xfId="951"/>
    <cellStyle name="常规 3 2 2 5 4 2" xfId="4087"/>
    <cellStyle name="常规 3 2 2 5 4 2 2" xfId="13507"/>
    <cellStyle name="常规 3 2 2 5 4 2 2 2" xfId="32355"/>
    <cellStyle name="常规 3 2 2 5 4 2 3" xfId="22931"/>
    <cellStyle name="常规 3 2 2 5 4 3" xfId="7223"/>
    <cellStyle name="常规 3 2 2 5 4 3 2" xfId="16643"/>
    <cellStyle name="常规 3 2 2 5 4 3 2 2" xfId="35491"/>
    <cellStyle name="常规 3 2 2 5 4 3 3" xfId="26067"/>
    <cellStyle name="常规 3 2 2 5 4 4" xfId="10371"/>
    <cellStyle name="常规 3 2 2 5 4 4 2" xfId="29219"/>
    <cellStyle name="常规 3 2 2 5 4 5" xfId="19795"/>
    <cellStyle name="常规 3 2 2 5 5" xfId="1735"/>
    <cellStyle name="常规 3 2 2 5 5 2" xfId="4871"/>
    <cellStyle name="常规 3 2 2 5 5 2 2" xfId="14291"/>
    <cellStyle name="常规 3 2 2 5 5 2 2 2" xfId="33139"/>
    <cellStyle name="常规 3 2 2 5 5 2 3" xfId="23715"/>
    <cellStyle name="常规 3 2 2 5 5 3" xfId="8007"/>
    <cellStyle name="常规 3 2 2 5 5 3 2" xfId="17427"/>
    <cellStyle name="常规 3 2 2 5 5 3 2 2" xfId="36275"/>
    <cellStyle name="常规 3 2 2 5 5 3 3" xfId="26851"/>
    <cellStyle name="常规 3 2 2 5 5 4" xfId="11155"/>
    <cellStyle name="常规 3 2 2 5 5 4 2" xfId="30003"/>
    <cellStyle name="常规 3 2 2 5 5 5" xfId="20579"/>
    <cellStyle name="常规 3 2 2 5 6" xfId="2519"/>
    <cellStyle name="常规 3 2 2 5 6 2" xfId="5655"/>
    <cellStyle name="常规 3 2 2 5 6 2 2" xfId="15075"/>
    <cellStyle name="常规 3 2 2 5 6 2 2 2" xfId="33923"/>
    <cellStyle name="常规 3 2 2 5 6 2 3" xfId="24499"/>
    <cellStyle name="常规 3 2 2 5 6 3" xfId="8791"/>
    <cellStyle name="常规 3 2 2 5 6 3 2" xfId="18211"/>
    <cellStyle name="常规 3 2 2 5 6 3 2 2" xfId="37059"/>
    <cellStyle name="常规 3 2 2 5 6 3 3" xfId="27635"/>
    <cellStyle name="常规 3 2 2 5 6 4" xfId="11939"/>
    <cellStyle name="常规 3 2 2 5 6 4 2" xfId="30787"/>
    <cellStyle name="常规 3 2 2 5 6 5" xfId="21363"/>
    <cellStyle name="常规 3 2 2 5 7" xfId="3358"/>
    <cellStyle name="常规 3 2 2 5 7 2" xfId="12778"/>
    <cellStyle name="常规 3 2 2 5 7 2 2" xfId="31626"/>
    <cellStyle name="常规 3 2 2 5 7 3" xfId="22202"/>
    <cellStyle name="常规 3 2 2 5 8" xfId="6439"/>
    <cellStyle name="常规 3 2 2 5 8 2" xfId="15859"/>
    <cellStyle name="常规 3 2 2 5 8 2 2" xfId="34707"/>
    <cellStyle name="常规 3 2 2 5 8 3" xfId="25283"/>
    <cellStyle name="常规 3 2 2 5 9" xfId="9586"/>
    <cellStyle name="常规 3 2 2 5 9 2" xfId="28431"/>
    <cellStyle name="常规 3 2 2 6" xfId="165"/>
    <cellStyle name="常规 3 2 2 6 2" xfId="563"/>
    <cellStyle name="常规 3 2 2 6 2 2" xfId="1347"/>
    <cellStyle name="常规 3 2 2 6 2 2 2" xfId="4483"/>
    <cellStyle name="常规 3 2 2 6 2 2 2 2" xfId="13903"/>
    <cellStyle name="常规 3 2 2 6 2 2 2 2 2" xfId="32751"/>
    <cellStyle name="常规 3 2 2 6 2 2 2 3" xfId="23327"/>
    <cellStyle name="常规 3 2 2 6 2 2 3" xfId="7619"/>
    <cellStyle name="常规 3 2 2 6 2 2 3 2" xfId="17039"/>
    <cellStyle name="常规 3 2 2 6 2 2 3 2 2" xfId="35887"/>
    <cellStyle name="常规 3 2 2 6 2 2 3 3" xfId="26463"/>
    <cellStyle name="常规 3 2 2 6 2 2 4" xfId="10767"/>
    <cellStyle name="常规 3 2 2 6 2 2 4 2" xfId="29615"/>
    <cellStyle name="常规 3 2 2 6 2 2 5" xfId="20191"/>
    <cellStyle name="常规 3 2 2 6 2 3" xfId="2131"/>
    <cellStyle name="常规 3 2 2 6 2 3 2" xfId="5267"/>
    <cellStyle name="常规 3 2 2 6 2 3 2 2" xfId="14687"/>
    <cellStyle name="常规 3 2 2 6 2 3 2 2 2" xfId="33535"/>
    <cellStyle name="常规 3 2 2 6 2 3 2 3" xfId="24111"/>
    <cellStyle name="常规 3 2 2 6 2 3 3" xfId="8403"/>
    <cellStyle name="常规 3 2 2 6 2 3 3 2" xfId="17823"/>
    <cellStyle name="常规 3 2 2 6 2 3 3 2 2" xfId="36671"/>
    <cellStyle name="常规 3 2 2 6 2 3 3 3" xfId="27247"/>
    <cellStyle name="常规 3 2 2 6 2 3 4" xfId="11551"/>
    <cellStyle name="常规 3 2 2 6 2 3 4 2" xfId="30399"/>
    <cellStyle name="常规 3 2 2 6 2 3 5" xfId="20975"/>
    <cellStyle name="常规 3 2 2 6 2 4" xfId="2915"/>
    <cellStyle name="常规 3 2 2 6 2 4 2" xfId="6051"/>
    <cellStyle name="常规 3 2 2 6 2 4 2 2" xfId="15471"/>
    <cellStyle name="常规 3 2 2 6 2 4 2 2 2" xfId="34319"/>
    <cellStyle name="常规 3 2 2 6 2 4 2 3" xfId="24895"/>
    <cellStyle name="常规 3 2 2 6 2 4 3" xfId="9187"/>
    <cellStyle name="常规 3 2 2 6 2 4 3 2" xfId="18607"/>
    <cellStyle name="常规 3 2 2 6 2 4 3 2 2" xfId="37455"/>
    <cellStyle name="常规 3 2 2 6 2 4 3 3" xfId="28031"/>
    <cellStyle name="常规 3 2 2 6 2 4 4" xfId="12335"/>
    <cellStyle name="常规 3 2 2 6 2 4 4 2" xfId="31183"/>
    <cellStyle name="常规 3 2 2 6 2 4 5" xfId="21759"/>
    <cellStyle name="常规 3 2 2 6 2 5" xfId="3699"/>
    <cellStyle name="常规 3 2 2 6 2 5 2" xfId="13119"/>
    <cellStyle name="常规 3 2 2 6 2 5 2 2" xfId="31967"/>
    <cellStyle name="常规 3 2 2 6 2 5 3" xfId="22543"/>
    <cellStyle name="常规 3 2 2 6 2 6" xfId="6835"/>
    <cellStyle name="常规 3 2 2 6 2 6 2" xfId="16255"/>
    <cellStyle name="常规 3 2 2 6 2 6 2 2" xfId="35103"/>
    <cellStyle name="常规 3 2 2 6 2 6 3" xfId="25679"/>
    <cellStyle name="常规 3 2 2 6 2 7" xfId="9983"/>
    <cellStyle name="常规 3 2 2 6 2 7 2" xfId="28831"/>
    <cellStyle name="常规 3 2 2 6 2 8" xfId="19407"/>
    <cellStyle name="常规 3 2 2 6 3" xfId="953"/>
    <cellStyle name="常规 3 2 2 6 3 2" xfId="4089"/>
    <cellStyle name="常规 3 2 2 6 3 2 2" xfId="13509"/>
    <cellStyle name="常规 3 2 2 6 3 2 2 2" xfId="32357"/>
    <cellStyle name="常规 3 2 2 6 3 2 3" xfId="22933"/>
    <cellStyle name="常规 3 2 2 6 3 3" xfId="7225"/>
    <cellStyle name="常规 3 2 2 6 3 3 2" xfId="16645"/>
    <cellStyle name="常规 3 2 2 6 3 3 2 2" xfId="35493"/>
    <cellStyle name="常规 3 2 2 6 3 3 3" xfId="26069"/>
    <cellStyle name="常规 3 2 2 6 3 4" xfId="10373"/>
    <cellStyle name="常规 3 2 2 6 3 4 2" xfId="29221"/>
    <cellStyle name="常规 3 2 2 6 3 5" xfId="19797"/>
    <cellStyle name="常规 3 2 2 6 4" xfId="1737"/>
    <cellStyle name="常规 3 2 2 6 4 2" xfId="4873"/>
    <cellStyle name="常规 3 2 2 6 4 2 2" xfId="14293"/>
    <cellStyle name="常规 3 2 2 6 4 2 2 2" xfId="33141"/>
    <cellStyle name="常规 3 2 2 6 4 2 3" xfId="23717"/>
    <cellStyle name="常规 3 2 2 6 4 3" xfId="8009"/>
    <cellStyle name="常规 3 2 2 6 4 3 2" xfId="17429"/>
    <cellStyle name="常规 3 2 2 6 4 3 2 2" xfId="36277"/>
    <cellStyle name="常规 3 2 2 6 4 3 3" xfId="26853"/>
    <cellStyle name="常规 3 2 2 6 4 4" xfId="11157"/>
    <cellStyle name="常规 3 2 2 6 4 4 2" xfId="30005"/>
    <cellStyle name="常规 3 2 2 6 4 5" xfId="20581"/>
    <cellStyle name="常规 3 2 2 6 5" xfId="2521"/>
    <cellStyle name="常规 3 2 2 6 5 2" xfId="5657"/>
    <cellStyle name="常规 3 2 2 6 5 2 2" xfId="15077"/>
    <cellStyle name="常规 3 2 2 6 5 2 2 2" xfId="33925"/>
    <cellStyle name="常规 3 2 2 6 5 2 3" xfId="24501"/>
    <cellStyle name="常规 3 2 2 6 5 3" xfId="8793"/>
    <cellStyle name="常规 3 2 2 6 5 3 2" xfId="18213"/>
    <cellStyle name="常规 3 2 2 6 5 3 2 2" xfId="37061"/>
    <cellStyle name="常规 3 2 2 6 5 3 3" xfId="27637"/>
    <cellStyle name="常规 3 2 2 6 5 4" xfId="11941"/>
    <cellStyle name="常规 3 2 2 6 5 4 2" xfId="30789"/>
    <cellStyle name="常规 3 2 2 6 5 5" xfId="21365"/>
    <cellStyle name="常规 3 2 2 6 6" xfId="3360"/>
    <cellStyle name="常规 3 2 2 6 6 2" xfId="12780"/>
    <cellStyle name="常规 3 2 2 6 6 2 2" xfId="31628"/>
    <cellStyle name="常规 3 2 2 6 6 3" xfId="22204"/>
    <cellStyle name="常规 3 2 2 6 7" xfId="6441"/>
    <cellStyle name="常规 3 2 2 6 7 2" xfId="15861"/>
    <cellStyle name="常规 3 2 2 6 7 2 2" xfId="34709"/>
    <cellStyle name="常规 3 2 2 6 7 3" xfId="25285"/>
    <cellStyle name="常规 3 2 2 6 8" xfId="9588"/>
    <cellStyle name="常规 3 2 2 6 8 2" xfId="28433"/>
    <cellStyle name="常规 3 2 2 6 9" xfId="19011"/>
    <cellStyle name="常规 3 2 2 7" xfId="532"/>
    <cellStyle name="常规 3 2 2 7 2" xfId="1316"/>
    <cellStyle name="常规 3 2 2 7 2 2" xfId="4452"/>
    <cellStyle name="常规 3 2 2 7 2 2 2" xfId="13872"/>
    <cellStyle name="常规 3 2 2 7 2 2 2 2" xfId="32720"/>
    <cellStyle name="常规 3 2 2 7 2 2 3" xfId="23296"/>
    <cellStyle name="常规 3 2 2 7 2 3" xfId="7588"/>
    <cellStyle name="常规 3 2 2 7 2 3 2" xfId="17008"/>
    <cellStyle name="常规 3 2 2 7 2 3 2 2" xfId="35856"/>
    <cellStyle name="常规 3 2 2 7 2 3 3" xfId="26432"/>
    <cellStyle name="常规 3 2 2 7 2 4" xfId="10736"/>
    <cellStyle name="常规 3 2 2 7 2 4 2" xfId="29584"/>
    <cellStyle name="常规 3 2 2 7 2 5" xfId="20160"/>
    <cellStyle name="常规 3 2 2 7 3" xfId="2100"/>
    <cellStyle name="常规 3 2 2 7 3 2" xfId="5236"/>
    <cellStyle name="常规 3 2 2 7 3 2 2" xfId="14656"/>
    <cellStyle name="常规 3 2 2 7 3 2 2 2" xfId="33504"/>
    <cellStyle name="常规 3 2 2 7 3 2 3" xfId="24080"/>
    <cellStyle name="常规 3 2 2 7 3 3" xfId="8372"/>
    <cellStyle name="常规 3 2 2 7 3 3 2" xfId="17792"/>
    <cellStyle name="常规 3 2 2 7 3 3 2 2" xfId="36640"/>
    <cellStyle name="常规 3 2 2 7 3 3 3" xfId="27216"/>
    <cellStyle name="常规 3 2 2 7 3 4" xfId="11520"/>
    <cellStyle name="常规 3 2 2 7 3 4 2" xfId="30368"/>
    <cellStyle name="常规 3 2 2 7 3 5" xfId="20944"/>
    <cellStyle name="常规 3 2 2 7 4" xfId="2884"/>
    <cellStyle name="常规 3 2 2 7 4 2" xfId="6020"/>
    <cellStyle name="常规 3 2 2 7 4 2 2" xfId="15440"/>
    <cellStyle name="常规 3 2 2 7 4 2 2 2" xfId="34288"/>
    <cellStyle name="常规 3 2 2 7 4 2 3" xfId="24864"/>
    <cellStyle name="常规 3 2 2 7 4 3" xfId="9156"/>
    <cellStyle name="常规 3 2 2 7 4 3 2" xfId="18576"/>
    <cellStyle name="常规 3 2 2 7 4 3 2 2" xfId="37424"/>
    <cellStyle name="常规 3 2 2 7 4 3 3" xfId="28000"/>
    <cellStyle name="常规 3 2 2 7 4 4" xfId="12304"/>
    <cellStyle name="常规 3 2 2 7 4 4 2" xfId="31152"/>
    <cellStyle name="常规 3 2 2 7 4 5" xfId="21728"/>
    <cellStyle name="常规 3 2 2 7 5" xfId="3668"/>
    <cellStyle name="常规 3 2 2 7 5 2" xfId="13088"/>
    <cellStyle name="常规 3 2 2 7 5 2 2" xfId="31936"/>
    <cellStyle name="常规 3 2 2 7 5 3" xfId="22512"/>
    <cellStyle name="常规 3 2 2 7 6" xfId="6804"/>
    <cellStyle name="常规 3 2 2 7 6 2" xfId="16224"/>
    <cellStyle name="常规 3 2 2 7 6 2 2" xfId="35072"/>
    <cellStyle name="常规 3 2 2 7 6 3" xfId="25648"/>
    <cellStyle name="常规 3 2 2 7 7" xfId="9952"/>
    <cellStyle name="常规 3 2 2 7 7 2" xfId="28800"/>
    <cellStyle name="常规 3 2 2 7 8" xfId="19376"/>
    <cellStyle name="常规 3 2 2 8" xfId="922"/>
    <cellStyle name="常规 3 2 2 8 2" xfId="4058"/>
    <cellStyle name="常规 3 2 2 8 2 2" xfId="13478"/>
    <cellStyle name="常规 3 2 2 8 2 2 2" xfId="32326"/>
    <cellStyle name="常规 3 2 2 8 2 3" xfId="22902"/>
    <cellStyle name="常规 3 2 2 8 3" xfId="7194"/>
    <cellStyle name="常规 3 2 2 8 3 2" xfId="16614"/>
    <cellStyle name="常规 3 2 2 8 3 2 2" xfId="35462"/>
    <cellStyle name="常规 3 2 2 8 3 3" xfId="26038"/>
    <cellStyle name="常规 3 2 2 8 4" xfId="10342"/>
    <cellStyle name="常规 3 2 2 8 4 2" xfId="29190"/>
    <cellStyle name="常规 3 2 2 8 5" xfId="19766"/>
    <cellStyle name="常规 3 2 2 9" xfId="1706"/>
    <cellStyle name="常规 3 2 2 9 2" xfId="4842"/>
    <cellStyle name="常规 3 2 2 9 2 2" xfId="14262"/>
    <cellStyle name="常规 3 2 2 9 2 2 2" xfId="33110"/>
    <cellStyle name="常规 3 2 2 9 2 3" xfId="23686"/>
    <cellStyle name="常规 3 2 2 9 3" xfId="7978"/>
    <cellStyle name="常规 3 2 2 9 3 2" xfId="17398"/>
    <cellStyle name="常规 3 2 2 9 3 2 2" xfId="36246"/>
    <cellStyle name="常规 3 2 2 9 3 3" xfId="26822"/>
    <cellStyle name="常规 3 2 2 9 4" xfId="11126"/>
    <cellStyle name="常规 3 2 2 9 4 2" xfId="29974"/>
    <cellStyle name="常规 3 2 2 9 5" xfId="20550"/>
    <cellStyle name="常规 3 2 3" xfId="166"/>
    <cellStyle name="常规 3 2 3 10" xfId="3166"/>
    <cellStyle name="常规 3 2 3 10 2" xfId="12586"/>
    <cellStyle name="常规 3 2 3 10 2 2" xfId="31434"/>
    <cellStyle name="常规 3 2 3 10 3" xfId="22010"/>
    <cellStyle name="常规 3 2 3 11" xfId="6442"/>
    <cellStyle name="常规 3 2 3 11 2" xfId="15862"/>
    <cellStyle name="常规 3 2 3 11 2 2" xfId="34710"/>
    <cellStyle name="常规 3 2 3 11 3" xfId="25286"/>
    <cellStyle name="常规 3 2 3 12" xfId="9589"/>
    <cellStyle name="常规 3 2 3 12 2" xfId="28434"/>
    <cellStyle name="常规 3 2 3 13" xfId="19012"/>
    <cellStyle name="常规 3 2 3 2" xfId="167"/>
    <cellStyle name="常规 3 2 3 2 10" xfId="6443"/>
    <cellStyle name="常规 3 2 3 2 10 2" xfId="15863"/>
    <cellStyle name="常规 3 2 3 2 10 2 2" xfId="34711"/>
    <cellStyle name="常规 3 2 3 2 10 3" xfId="25287"/>
    <cellStyle name="常规 3 2 3 2 11" xfId="9590"/>
    <cellStyle name="常规 3 2 3 2 11 2" xfId="28435"/>
    <cellStyle name="常规 3 2 3 2 12" xfId="19013"/>
    <cellStyle name="常规 3 2 3 2 2" xfId="168"/>
    <cellStyle name="常规 3 2 3 2 2 10" xfId="9591"/>
    <cellStyle name="常规 3 2 3 2 2 10 2" xfId="28436"/>
    <cellStyle name="常规 3 2 3 2 2 11" xfId="19014"/>
    <cellStyle name="常规 3 2 3 2 2 2" xfId="169"/>
    <cellStyle name="常规 3 2 3 2 2 2 10" xfId="19015"/>
    <cellStyle name="常规 3 2 3 2 2 2 2" xfId="170"/>
    <cellStyle name="常规 3 2 3 2 2 2 2 2" xfId="568"/>
    <cellStyle name="常规 3 2 3 2 2 2 2 2 2" xfId="1352"/>
    <cellStyle name="常规 3 2 3 2 2 2 2 2 2 2" xfId="4488"/>
    <cellStyle name="常规 3 2 3 2 2 2 2 2 2 2 2" xfId="13908"/>
    <cellStyle name="常规 3 2 3 2 2 2 2 2 2 2 2 2" xfId="32756"/>
    <cellStyle name="常规 3 2 3 2 2 2 2 2 2 2 3" xfId="23332"/>
    <cellStyle name="常规 3 2 3 2 2 2 2 2 2 3" xfId="7624"/>
    <cellStyle name="常规 3 2 3 2 2 2 2 2 2 3 2" xfId="17044"/>
    <cellStyle name="常规 3 2 3 2 2 2 2 2 2 3 2 2" xfId="35892"/>
    <cellStyle name="常规 3 2 3 2 2 2 2 2 2 3 3" xfId="26468"/>
    <cellStyle name="常规 3 2 3 2 2 2 2 2 2 4" xfId="10772"/>
    <cellStyle name="常规 3 2 3 2 2 2 2 2 2 4 2" xfId="29620"/>
    <cellStyle name="常规 3 2 3 2 2 2 2 2 2 5" xfId="20196"/>
    <cellStyle name="常规 3 2 3 2 2 2 2 2 3" xfId="2136"/>
    <cellStyle name="常规 3 2 3 2 2 2 2 2 3 2" xfId="5272"/>
    <cellStyle name="常规 3 2 3 2 2 2 2 2 3 2 2" xfId="14692"/>
    <cellStyle name="常规 3 2 3 2 2 2 2 2 3 2 2 2" xfId="33540"/>
    <cellStyle name="常规 3 2 3 2 2 2 2 2 3 2 3" xfId="24116"/>
    <cellStyle name="常规 3 2 3 2 2 2 2 2 3 3" xfId="8408"/>
    <cellStyle name="常规 3 2 3 2 2 2 2 2 3 3 2" xfId="17828"/>
    <cellStyle name="常规 3 2 3 2 2 2 2 2 3 3 2 2" xfId="36676"/>
    <cellStyle name="常规 3 2 3 2 2 2 2 2 3 3 3" xfId="27252"/>
    <cellStyle name="常规 3 2 3 2 2 2 2 2 3 4" xfId="11556"/>
    <cellStyle name="常规 3 2 3 2 2 2 2 2 3 4 2" xfId="30404"/>
    <cellStyle name="常规 3 2 3 2 2 2 2 2 3 5" xfId="20980"/>
    <cellStyle name="常规 3 2 3 2 2 2 2 2 4" xfId="2920"/>
    <cellStyle name="常规 3 2 3 2 2 2 2 2 4 2" xfId="6056"/>
    <cellStyle name="常规 3 2 3 2 2 2 2 2 4 2 2" xfId="15476"/>
    <cellStyle name="常规 3 2 3 2 2 2 2 2 4 2 2 2" xfId="34324"/>
    <cellStyle name="常规 3 2 3 2 2 2 2 2 4 2 3" xfId="24900"/>
    <cellStyle name="常规 3 2 3 2 2 2 2 2 4 3" xfId="9192"/>
    <cellStyle name="常规 3 2 3 2 2 2 2 2 4 3 2" xfId="18612"/>
    <cellStyle name="常规 3 2 3 2 2 2 2 2 4 3 2 2" xfId="37460"/>
    <cellStyle name="常规 3 2 3 2 2 2 2 2 4 3 3" xfId="28036"/>
    <cellStyle name="常规 3 2 3 2 2 2 2 2 4 4" xfId="12340"/>
    <cellStyle name="常规 3 2 3 2 2 2 2 2 4 4 2" xfId="31188"/>
    <cellStyle name="常规 3 2 3 2 2 2 2 2 4 5" xfId="21764"/>
    <cellStyle name="常规 3 2 3 2 2 2 2 2 5" xfId="3704"/>
    <cellStyle name="常规 3 2 3 2 2 2 2 2 5 2" xfId="13124"/>
    <cellStyle name="常规 3 2 3 2 2 2 2 2 5 2 2" xfId="31972"/>
    <cellStyle name="常规 3 2 3 2 2 2 2 2 5 3" xfId="22548"/>
    <cellStyle name="常规 3 2 3 2 2 2 2 2 6" xfId="6840"/>
    <cellStyle name="常规 3 2 3 2 2 2 2 2 6 2" xfId="16260"/>
    <cellStyle name="常规 3 2 3 2 2 2 2 2 6 2 2" xfId="35108"/>
    <cellStyle name="常规 3 2 3 2 2 2 2 2 6 3" xfId="25684"/>
    <cellStyle name="常规 3 2 3 2 2 2 2 2 7" xfId="9988"/>
    <cellStyle name="常规 3 2 3 2 2 2 2 2 7 2" xfId="28836"/>
    <cellStyle name="常规 3 2 3 2 2 2 2 2 8" xfId="19412"/>
    <cellStyle name="常规 3 2 3 2 2 2 2 3" xfId="958"/>
    <cellStyle name="常规 3 2 3 2 2 2 2 3 2" xfId="4094"/>
    <cellStyle name="常规 3 2 3 2 2 2 2 3 2 2" xfId="13514"/>
    <cellStyle name="常规 3 2 3 2 2 2 2 3 2 2 2" xfId="32362"/>
    <cellStyle name="常规 3 2 3 2 2 2 2 3 2 3" xfId="22938"/>
    <cellStyle name="常规 3 2 3 2 2 2 2 3 3" xfId="7230"/>
    <cellStyle name="常规 3 2 3 2 2 2 2 3 3 2" xfId="16650"/>
    <cellStyle name="常规 3 2 3 2 2 2 2 3 3 2 2" xfId="35498"/>
    <cellStyle name="常规 3 2 3 2 2 2 2 3 3 3" xfId="26074"/>
    <cellStyle name="常规 3 2 3 2 2 2 2 3 4" xfId="10378"/>
    <cellStyle name="常规 3 2 3 2 2 2 2 3 4 2" xfId="29226"/>
    <cellStyle name="常规 3 2 3 2 2 2 2 3 5" xfId="19802"/>
    <cellStyle name="常规 3 2 3 2 2 2 2 4" xfId="1742"/>
    <cellStyle name="常规 3 2 3 2 2 2 2 4 2" xfId="4878"/>
    <cellStyle name="常规 3 2 3 2 2 2 2 4 2 2" xfId="14298"/>
    <cellStyle name="常规 3 2 3 2 2 2 2 4 2 2 2" xfId="33146"/>
    <cellStyle name="常规 3 2 3 2 2 2 2 4 2 3" xfId="23722"/>
    <cellStyle name="常规 3 2 3 2 2 2 2 4 3" xfId="8014"/>
    <cellStyle name="常规 3 2 3 2 2 2 2 4 3 2" xfId="17434"/>
    <cellStyle name="常规 3 2 3 2 2 2 2 4 3 2 2" xfId="36282"/>
    <cellStyle name="常规 3 2 3 2 2 2 2 4 3 3" xfId="26858"/>
    <cellStyle name="常规 3 2 3 2 2 2 2 4 4" xfId="11162"/>
    <cellStyle name="常规 3 2 3 2 2 2 2 4 4 2" xfId="30010"/>
    <cellStyle name="常规 3 2 3 2 2 2 2 4 5" xfId="20586"/>
    <cellStyle name="常规 3 2 3 2 2 2 2 5" xfId="2526"/>
    <cellStyle name="常规 3 2 3 2 2 2 2 5 2" xfId="5662"/>
    <cellStyle name="常规 3 2 3 2 2 2 2 5 2 2" xfId="15082"/>
    <cellStyle name="常规 3 2 3 2 2 2 2 5 2 2 2" xfId="33930"/>
    <cellStyle name="常规 3 2 3 2 2 2 2 5 2 3" xfId="24506"/>
    <cellStyle name="常规 3 2 3 2 2 2 2 5 3" xfId="8798"/>
    <cellStyle name="常规 3 2 3 2 2 2 2 5 3 2" xfId="18218"/>
    <cellStyle name="常规 3 2 3 2 2 2 2 5 3 2 2" xfId="37066"/>
    <cellStyle name="常规 3 2 3 2 2 2 2 5 3 3" xfId="27642"/>
    <cellStyle name="常规 3 2 3 2 2 2 2 5 4" xfId="11946"/>
    <cellStyle name="常规 3 2 3 2 2 2 2 5 4 2" xfId="30794"/>
    <cellStyle name="常规 3 2 3 2 2 2 2 5 5" xfId="21370"/>
    <cellStyle name="常规 3 2 3 2 2 2 2 6" xfId="3362"/>
    <cellStyle name="常规 3 2 3 2 2 2 2 6 2" xfId="12782"/>
    <cellStyle name="常规 3 2 3 2 2 2 2 6 2 2" xfId="31630"/>
    <cellStyle name="常规 3 2 3 2 2 2 2 6 3" xfId="22206"/>
    <cellStyle name="常规 3 2 3 2 2 2 2 7" xfId="6446"/>
    <cellStyle name="常规 3 2 3 2 2 2 2 7 2" xfId="15866"/>
    <cellStyle name="常规 3 2 3 2 2 2 2 7 2 2" xfId="34714"/>
    <cellStyle name="常规 3 2 3 2 2 2 2 7 3" xfId="25290"/>
    <cellStyle name="常规 3 2 3 2 2 2 2 8" xfId="9593"/>
    <cellStyle name="常规 3 2 3 2 2 2 2 8 2" xfId="28438"/>
    <cellStyle name="常规 3 2 3 2 2 2 2 9" xfId="19016"/>
    <cellStyle name="常规 3 2 3 2 2 2 3" xfId="567"/>
    <cellStyle name="常规 3 2 3 2 2 2 3 2" xfId="1351"/>
    <cellStyle name="常规 3 2 3 2 2 2 3 2 2" xfId="4487"/>
    <cellStyle name="常规 3 2 3 2 2 2 3 2 2 2" xfId="13907"/>
    <cellStyle name="常规 3 2 3 2 2 2 3 2 2 2 2" xfId="32755"/>
    <cellStyle name="常规 3 2 3 2 2 2 3 2 2 3" xfId="23331"/>
    <cellStyle name="常规 3 2 3 2 2 2 3 2 3" xfId="7623"/>
    <cellStyle name="常规 3 2 3 2 2 2 3 2 3 2" xfId="17043"/>
    <cellStyle name="常规 3 2 3 2 2 2 3 2 3 2 2" xfId="35891"/>
    <cellStyle name="常规 3 2 3 2 2 2 3 2 3 3" xfId="26467"/>
    <cellStyle name="常规 3 2 3 2 2 2 3 2 4" xfId="10771"/>
    <cellStyle name="常规 3 2 3 2 2 2 3 2 4 2" xfId="29619"/>
    <cellStyle name="常规 3 2 3 2 2 2 3 2 5" xfId="20195"/>
    <cellStyle name="常规 3 2 3 2 2 2 3 3" xfId="2135"/>
    <cellStyle name="常规 3 2 3 2 2 2 3 3 2" xfId="5271"/>
    <cellStyle name="常规 3 2 3 2 2 2 3 3 2 2" xfId="14691"/>
    <cellStyle name="常规 3 2 3 2 2 2 3 3 2 2 2" xfId="33539"/>
    <cellStyle name="常规 3 2 3 2 2 2 3 3 2 3" xfId="24115"/>
    <cellStyle name="常规 3 2 3 2 2 2 3 3 3" xfId="8407"/>
    <cellStyle name="常规 3 2 3 2 2 2 3 3 3 2" xfId="17827"/>
    <cellStyle name="常规 3 2 3 2 2 2 3 3 3 2 2" xfId="36675"/>
    <cellStyle name="常规 3 2 3 2 2 2 3 3 3 3" xfId="27251"/>
    <cellStyle name="常规 3 2 3 2 2 2 3 3 4" xfId="11555"/>
    <cellStyle name="常规 3 2 3 2 2 2 3 3 4 2" xfId="30403"/>
    <cellStyle name="常规 3 2 3 2 2 2 3 3 5" xfId="20979"/>
    <cellStyle name="常规 3 2 3 2 2 2 3 4" xfId="2919"/>
    <cellStyle name="常规 3 2 3 2 2 2 3 4 2" xfId="6055"/>
    <cellStyle name="常规 3 2 3 2 2 2 3 4 2 2" xfId="15475"/>
    <cellStyle name="常规 3 2 3 2 2 2 3 4 2 2 2" xfId="34323"/>
    <cellStyle name="常规 3 2 3 2 2 2 3 4 2 3" xfId="24899"/>
    <cellStyle name="常规 3 2 3 2 2 2 3 4 3" xfId="9191"/>
    <cellStyle name="常规 3 2 3 2 2 2 3 4 3 2" xfId="18611"/>
    <cellStyle name="常规 3 2 3 2 2 2 3 4 3 2 2" xfId="37459"/>
    <cellStyle name="常规 3 2 3 2 2 2 3 4 3 3" xfId="28035"/>
    <cellStyle name="常规 3 2 3 2 2 2 3 4 4" xfId="12339"/>
    <cellStyle name="常规 3 2 3 2 2 2 3 4 4 2" xfId="31187"/>
    <cellStyle name="常规 3 2 3 2 2 2 3 4 5" xfId="21763"/>
    <cellStyle name="常规 3 2 3 2 2 2 3 5" xfId="3703"/>
    <cellStyle name="常规 3 2 3 2 2 2 3 5 2" xfId="13123"/>
    <cellStyle name="常规 3 2 3 2 2 2 3 5 2 2" xfId="31971"/>
    <cellStyle name="常规 3 2 3 2 2 2 3 5 3" xfId="22547"/>
    <cellStyle name="常规 3 2 3 2 2 2 3 6" xfId="6839"/>
    <cellStyle name="常规 3 2 3 2 2 2 3 6 2" xfId="16259"/>
    <cellStyle name="常规 3 2 3 2 2 2 3 6 2 2" xfId="35107"/>
    <cellStyle name="常规 3 2 3 2 2 2 3 6 3" xfId="25683"/>
    <cellStyle name="常规 3 2 3 2 2 2 3 7" xfId="9987"/>
    <cellStyle name="常规 3 2 3 2 2 2 3 7 2" xfId="28835"/>
    <cellStyle name="常规 3 2 3 2 2 2 3 8" xfId="19411"/>
    <cellStyle name="常规 3 2 3 2 2 2 4" xfId="957"/>
    <cellStyle name="常规 3 2 3 2 2 2 4 2" xfId="4093"/>
    <cellStyle name="常规 3 2 3 2 2 2 4 2 2" xfId="13513"/>
    <cellStyle name="常规 3 2 3 2 2 2 4 2 2 2" xfId="32361"/>
    <cellStyle name="常规 3 2 3 2 2 2 4 2 3" xfId="22937"/>
    <cellStyle name="常规 3 2 3 2 2 2 4 3" xfId="7229"/>
    <cellStyle name="常规 3 2 3 2 2 2 4 3 2" xfId="16649"/>
    <cellStyle name="常规 3 2 3 2 2 2 4 3 2 2" xfId="35497"/>
    <cellStyle name="常规 3 2 3 2 2 2 4 3 3" xfId="26073"/>
    <cellStyle name="常规 3 2 3 2 2 2 4 4" xfId="10377"/>
    <cellStyle name="常规 3 2 3 2 2 2 4 4 2" xfId="29225"/>
    <cellStyle name="常规 3 2 3 2 2 2 4 5" xfId="19801"/>
    <cellStyle name="常规 3 2 3 2 2 2 5" xfId="1741"/>
    <cellStyle name="常规 3 2 3 2 2 2 5 2" xfId="4877"/>
    <cellStyle name="常规 3 2 3 2 2 2 5 2 2" xfId="14297"/>
    <cellStyle name="常规 3 2 3 2 2 2 5 2 2 2" xfId="33145"/>
    <cellStyle name="常规 3 2 3 2 2 2 5 2 3" xfId="23721"/>
    <cellStyle name="常规 3 2 3 2 2 2 5 3" xfId="8013"/>
    <cellStyle name="常规 3 2 3 2 2 2 5 3 2" xfId="17433"/>
    <cellStyle name="常规 3 2 3 2 2 2 5 3 2 2" xfId="36281"/>
    <cellStyle name="常规 3 2 3 2 2 2 5 3 3" xfId="26857"/>
    <cellStyle name="常规 3 2 3 2 2 2 5 4" xfId="11161"/>
    <cellStyle name="常规 3 2 3 2 2 2 5 4 2" xfId="30009"/>
    <cellStyle name="常规 3 2 3 2 2 2 5 5" xfId="20585"/>
    <cellStyle name="常规 3 2 3 2 2 2 6" xfId="2525"/>
    <cellStyle name="常规 3 2 3 2 2 2 6 2" xfId="5661"/>
    <cellStyle name="常规 3 2 3 2 2 2 6 2 2" xfId="15081"/>
    <cellStyle name="常规 3 2 3 2 2 2 6 2 2 2" xfId="33929"/>
    <cellStyle name="常规 3 2 3 2 2 2 6 2 3" xfId="24505"/>
    <cellStyle name="常规 3 2 3 2 2 2 6 3" xfId="8797"/>
    <cellStyle name="常规 3 2 3 2 2 2 6 3 2" xfId="18217"/>
    <cellStyle name="常规 3 2 3 2 2 2 6 3 2 2" xfId="37065"/>
    <cellStyle name="常规 3 2 3 2 2 2 6 3 3" xfId="27641"/>
    <cellStyle name="常规 3 2 3 2 2 2 6 4" xfId="11945"/>
    <cellStyle name="常规 3 2 3 2 2 2 6 4 2" xfId="30793"/>
    <cellStyle name="常规 3 2 3 2 2 2 6 5" xfId="21369"/>
    <cellStyle name="常规 3 2 3 2 2 2 7" xfId="3361"/>
    <cellStyle name="常规 3 2 3 2 2 2 7 2" xfId="12781"/>
    <cellStyle name="常规 3 2 3 2 2 2 7 2 2" xfId="31629"/>
    <cellStyle name="常规 3 2 3 2 2 2 7 3" xfId="22205"/>
    <cellStyle name="常规 3 2 3 2 2 2 8" xfId="6445"/>
    <cellStyle name="常规 3 2 3 2 2 2 8 2" xfId="15865"/>
    <cellStyle name="常规 3 2 3 2 2 2 8 2 2" xfId="34713"/>
    <cellStyle name="常规 3 2 3 2 2 2 8 3" xfId="25289"/>
    <cellStyle name="常规 3 2 3 2 2 2 9" xfId="9592"/>
    <cellStyle name="常规 3 2 3 2 2 2 9 2" xfId="28437"/>
    <cellStyle name="常规 3 2 3 2 2 3" xfId="171"/>
    <cellStyle name="常规 3 2 3 2 2 3 2" xfId="569"/>
    <cellStyle name="常规 3 2 3 2 2 3 2 2" xfId="1353"/>
    <cellStyle name="常规 3 2 3 2 2 3 2 2 2" xfId="4489"/>
    <cellStyle name="常规 3 2 3 2 2 3 2 2 2 2" xfId="13909"/>
    <cellStyle name="常规 3 2 3 2 2 3 2 2 2 2 2" xfId="32757"/>
    <cellStyle name="常规 3 2 3 2 2 3 2 2 2 3" xfId="23333"/>
    <cellStyle name="常规 3 2 3 2 2 3 2 2 3" xfId="7625"/>
    <cellStyle name="常规 3 2 3 2 2 3 2 2 3 2" xfId="17045"/>
    <cellStyle name="常规 3 2 3 2 2 3 2 2 3 2 2" xfId="35893"/>
    <cellStyle name="常规 3 2 3 2 2 3 2 2 3 3" xfId="26469"/>
    <cellStyle name="常规 3 2 3 2 2 3 2 2 4" xfId="10773"/>
    <cellStyle name="常规 3 2 3 2 2 3 2 2 4 2" xfId="29621"/>
    <cellStyle name="常规 3 2 3 2 2 3 2 2 5" xfId="20197"/>
    <cellStyle name="常规 3 2 3 2 2 3 2 3" xfId="2137"/>
    <cellStyle name="常规 3 2 3 2 2 3 2 3 2" xfId="5273"/>
    <cellStyle name="常规 3 2 3 2 2 3 2 3 2 2" xfId="14693"/>
    <cellStyle name="常规 3 2 3 2 2 3 2 3 2 2 2" xfId="33541"/>
    <cellStyle name="常规 3 2 3 2 2 3 2 3 2 3" xfId="24117"/>
    <cellStyle name="常规 3 2 3 2 2 3 2 3 3" xfId="8409"/>
    <cellStyle name="常规 3 2 3 2 2 3 2 3 3 2" xfId="17829"/>
    <cellStyle name="常规 3 2 3 2 2 3 2 3 3 2 2" xfId="36677"/>
    <cellStyle name="常规 3 2 3 2 2 3 2 3 3 3" xfId="27253"/>
    <cellStyle name="常规 3 2 3 2 2 3 2 3 4" xfId="11557"/>
    <cellStyle name="常规 3 2 3 2 2 3 2 3 4 2" xfId="30405"/>
    <cellStyle name="常规 3 2 3 2 2 3 2 3 5" xfId="20981"/>
    <cellStyle name="常规 3 2 3 2 2 3 2 4" xfId="2921"/>
    <cellStyle name="常规 3 2 3 2 2 3 2 4 2" xfId="6057"/>
    <cellStyle name="常规 3 2 3 2 2 3 2 4 2 2" xfId="15477"/>
    <cellStyle name="常规 3 2 3 2 2 3 2 4 2 2 2" xfId="34325"/>
    <cellStyle name="常规 3 2 3 2 2 3 2 4 2 3" xfId="24901"/>
    <cellStyle name="常规 3 2 3 2 2 3 2 4 3" xfId="9193"/>
    <cellStyle name="常规 3 2 3 2 2 3 2 4 3 2" xfId="18613"/>
    <cellStyle name="常规 3 2 3 2 2 3 2 4 3 2 2" xfId="37461"/>
    <cellStyle name="常规 3 2 3 2 2 3 2 4 3 3" xfId="28037"/>
    <cellStyle name="常规 3 2 3 2 2 3 2 4 4" xfId="12341"/>
    <cellStyle name="常规 3 2 3 2 2 3 2 4 4 2" xfId="31189"/>
    <cellStyle name="常规 3 2 3 2 2 3 2 4 5" xfId="21765"/>
    <cellStyle name="常规 3 2 3 2 2 3 2 5" xfId="3705"/>
    <cellStyle name="常规 3 2 3 2 2 3 2 5 2" xfId="13125"/>
    <cellStyle name="常规 3 2 3 2 2 3 2 5 2 2" xfId="31973"/>
    <cellStyle name="常规 3 2 3 2 2 3 2 5 3" xfId="22549"/>
    <cellStyle name="常规 3 2 3 2 2 3 2 6" xfId="6841"/>
    <cellStyle name="常规 3 2 3 2 2 3 2 6 2" xfId="16261"/>
    <cellStyle name="常规 3 2 3 2 2 3 2 6 2 2" xfId="35109"/>
    <cellStyle name="常规 3 2 3 2 2 3 2 6 3" xfId="25685"/>
    <cellStyle name="常规 3 2 3 2 2 3 2 7" xfId="9989"/>
    <cellStyle name="常规 3 2 3 2 2 3 2 7 2" xfId="28837"/>
    <cellStyle name="常规 3 2 3 2 2 3 2 8" xfId="19413"/>
    <cellStyle name="常规 3 2 3 2 2 3 3" xfId="959"/>
    <cellStyle name="常规 3 2 3 2 2 3 3 2" xfId="4095"/>
    <cellStyle name="常规 3 2 3 2 2 3 3 2 2" xfId="13515"/>
    <cellStyle name="常规 3 2 3 2 2 3 3 2 2 2" xfId="32363"/>
    <cellStyle name="常规 3 2 3 2 2 3 3 2 3" xfId="22939"/>
    <cellStyle name="常规 3 2 3 2 2 3 3 3" xfId="7231"/>
    <cellStyle name="常规 3 2 3 2 2 3 3 3 2" xfId="16651"/>
    <cellStyle name="常规 3 2 3 2 2 3 3 3 2 2" xfId="35499"/>
    <cellStyle name="常规 3 2 3 2 2 3 3 3 3" xfId="26075"/>
    <cellStyle name="常规 3 2 3 2 2 3 3 4" xfId="10379"/>
    <cellStyle name="常规 3 2 3 2 2 3 3 4 2" xfId="29227"/>
    <cellStyle name="常规 3 2 3 2 2 3 3 5" xfId="19803"/>
    <cellStyle name="常规 3 2 3 2 2 3 4" xfId="1743"/>
    <cellStyle name="常规 3 2 3 2 2 3 4 2" xfId="4879"/>
    <cellStyle name="常规 3 2 3 2 2 3 4 2 2" xfId="14299"/>
    <cellStyle name="常规 3 2 3 2 2 3 4 2 2 2" xfId="33147"/>
    <cellStyle name="常规 3 2 3 2 2 3 4 2 3" xfId="23723"/>
    <cellStyle name="常规 3 2 3 2 2 3 4 3" xfId="8015"/>
    <cellStyle name="常规 3 2 3 2 2 3 4 3 2" xfId="17435"/>
    <cellStyle name="常规 3 2 3 2 2 3 4 3 2 2" xfId="36283"/>
    <cellStyle name="常规 3 2 3 2 2 3 4 3 3" xfId="26859"/>
    <cellStyle name="常规 3 2 3 2 2 3 4 4" xfId="11163"/>
    <cellStyle name="常规 3 2 3 2 2 3 4 4 2" xfId="30011"/>
    <cellStyle name="常规 3 2 3 2 2 3 4 5" xfId="20587"/>
    <cellStyle name="常规 3 2 3 2 2 3 5" xfId="2527"/>
    <cellStyle name="常规 3 2 3 2 2 3 5 2" xfId="5663"/>
    <cellStyle name="常规 3 2 3 2 2 3 5 2 2" xfId="15083"/>
    <cellStyle name="常规 3 2 3 2 2 3 5 2 2 2" xfId="33931"/>
    <cellStyle name="常规 3 2 3 2 2 3 5 2 3" xfId="24507"/>
    <cellStyle name="常规 3 2 3 2 2 3 5 3" xfId="8799"/>
    <cellStyle name="常规 3 2 3 2 2 3 5 3 2" xfId="18219"/>
    <cellStyle name="常规 3 2 3 2 2 3 5 3 2 2" xfId="37067"/>
    <cellStyle name="常规 3 2 3 2 2 3 5 3 3" xfId="27643"/>
    <cellStyle name="常规 3 2 3 2 2 3 5 4" xfId="11947"/>
    <cellStyle name="常规 3 2 3 2 2 3 5 4 2" xfId="30795"/>
    <cellStyle name="常规 3 2 3 2 2 3 5 5" xfId="21371"/>
    <cellStyle name="常规 3 2 3 2 2 3 6" xfId="3363"/>
    <cellStyle name="常规 3 2 3 2 2 3 6 2" xfId="12783"/>
    <cellStyle name="常规 3 2 3 2 2 3 6 2 2" xfId="31631"/>
    <cellStyle name="常规 3 2 3 2 2 3 6 3" xfId="22207"/>
    <cellStyle name="常规 3 2 3 2 2 3 7" xfId="6447"/>
    <cellStyle name="常规 3 2 3 2 2 3 7 2" xfId="15867"/>
    <cellStyle name="常规 3 2 3 2 2 3 7 2 2" xfId="34715"/>
    <cellStyle name="常规 3 2 3 2 2 3 7 3" xfId="25291"/>
    <cellStyle name="常规 3 2 3 2 2 3 8" xfId="9594"/>
    <cellStyle name="常规 3 2 3 2 2 3 8 2" xfId="28439"/>
    <cellStyle name="常规 3 2 3 2 2 3 9" xfId="19017"/>
    <cellStyle name="常规 3 2 3 2 2 4" xfId="566"/>
    <cellStyle name="常规 3 2 3 2 2 4 2" xfId="1350"/>
    <cellStyle name="常规 3 2 3 2 2 4 2 2" xfId="4486"/>
    <cellStyle name="常规 3 2 3 2 2 4 2 2 2" xfId="13906"/>
    <cellStyle name="常规 3 2 3 2 2 4 2 2 2 2" xfId="32754"/>
    <cellStyle name="常规 3 2 3 2 2 4 2 2 3" xfId="23330"/>
    <cellStyle name="常规 3 2 3 2 2 4 2 3" xfId="7622"/>
    <cellStyle name="常规 3 2 3 2 2 4 2 3 2" xfId="17042"/>
    <cellStyle name="常规 3 2 3 2 2 4 2 3 2 2" xfId="35890"/>
    <cellStyle name="常规 3 2 3 2 2 4 2 3 3" xfId="26466"/>
    <cellStyle name="常规 3 2 3 2 2 4 2 4" xfId="10770"/>
    <cellStyle name="常规 3 2 3 2 2 4 2 4 2" xfId="29618"/>
    <cellStyle name="常规 3 2 3 2 2 4 2 5" xfId="20194"/>
    <cellStyle name="常规 3 2 3 2 2 4 3" xfId="2134"/>
    <cellStyle name="常规 3 2 3 2 2 4 3 2" xfId="5270"/>
    <cellStyle name="常规 3 2 3 2 2 4 3 2 2" xfId="14690"/>
    <cellStyle name="常规 3 2 3 2 2 4 3 2 2 2" xfId="33538"/>
    <cellStyle name="常规 3 2 3 2 2 4 3 2 3" xfId="24114"/>
    <cellStyle name="常规 3 2 3 2 2 4 3 3" xfId="8406"/>
    <cellStyle name="常规 3 2 3 2 2 4 3 3 2" xfId="17826"/>
    <cellStyle name="常规 3 2 3 2 2 4 3 3 2 2" xfId="36674"/>
    <cellStyle name="常规 3 2 3 2 2 4 3 3 3" xfId="27250"/>
    <cellStyle name="常规 3 2 3 2 2 4 3 4" xfId="11554"/>
    <cellStyle name="常规 3 2 3 2 2 4 3 4 2" xfId="30402"/>
    <cellStyle name="常规 3 2 3 2 2 4 3 5" xfId="20978"/>
    <cellStyle name="常规 3 2 3 2 2 4 4" xfId="2918"/>
    <cellStyle name="常规 3 2 3 2 2 4 4 2" xfId="6054"/>
    <cellStyle name="常规 3 2 3 2 2 4 4 2 2" xfId="15474"/>
    <cellStyle name="常规 3 2 3 2 2 4 4 2 2 2" xfId="34322"/>
    <cellStyle name="常规 3 2 3 2 2 4 4 2 3" xfId="24898"/>
    <cellStyle name="常规 3 2 3 2 2 4 4 3" xfId="9190"/>
    <cellStyle name="常规 3 2 3 2 2 4 4 3 2" xfId="18610"/>
    <cellStyle name="常规 3 2 3 2 2 4 4 3 2 2" xfId="37458"/>
    <cellStyle name="常规 3 2 3 2 2 4 4 3 3" xfId="28034"/>
    <cellStyle name="常规 3 2 3 2 2 4 4 4" xfId="12338"/>
    <cellStyle name="常规 3 2 3 2 2 4 4 4 2" xfId="31186"/>
    <cellStyle name="常规 3 2 3 2 2 4 4 5" xfId="21762"/>
    <cellStyle name="常规 3 2 3 2 2 4 5" xfId="3702"/>
    <cellStyle name="常规 3 2 3 2 2 4 5 2" xfId="13122"/>
    <cellStyle name="常规 3 2 3 2 2 4 5 2 2" xfId="31970"/>
    <cellStyle name="常规 3 2 3 2 2 4 5 3" xfId="22546"/>
    <cellStyle name="常规 3 2 3 2 2 4 6" xfId="6838"/>
    <cellStyle name="常规 3 2 3 2 2 4 6 2" xfId="16258"/>
    <cellStyle name="常规 3 2 3 2 2 4 6 2 2" xfId="35106"/>
    <cellStyle name="常规 3 2 3 2 2 4 6 3" xfId="25682"/>
    <cellStyle name="常规 3 2 3 2 2 4 7" xfId="9986"/>
    <cellStyle name="常规 3 2 3 2 2 4 7 2" xfId="28834"/>
    <cellStyle name="常规 3 2 3 2 2 4 8" xfId="19410"/>
    <cellStyle name="常规 3 2 3 2 2 5" xfId="956"/>
    <cellStyle name="常规 3 2 3 2 2 5 2" xfId="4092"/>
    <cellStyle name="常规 3 2 3 2 2 5 2 2" xfId="13512"/>
    <cellStyle name="常规 3 2 3 2 2 5 2 2 2" xfId="32360"/>
    <cellStyle name="常规 3 2 3 2 2 5 2 3" xfId="22936"/>
    <cellStyle name="常规 3 2 3 2 2 5 3" xfId="7228"/>
    <cellStyle name="常规 3 2 3 2 2 5 3 2" xfId="16648"/>
    <cellStyle name="常规 3 2 3 2 2 5 3 2 2" xfId="35496"/>
    <cellStyle name="常规 3 2 3 2 2 5 3 3" xfId="26072"/>
    <cellStyle name="常规 3 2 3 2 2 5 4" xfId="10376"/>
    <cellStyle name="常规 3 2 3 2 2 5 4 2" xfId="29224"/>
    <cellStyle name="常规 3 2 3 2 2 5 5" xfId="19800"/>
    <cellStyle name="常规 3 2 3 2 2 6" xfId="1740"/>
    <cellStyle name="常规 3 2 3 2 2 6 2" xfId="4876"/>
    <cellStyle name="常规 3 2 3 2 2 6 2 2" xfId="14296"/>
    <cellStyle name="常规 3 2 3 2 2 6 2 2 2" xfId="33144"/>
    <cellStyle name="常规 3 2 3 2 2 6 2 3" xfId="23720"/>
    <cellStyle name="常规 3 2 3 2 2 6 3" xfId="8012"/>
    <cellStyle name="常规 3 2 3 2 2 6 3 2" xfId="17432"/>
    <cellStyle name="常规 3 2 3 2 2 6 3 2 2" xfId="36280"/>
    <cellStyle name="常规 3 2 3 2 2 6 3 3" xfId="26856"/>
    <cellStyle name="常规 3 2 3 2 2 6 4" xfId="11160"/>
    <cellStyle name="常规 3 2 3 2 2 6 4 2" xfId="30008"/>
    <cellStyle name="常规 3 2 3 2 2 6 5" xfId="20584"/>
    <cellStyle name="常规 3 2 3 2 2 7" xfId="2524"/>
    <cellStyle name="常规 3 2 3 2 2 7 2" xfId="5660"/>
    <cellStyle name="常规 3 2 3 2 2 7 2 2" xfId="15080"/>
    <cellStyle name="常规 3 2 3 2 2 7 2 2 2" xfId="33928"/>
    <cellStyle name="常规 3 2 3 2 2 7 2 3" xfId="24504"/>
    <cellStyle name="常规 3 2 3 2 2 7 3" xfId="8796"/>
    <cellStyle name="常规 3 2 3 2 2 7 3 2" xfId="18216"/>
    <cellStyle name="常规 3 2 3 2 2 7 3 2 2" xfId="37064"/>
    <cellStyle name="常规 3 2 3 2 2 7 3 3" xfId="27640"/>
    <cellStyle name="常规 3 2 3 2 2 7 4" xfId="11944"/>
    <cellStyle name="常规 3 2 3 2 2 7 4 2" xfId="30792"/>
    <cellStyle name="常规 3 2 3 2 2 7 5" xfId="21368"/>
    <cellStyle name="常规 3 2 3 2 2 8" xfId="3215"/>
    <cellStyle name="常规 3 2 3 2 2 8 2" xfId="12635"/>
    <cellStyle name="常规 3 2 3 2 2 8 2 2" xfId="31483"/>
    <cellStyle name="常规 3 2 3 2 2 8 3" xfId="22059"/>
    <cellStyle name="常规 3 2 3 2 2 9" xfId="6444"/>
    <cellStyle name="常规 3 2 3 2 2 9 2" xfId="15864"/>
    <cellStyle name="常规 3 2 3 2 2 9 2 2" xfId="34712"/>
    <cellStyle name="常规 3 2 3 2 2 9 3" xfId="25288"/>
    <cellStyle name="常规 3 2 3 2 3" xfId="172"/>
    <cellStyle name="常规 3 2 3 2 3 10" xfId="19018"/>
    <cellStyle name="常规 3 2 3 2 3 2" xfId="173"/>
    <cellStyle name="常规 3 2 3 2 3 2 2" xfId="571"/>
    <cellStyle name="常规 3 2 3 2 3 2 2 2" xfId="1355"/>
    <cellStyle name="常规 3 2 3 2 3 2 2 2 2" xfId="4491"/>
    <cellStyle name="常规 3 2 3 2 3 2 2 2 2 2" xfId="13911"/>
    <cellStyle name="常规 3 2 3 2 3 2 2 2 2 2 2" xfId="32759"/>
    <cellStyle name="常规 3 2 3 2 3 2 2 2 2 3" xfId="23335"/>
    <cellStyle name="常规 3 2 3 2 3 2 2 2 3" xfId="7627"/>
    <cellStyle name="常规 3 2 3 2 3 2 2 2 3 2" xfId="17047"/>
    <cellStyle name="常规 3 2 3 2 3 2 2 2 3 2 2" xfId="35895"/>
    <cellStyle name="常规 3 2 3 2 3 2 2 2 3 3" xfId="26471"/>
    <cellStyle name="常规 3 2 3 2 3 2 2 2 4" xfId="10775"/>
    <cellStyle name="常规 3 2 3 2 3 2 2 2 4 2" xfId="29623"/>
    <cellStyle name="常规 3 2 3 2 3 2 2 2 5" xfId="20199"/>
    <cellStyle name="常规 3 2 3 2 3 2 2 3" xfId="2139"/>
    <cellStyle name="常规 3 2 3 2 3 2 2 3 2" xfId="5275"/>
    <cellStyle name="常规 3 2 3 2 3 2 2 3 2 2" xfId="14695"/>
    <cellStyle name="常规 3 2 3 2 3 2 2 3 2 2 2" xfId="33543"/>
    <cellStyle name="常规 3 2 3 2 3 2 2 3 2 3" xfId="24119"/>
    <cellStyle name="常规 3 2 3 2 3 2 2 3 3" xfId="8411"/>
    <cellStyle name="常规 3 2 3 2 3 2 2 3 3 2" xfId="17831"/>
    <cellStyle name="常规 3 2 3 2 3 2 2 3 3 2 2" xfId="36679"/>
    <cellStyle name="常规 3 2 3 2 3 2 2 3 3 3" xfId="27255"/>
    <cellStyle name="常规 3 2 3 2 3 2 2 3 4" xfId="11559"/>
    <cellStyle name="常规 3 2 3 2 3 2 2 3 4 2" xfId="30407"/>
    <cellStyle name="常规 3 2 3 2 3 2 2 3 5" xfId="20983"/>
    <cellStyle name="常规 3 2 3 2 3 2 2 4" xfId="2923"/>
    <cellStyle name="常规 3 2 3 2 3 2 2 4 2" xfId="6059"/>
    <cellStyle name="常规 3 2 3 2 3 2 2 4 2 2" xfId="15479"/>
    <cellStyle name="常规 3 2 3 2 3 2 2 4 2 2 2" xfId="34327"/>
    <cellStyle name="常规 3 2 3 2 3 2 2 4 2 3" xfId="24903"/>
    <cellStyle name="常规 3 2 3 2 3 2 2 4 3" xfId="9195"/>
    <cellStyle name="常规 3 2 3 2 3 2 2 4 3 2" xfId="18615"/>
    <cellStyle name="常规 3 2 3 2 3 2 2 4 3 2 2" xfId="37463"/>
    <cellStyle name="常规 3 2 3 2 3 2 2 4 3 3" xfId="28039"/>
    <cellStyle name="常规 3 2 3 2 3 2 2 4 4" xfId="12343"/>
    <cellStyle name="常规 3 2 3 2 3 2 2 4 4 2" xfId="31191"/>
    <cellStyle name="常规 3 2 3 2 3 2 2 4 5" xfId="21767"/>
    <cellStyle name="常规 3 2 3 2 3 2 2 5" xfId="3707"/>
    <cellStyle name="常规 3 2 3 2 3 2 2 5 2" xfId="13127"/>
    <cellStyle name="常规 3 2 3 2 3 2 2 5 2 2" xfId="31975"/>
    <cellStyle name="常规 3 2 3 2 3 2 2 5 3" xfId="22551"/>
    <cellStyle name="常规 3 2 3 2 3 2 2 6" xfId="6843"/>
    <cellStyle name="常规 3 2 3 2 3 2 2 6 2" xfId="16263"/>
    <cellStyle name="常规 3 2 3 2 3 2 2 6 2 2" xfId="35111"/>
    <cellStyle name="常规 3 2 3 2 3 2 2 6 3" xfId="25687"/>
    <cellStyle name="常规 3 2 3 2 3 2 2 7" xfId="9991"/>
    <cellStyle name="常规 3 2 3 2 3 2 2 7 2" xfId="28839"/>
    <cellStyle name="常规 3 2 3 2 3 2 2 8" xfId="19415"/>
    <cellStyle name="常规 3 2 3 2 3 2 3" xfId="961"/>
    <cellStyle name="常规 3 2 3 2 3 2 3 2" xfId="4097"/>
    <cellStyle name="常规 3 2 3 2 3 2 3 2 2" xfId="13517"/>
    <cellStyle name="常规 3 2 3 2 3 2 3 2 2 2" xfId="32365"/>
    <cellStyle name="常规 3 2 3 2 3 2 3 2 3" xfId="22941"/>
    <cellStyle name="常规 3 2 3 2 3 2 3 3" xfId="7233"/>
    <cellStyle name="常规 3 2 3 2 3 2 3 3 2" xfId="16653"/>
    <cellStyle name="常规 3 2 3 2 3 2 3 3 2 2" xfId="35501"/>
    <cellStyle name="常规 3 2 3 2 3 2 3 3 3" xfId="26077"/>
    <cellStyle name="常规 3 2 3 2 3 2 3 4" xfId="10381"/>
    <cellStyle name="常规 3 2 3 2 3 2 3 4 2" xfId="29229"/>
    <cellStyle name="常规 3 2 3 2 3 2 3 5" xfId="19805"/>
    <cellStyle name="常规 3 2 3 2 3 2 4" xfId="1745"/>
    <cellStyle name="常规 3 2 3 2 3 2 4 2" xfId="4881"/>
    <cellStyle name="常规 3 2 3 2 3 2 4 2 2" xfId="14301"/>
    <cellStyle name="常规 3 2 3 2 3 2 4 2 2 2" xfId="33149"/>
    <cellStyle name="常规 3 2 3 2 3 2 4 2 3" xfId="23725"/>
    <cellStyle name="常规 3 2 3 2 3 2 4 3" xfId="8017"/>
    <cellStyle name="常规 3 2 3 2 3 2 4 3 2" xfId="17437"/>
    <cellStyle name="常规 3 2 3 2 3 2 4 3 2 2" xfId="36285"/>
    <cellStyle name="常规 3 2 3 2 3 2 4 3 3" xfId="26861"/>
    <cellStyle name="常规 3 2 3 2 3 2 4 4" xfId="11165"/>
    <cellStyle name="常规 3 2 3 2 3 2 4 4 2" xfId="30013"/>
    <cellStyle name="常规 3 2 3 2 3 2 4 5" xfId="20589"/>
    <cellStyle name="常规 3 2 3 2 3 2 5" xfId="2529"/>
    <cellStyle name="常规 3 2 3 2 3 2 5 2" xfId="5665"/>
    <cellStyle name="常规 3 2 3 2 3 2 5 2 2" xfId="15085"/>
    <cellStyle name="常规 3 2 3 2 3 2 5 2 2 2" xfId="33933"/>
    <cellStyle name="常规 3 2 3 2 3 2 5 2 3" xfId="24509"/>
    <cellStyle name="常规 3 2 3 2 3 2 5 3" xfId="8801"/>
    <cellStyle name="常规 3 2 3 2 3 2 5 3 2" xfId="18221"/>
    <cellStyle name="常规 3 2 3 2 3 2 5 3 2 2" xfId="37069"/>
    <cellStyle name="常规 3 2 3 2 3 2 5 3 3" xfId="27645"/>
    <cellStyle name="常规 3 2 3 2 3 2 5 4" xfId="11949"/>
    <cellStyle name="常规 3 2 3 2 3 2 5 4 2" xfId="30797"/>
    <cellStyle name="常规 3 2 3 2 3 2 5 5" xfId="21373"/>
    <cellStyle name="常规 3 2 3 2 3 2 6" xfId="3365"/>
    <cellStyle name="常规 3 2 3 2 3 2 6 2" xfId="12785"/>
    <cellStyle name="常规 3 2 3 2 3 2 6 2 2" xfId="31633"/>
    <cellStyle name="常规 3 2 3 2 3 2 6 3" xfId="22209"/>
    <cellStyle name="常规 3 2 3 2 3 2 7" xfId="6449"/>
    <cellStyle name="常规 3 2 3 2 3 2 7 2" xfId="15869"/>
    <cellStyle name="常规 3 2 3 2 3 2 7 2 2" xfId="34717"/>
    <cellStyle name="常规 3 2 3 2 3 2 7 3" xfId="25293"/>
    <cellStyle name="常规 3 2 3 2 3 2 8" xfId="9596"/>
    <cellStyle name="常规 3 2 3 2 3 2 8 2" xfId="28441"/>
    <cellStyle name="常规 3 2 3 2 3 2 9" xfId="19019"/>
    <cellStyle name="常规 3 2 3 2 3 3" xfId="570"/>
    <cellStyle name="常规 3 2 3 2 3 3 2" xfId="1354"/>
    <cellStyle name="常规 3 2 3 2 3 3 2 2" xfId="4490"/>
    <cellStyle name="常规 3 2 3 2 3 3 2 2 2" xfId="13910"/>
    <cellStyle name="常规 3 2 3 2 3 3 2 2 2 2" xfId="32758"/>
    <cellStyle name="常规 3 2 3 2 3 3 2 2 3" xfId="23334"/>
    <cellStyle name="常规 3 2 3 2 3 3 2 3" xfId="7626"/>
    <cellStyle name="常规 3 2 3 2 3 3 2 3 2" xfId="17046"/>
    <cellStyle name="常规 3 2 3 2 3 3 2 3 2 2" xfId="35894"/>
    <cellStyle name="常规 3 2 3 2 3 3 2 3 3" xfId="26470"/>
    <cellStyle name="常规 3 2 3 2 3 3 2 4" xfId="10774"/>
    <cellStyle name="常规 3 2 3 2 3 3 2 4 2" xfId="29622"/>
    <cellStyle name="常规 3 2 3 2 3 3 2 5" xfId="20198"/>
    <cellStyle name="常规 3 2 3 2 3 3 3" xfId="2138"/>
    <cellStyle name="常规 3 2 3 2 3 3 3 2" xfId="5274"/>
    <cellStyle name="常规 3 2 3 2 3 3 3 2 2" xfId="14694"/>
    <cellStyle name="常规 3 2 3 2 3 3 3 2 2 2" xfId="33542"/>
    <cellStyle name="常规 3 2 3 2 3 3 3 2 3" xfId="24118"/>
    <cellStyle name="常规 3 2 3 2 3 3 3 3" xfId="8410"/>
    <cellStyle name="常规 3 2 3 2 3 3 3 3 2" xfId="17830"/>
    <cellStyle name="常规 3 2 3 2 3 3 3 3 2 2" xfId="36678"/>
    <cellStyle name="常规 3 2 3 2 3 3 3 3 3" xfId="27254"/>
    <cellStyle name="常规 3 2 3 2 3 3 3 4" xfId="11558"/>
    <cellStyle name="常规 3 2 3 2 3 3 3 4 2" xfId="30406"/>
    <cellStyle name="常规 3 2 3 2 3 3 3 5" xfId="20982"/>
    <cellStyle name="常规 3 2 3 2 3 3 4" xfId="2922"/>
    <cellStyle name="常规 3 2 3 2 3 3 4 2" xfId="6058"/>
    <cellStyle name="常规 3 2 3 2 3 3 4 2 2" xfId="15478"/>
    <cellStyle name="常规 3 2 3 2 3 3 4 2 2 2" xfId="34326"/>
    <cellStyle name="常规 3 2 3 2 3 3 4 2 3" xfId="24902"/>
    <cellStyle name="常规 3 2 3 2 3 3 4 3" xfId="9194"/>
    <cellStyle name="常规 3 2 3 2 3 3 4 3 2" xfId="18614"/>
    <cellStyle name="常规 3 2 3 2 3 3 4 3 2 2" xfId="37462"/>
    <cellStyle name="常规 3 2 3 2 3 3 4 3 3" xfId="28038"/>
    <cellStyle name="常规 3 2 3 2 3 3 4 4" xfId="12342"/>
    <cellStyle name="常规 3 2 3 2 3 3 4 4 2" xfId="31190"/>
    <cellStyle name="常规 3 2 3 2 3 3 4 5" xfId="21766"/>
    <cellStyle name="常规 3 2 3 2 3 3 5" xfId="3706"/>
    <cellStyle name="常规 3 2 3 2 3 3 5 2" xfId="13126"/>
    <cellStyle name="常规 3 2 3 2 3 3 5 2 2" xfId="31974"/>
    <cellStyle name="常规 3 2 3 2 3 3 5 3" xfId="22550"/>
    <cellStyle name="常规 3 2 3 2 3 3 6" xfId="6842"/>
    <cellStyle name="常规 3 2 3 2 3 3 6 2" xfId="16262"/>
    <cellStyle name="常规 3 2 3 2 3 3 6 2 2" xfId="35110"/>
    <cellStyle name="常规 3 2 3 2 3 3 6 3" xfId="25686"/>
    <cellStyle name="常规 3 2 3 2 3 3 7" xfId="9990"/>
    <cellStyle name="常规 3 2 3 2 3 3 7 2" xfId="28838"/>
    <cellStyle name="常规 3 2 3 2 3 3 8" xfId="19414"/>
    <cellStyle name="常规 3 2 3 2 3 4" xfId="960"/>
    <cellStyle name="常规 3 2 3 2 3 4 2" xfId="4096"/>
    <cellStyle name="常规 3 2 3 2 3 4 2 2" xfId="13516"/>
    <cellStyle name="常规 3 2 3 2 3 4 2 2 2" xfId="32364"/>
    <cellStyle name="常规 3 2 3 2 3 4 2 3" xfId="22940"/>
    <cellStyle name="常规 3 2 3 2 3 4 3" xfId="7232"/>
    <cellStyle name="常规 3 2 3 2 3 4 3 2" xfId="16652"/>
    <cellStyle name="常规 3 2 3 2 3 4 3 2 2" xfId="35500"/>
    <cellStyle name="常规 3 2 3 2 3 4 3 3" xfId="26076"/>
    <cellStyle name="常规 3 2 3 2 3 4 4" xfId="10380"/>
    <cellStyle name="常规 3 2 3 2 3 4 4 2" xfId="29228"/>
    <cellStyle name="常规 3 2 3 2 3 4 5" xfId="19804"/>
    <cellStyle name="常规 3 2 3 2 3 5" xfId="1744"/>
    <cellStyle name="常规 3 2 3 2 3 5 2" xfId="4880"/>
    <cellStyle name="常规 3 2 3 2 3 5 2 2" xfId="14300"/>
    <cellStyle name="常规 3 2 3 2 3 5 2 2 2" xfId="33148"/>
    <cellStyle name="常规 3 2 3 2 3 5 2 3" xfId="23724"/>
    <cellStyle name="常规 3 2 3 2 3 5 3" xfId="8016"/>
    <cellStyle name="常规 3 2 3 2 3 5 3 2" xfId="17436"/>
    <cellStyle name="常规 3 2 3 2 3 5 3 2 2" xfId="36284"/>
    <cellStyle name="常规 3 2 3 2 3 5 3 3" xfId="26860"/>
    <cellStyle name="常规 3 2 3 2 3 5 4" xfId="11164"/>
    <cellStyle name="常规 3 2 3 2 3 5 4 2" xfId="30012"/>
    <cellStyle name="常规 3 2 3 2 3 5 5" xfId="20588"/>
    <cellStyle name="常规 3 2 3 2 3 6" xfId="2528"/>
    <cellStyle name="常规 3 2 3 2 3 6 2" xfId="5664"/>
    <cellStyle name="常规 3 2 3 2 3 6 2 2" xfId="15084"/>
    <cellStyle name="常规 3 2 3 2 3 6 2 2 2" xfId="33932"/>
    <cellStyle name="常规 3 2 3 2 3 6 2 3" xfId="24508"/>
    <cellStyle name="常规 3 2 3 2 3 6 3" xfId="8800"/>
    <cellStyle name="常规 3 2 3 2 3 6 3 2" xfId="18220"/>
    <cellStyle name="常规 3 2 3 2 3 6 3 2 2" xfId="37068"/>
    <cellStyle name="常规 3 2 3 2 3 6 3 3" xfId="27644"/>
    <cellStyle name="常规 3 2 3 2 3 6 4" xfId="11948"/>
    <cellStyle name="常规 3 2 3 2 3 6 4 2" xfId="30796"/>
    <cellStyle name="常规 3 2 3 2 3 6 5" xfId="21372"/>
    <cellStyle name="常规 3 2 3 2 3 7" xfId="3364"/>
    <cellStyle name="常规 3 2 3 2 3 7 2" xfId="12784"/>
    <cellStyle name="常规 3 2 3 2 3 7 2 2" xfId="31632"/>
    <cellStyle name="常规 3 2 3 2 3 7 3" xfId="22208"/>
    <cellStyle name="常规 3 2 3 2 3 8" xfId="6448"/>
    <cellStyle name="常规 3 2 3 2 3 8 2" xfId="15868"/>
    <cellStyle name="常规 3 2 3 2 3 8 2 2" xfId="34716"/>
    <cellStyle name="常规 3 2 3 2 3 8 3" xfId="25292"/>
    <cellStyle name="常规 3 2 3 2 3 9" xfId="9595"/>
    <cellStyle name="常规 3 2 3 2 3 9 2" xfId="28440"/>
    <cellStyle name="常规 3 2 3 2 4" xfId="174"/>
    <cellStyle name="常规 3 2 3 2 4 2" xfId="572"/>
    <cellStyle name="常规 3 2 3 2 4 2 2" xfId="1356"/>
    <cellStyle name="常规 3 2 3 2 4 2 2 2" xfId="4492"/>
    <cellStyle name="常规 3 2 3 2 4 2 2 2 2" xfId="13912"/>
    <cellStyle name="常规 3 2 3 2 4 2 2 2 2 2" xfId="32760"/>
    <cellStyle name="常规 3 2 3 2 4 2 2 2 3" xfId="23336"/>
    <cellStyle name="常规 3 2 3 2 4 2 2 3" xfId="7628"/>
    <cellStyle name="常规 3 2 3 2 4 2 2 3 2" xfId="17048"/>
    <cellStyle name="常规 3 2 3 2 4 2 2 3 2 2" xfId="35896"/>
    <cellStyle name="常规 3 2 3 2 4 2 2 3 3" xfId="26472"/>
    <cellStyle name="常规 3 2 3 2 4 2 2 4" xfId="10776"/>
    <cellStyle name="常规 3 2 3 2 4 2 2 4 2" xfId="29624"/>
    <cellStyle name="常规 3 2 3 2 4 2 2 5" xfId="20200"/>
    <cellStyle name="常规 3 2 3 2 4 2 3" xfId="2140"/>
    <cellStyle name="常规 3 2 3 2 4 2 3 2" xfId="5276"/>
    <cellStyle name="常规 3 2 3 2 4 2 3 2 2" xfId="14696"/>
    <cellStyle name="常规 3 2 3 2 4 2 3 2 2 2" xfId="33544"/>
    <cellStyle name="常规 3 2 3 2 4 2 3 2 3" xfId="24120"/>
    <cellStyle name="常规 3 2 3 2 4 2 3 3" xfId="8412"/>
    <cellStyle name="常规 3 2 3 2 4 2 3 3 2" xfId="17832"/>
    <cellStyle name="常规 3 2 3 2 4 2 3 3 2 2" xfId="36680"/>
    <cellStyle name="常规 3 2 3 2 4 2 3 3 3" xfId="27256"/>
    <cellStyle name="常规 3 2 3 2 4 2 3 4" xfId="11560"/>
    <cellStyle name="常规 3 2 3 2 4 2 3 4 2" xfId="30408"/>
    <cellStyle name="常规 3 2 3 2 4 2 3 5" xfId="20984"/>
    <cellStyle name="常规 3 2 3 2 4 2 4" xfId="2924"/>
    <cellStyle name="常规 3 2 3 2 4 2 4 2" xfId="6060"/>
    <cellStyle name="常规 3 2 3 2 4 2 4 2 2" xfId="15480"/>
    <cellStyle name="常规 3 2 3 2 4 2 4 2 2 2" xfId="34328"/>
    <cellStyle name="常规 3 2 3 2 4 2 4 2 3" xfId="24904"/>
    <cellStyle name="常规 3 2 3 2 4 2 4 3" xfId="9196"/>
    <cellStyle name="常规 3 2 3 2 4 2 4 3 2" xfId="18616"/>
    <cellStyle name="常规 3 2 3 2 4 2 4 3 2 2" xfId="37464"/>
    <cellStyle name="常规 3 2 3 2 4 2 4 3 3" xfId="28040"/>
    <cellStyle name="常规 3 2 3 2 4 2 4 4" xfId="12344"/>
    <cellStyle name="常规 3 2 3 2 4 2 4 4 2" xfId="31192"/>
    <cellStyle name="常规 3 2 3 2 4 2 4 5" xfId="21768"/>
    <cellStyle name="常规 3 2 3 2 4 2 5" xfId="3708"/>
    <cellStyle name="常规 3 2 3 2 4 2 5 2" xfId="13128"/>
    <cellStyle name="常规 3 2 3 2 4 2 5 2 2" xfId="31976"/>
    <cellStyle name="常规 3 2 3 2 4 2 5 3" xfId="22552"/>
    <cellStyle name="常规 3 2 3 2 4 2 6" xfId="6844"/>
    <cellStyle name="常规 3 2 3 2 4 2 6 2" xfId="16264"/>
    <cellStyle name="常规 3 2 3 2 4 2 6 2 2" xfId="35112"/>
    <cellStyle name="常规 3 2 3 2 4 2 6 3" xfId="25688"/>
    <cellStyle name="常规 3 2 3 2 4 2 7" xfId="9992"/>
    <cellStyle name="常规 3 2 3 2 4 2 7 2" xfId="28840"/>
    <cellStyle name="常规 3 2 3 2 4 2 8" xfId="19416"/>
    <cellStyle name="常规 3 2 3 2 4 3" xfId="962"/>
    <cellStyle name="常规 3 2 3 2 4 3 2" xfId="4098"/>
    <cellStyle name="常规 3 2 3 2 4 3 2 2" xfId="13518"/>
    <cellStyle name="常规 3 2 3 2 4 3 2 2 2" xfId="32366"/>
    <cellStyle name="常规 3 2 3 2 4 3 2 3" xfId="22942"/>
    <cellStyle name="常规 3 2 3 2 4 3 3" xfId="7234"/>
    <cellStyle name="常规 3 2 3 2 4 3 3 2" xfId="16654"/>
    <cellStyle name="常规 3 2 3 2 4 3 3 2 2" xfId="35502"/>
    <cellStyle name="常规 3 2 3 2 4 3 3 3" xfId="26078"/>
    <cellStyle name="常规 3 2 3 2 4 3 4" xfId="10382"/>
    <cellStyle name="常规 3 2 3 2 4 3 4 2" xfId="29230"/>
    <cellStyle name="常规 3 2 3 2 4 3 5" xfId="19806"/>
    <cellStyle name="常规 3 2 3 2 4 4" xfId="1746"/>
    <cellStyle name="常规 3 2 3 2 4 4 2" xfId="4882"/>
    <cellStyle name="常规 3 2 3 2 4 4 2 2" xfId="14302"/>
    <cellStyle name="常规 3 2 3 2 4 4 2 2 2" xfId="33150"/>
    <cellStyle name="常规 3 2 3 2 4 4 2 3" xfId="23726"/>
    <cellStyle name="常规 3 2 3 2 4 4 3" xfId="8018"/>
    <cellStyle name="常规 3 2 3 2 4 4 3 2" xfId="17438"/>
    <cellStyle name="常规 3 2 3 2 4 4 3 2 2" xfId="36286"/>
    <cellStyle name="常规 3 2 3 2 4 4 3 3" xfId="26862"/>
    <cellStyle name="常规 3 2 3 2 4 4 4" xfId="11166"/>
    <cellStyle name="常规 3 2 3 2 4 4 4 2" xfId="30014"/>
    <cellStyle name="常规 3 2 3 2 4 4 5" xfId="20590"/>
    <cellStyle name="常规 3 2 3 2 4 5" xfId="2530"/>
    <cellStyle name="常规 3 2 3 2 4 5 2" xfId="5666"/>
    <cellStyle name="常规 3 2 3 2 4 5 2 2" xfId="15086"/>
    <cellStyle name="常规 3 2 3 2 4 5 2 2 2" xfId="33934"/>
    <cellStyle name="常规 3 2 3 2 4 5 2 3" xfId="24510"/>
    <cellStyle name="常规 3 2 3 2 4 5 3" xfId="8802"/>
    <cellStyle name="常规 3 2 3 2 4 5 3 2" xfId="18222"/>
    <cellStyle name="常规 3 2 3 2 4 5 3 2 2" xfId="37070"/>
    <cellStyle name="常规 3 2 3 2 4 5 3 3" xfId="27646"/>
    <cellStyle name="常规 3 2 3 2 4 5 4" xfId="11950"/>
    <cellStyle name="常规 3 2 3 2 4 5 4 2" xfId="30798"/>
    <cellStyle name="常规 3 2 3 2 4 5 5" xfId="21374"/>
    <cellStyle name="常规 3 2 3 2 4 6" xfId="3366"/>
    <cellStyle name="常规 3 2 3 2 4 6 2" xfId="12786"/>
    <cellStyle name="常规 3 2 3 2 4 6 2 2" xfId="31634"/>
    <cellStyle name="常规 3 2 3 2 4 6 3" xfId="22210"/>
    <cellStyle name="常规 3 2 3 2 4 7" xfId="6450"/>
    <cellStyle name="常规 3 2 3 2 4 7 2" xfId="15870"/>
    <cellStyle name="常规 3 2 3 2 4 7 2 2" xfId="34718"/>
    <cellStyle name="常规 3 2 3 2 4 7 3" xfId="25294"/>
    <cellStyle name="常规 3 2 3 2 4 8" xfId="9597"/>
    <cellStyle name="常规 3 2 3 2 4 8 2" xfId="28442"/>
    <cellStyle name="常规 3 2 3 2 4 9" xfId="19020"/>
    <cellStyle name="常规 3 2 3 2 5" xfId="565"/>
    <cellStyle name="常规 3 2 3 2 5 2" xfId="1349"/>
    <cellStyle name="常规 3 2 3 2 5 2 2" xfId="4485"/>
    <cellStyle name="常规 3 2 3 2 5 2 2 2" xfId="13905"/>
    <cellStyle name="常规 3 2 3 2 5 2 2 2 2" xfId="32753"/>
    <cellStyle name="常规 3 2 3 2 5 2 2 3" xfId="23329"/>
    <cellStyle name="常规 3 2 3 2 5 2 3" xfId="7621"/>
    <cellStyle name="常规 3 2 3 2 5 2 3 2" xfId="17041"/>
    <cellStyle name="常规 3 2 3 2 5 2 3 2 2" xfId="35889"/>
    <cellStyle name="常规 3 2 3 2 5 2 3 3" xfId="26465"/>
    <cellStyle name="常规 3 2 3 2 5 2 4" xfId="10769"/>
    <cellStyle name="常规 3 2 3 2 5 2 4 2" xfId="29617"/>
    <cellStyle name="常规 3 2 3 2 5 2 5" xfId="20193"/>
    <cellStyle name="常规 3 2 3 2 5 3" xfId="2133"/>
    <cellStyle name="常规 3 2 3 2 5 3 2" xfId="5269"/>
    <cellStyle name="常规 3 2 3 2 5 3 2 2" xfId="14689"/>
    <cellStyle name="常规 3 2 3 2 5 3 2 2 2" xfId="33537"/>
    <cellStyle name="常规 3 2 3 2 5 3 2 3" xfId="24113"/>
    <cellStyle name="常规 3 2 3 2 5 3 3" xfId="8405"/>
    <cellStyle name="常规 3 2 3 2 5 3 3 2" xfId="17825"/>
    <cellStyle name="常规 3 2 3 2 5 3 3 2 2" xfId="36673"/>
    <cellStyle name="常规 3 2 3 2 5 3 3 3" xfId="27249"/>
    <cellStyle name="常规 3 2 3 2 5 3 4" xfId="11553"/>
    <cellStyle name="常规 3 2 3 2 5 3 4 2" xfId="30401"/>
    <cellStyle name="常规 3 2 3 2 5 3 5" xfId="20977"/>
    <cellStyle name="常规 3 2 3 2 5 4" xfId="2917"/>
    <cellStyle name="常规 3 2 3 2 5 4 2" xfId="6053"/>
    <cellStyle name="常规 3 2 3 2 5 4 2 2" xfId="15473"/>
    <cellStyle name="常规 3 2 3 2 5 4 2 2 2" xfId="34321"/>
    <cellStyle name="常规 3 2 3 2 5 4 2 3" xfId="24897"/>
    <cellStyle name="常规 3 2 3 2 5 4 3" xfId="9189"/>
    <cellStyle name="常规 3 2 3 2 5 4 3 2" xfId="18609"/>
    <cellStyle name="常规 3 2 3 2 5 4 3 2 2" xfId="37457"/>
    <cellStyle name="常规 3 2 3 2 5 4 3 3" xfId="28033"/>
    <cellStyle name="常规 3 2 3 2 5 4 4" xfId="12337"/>
    <cellStyle name="常规 3 2 3 2 5 4 4 2" xfId="31185"/>
    <cellStyle name="常规 3 2 3 2 5 4 5" xfId="21761"/>
    <cellStyle name="常规 3 2 3 2 5 5" xfId="3701"/>
    <cellStyle name="常规 3 2 3 2 5 5 2" xfId="13121"/>
    <cellStyle name="常规 3 2 3 2 5 5 2 2" xfId="31969"/>
    <cellStyle name="常规 3 2 3 2 5 5 3" xfId="22545"/>
    <cellStyle name="常规 3 2 3 2 5 6" xfId="6837"/>
    <cellStyle name="常规 3 2 3 2 5 6 2" xfId="16257"/>
    <cellStyle name="常规 3 2 3 2 5 6 2 2" xfId="35105"/>
    <cellStyle name="常规 3 2 3 2 5 6 3" xfId="25681"/>
    <cellStyle name="常规 3 2 3 2 5 7" xfId="9985"/>
    <cellStyle name="常规 3 2 3 2 5 7 2" xfId="28833"/>
    <cellStyle name="常规 3 2 3 2 5 8" xfId="19409"/>
    <cellStyle name="常规 3 2 3 2 6" xfId="955"/>
    <cellStyle name="常规 3 2 3 2 6 2" xfId="4091"/>
    <cellStyle name="常规 3 2 3 2 6 2 2" xfId="13511"/>
    <cellStyle name="常规 3 2 3 2 6 2 2 2" xfId="32359"/>
    <cellStyle name="常规 3 2 3 2 6 2 3" xfId="22935"/>
    <cellStyle name="常规 3 2 3 2 6 3" xfId="7227"/>
    <cellStyle name="常规 3 2 3 2 6 3 2" xfId="16647"/>
    <cellStyle name="常规 3 2 3 2 6 3 2 2" xfId="35495"/>
    <cellStyle name="常规 3 2 3 2 6 3 3" xfId="26071"/>
    <cellStyle name="常规 3 2 3 2 6 4" xfId="10375"/>
    <cellStyle name="常规 3 2 3 2 6 4 2" xfId="29223"/>
    <cellStyle name="常规 3 2 3 2 6 5" xfId="19799"/>
    <cellStyle name="常规 3 2 3 2 7" xfId="1739"/>
    <cellStyle name="常规 3 2 3 2 7 2" xfId="4875"/>
    <cellStyle name="常规 3 2 3 2 7 2 2" xfId="14295"/>
    <cellStyle name="常规 3 2 3 2 7 2 2 2" xfId="33143"/>
    <cellStyle name="常规 3 2 3 2 7 2 3" xfId="23719"/>
    <cellStyle name="常规 3 2 3 2 7 3" xfId="8011"/>
    <cellStyle name="常规 3 2 3 2 7 3 2" xfId="17431"/>
    <cellStyle name="常规 3 2 3 2 7 3 2 2" xfId="36279"/>
    <cellStyle name="常规 3 2 3 2 7 3 3" xfId="26855"/>
    <cellStyle name="常规 3 2 3 2 7 4" xfId="11159"/>
    <cellStyle name="常规 3 2 3 2 7 4 2" xfId="30007"/>
    <cellStyle name="常规 3 2 3 2 7 5" xfId="20583"/>
    <cellStyle name="常规 3 2 3 2 8" xfId="2523"/>
    <cellStyle name="常规 3 2 3 2 8 2" xfId="5659"/>
    <cellStyle name="常规 3 2 3 2 8 2 2" xfId="15079"/>
    <cellStyle name="常规 3 2 3 2 8 2 2 2" xfId="33927"/>
    <cellStyle name="常规 3 2 3 2 8 2 3" xfId="24503"/>
    <cellStyle name="常规 3 2 3 2 8 3" xfId="8795"/>
    <cellStyle name="常规 3 2 3 2 8 3 2" xfId="18215"/>
    <cellStyle name="常规 3 2 3 2 8 3 2 2" xfId="37063"/>
    <cellStyle name="常规 3 2 3 2 8 3 3" xfId="27639"/>
    <cellStyle name="常规 3 2 3 2 8 4" xfId="11943"/>
    <cellStyle name="常规 3 2 3 2 8 4 2" xfId="30791"/>
    <cellStyle name="常规 3 2 3 2 8 5" xfId="21367"/>
    <cellStyle name="常规 3 2 3 2 9" xfId="3167"/>
    <cellStyle name="常规 3 2 3 2 9 2" xfId="12587"/>
    <cellStyle name="常规 3 2 3 2 9 2 2" xfId="31435"/>
    <cellStyle name="常规 3 2 3 2 9 3" xfId="22011"/>
    <cellStyle name="常规 3 2 3 3" xfId="175"/>
    <cellStyle name="常规 3 2 3 3 10" xfId="9598"/>
    <cellStyle name="常规 3 2 3 3 10 2" xfId="28443"/>
    <cellStyle name="常规 3 2 3 3 11" xfId="19021"/>
    <cellStyle name="常规 3 2 3 3 2" xfId="176"/>
    <cellStyle name="常规 3 2 3 3 2 10" xfId="19022"/>
    <cellStyle name="常规 3 2 3 3 2 2" xfId="177"/>
    <cellStyle name="常规 3 2 3 3 2 2 2" xfId="575"/>
    <cellStyle name="常规 3 2 3 3 2 2 2 2" xfId="1359"/>
    <cellStyle name="常规 3 2 3 3 2 2 2 2 2" xfId="4495"/>
    <cellStyle name="常规 3 2 3 3 2 2 2 2 2 2" xfId="13915"/>
    <cellStyle name="常规 3 2 3 3 2 2 2 2 2 2 2" xfId="32763"/>
    <cellStyle name="常规 3 2 3 3 2 2 2 2 2 3" xfId="23339"/>
    <cellStyle name="常规 3 2 3 3 2 2 2 2 3" xfId="7631"/>
    <cellStyle name="常规 3 2 3 3 2 2 2 2 3 2" xfId="17051"/>
    <cellStyle name="常规 3 2 3 3 2 2 2 2 3 2 2" xfId="35899"/>
    <cellStyle name="常规 3 2 3 3 2 2 2 2 3 3" xfId="26475"/>
    <cellStyle name="常规 3 2 3 3 2 2 2 2 4" xfId="10779"/>
    <cellStyle name="常规 3 2 3 3 2 2 2 2 4 2" xfId="29627"/>
    <cellStyle name="常规 3 2 3 3 2 2 2 2 5" xfId="20203"/>
    <cellStyle name="常规 3 2 3 3 2 2 2 3" xfId="2143"/>
    <cellStyle name="常规 3 2 3 3 2 2 2 3 2" xfId="5279"/>
    <cellStyle name="常规 3 2 3 3 2 2 2 3 2 2" xfId="14699"/>
    <cellStyle name="常规 3 2 3 3 2 2 2 3 2 2 2" xfId="33547"/>
    <cellStyle name="常规 3 2 3 3 2 2 2 3 2 3" xfId="24123"/>
    <cellStyle name="常规 3 2 3 3 2 2 2 3 3" xfId="8415"/>
    <cellStyle name="常规 3 2 3 3 2 2 2 3 3 2" xfId="17835"/>
    <cellStyle name="常规 3 2 3 3 2 2 2 3 3 2 2" xfId="36683"/>
    <cellStyle name="常规 3 2 3 3 2 2 2 3 3 3" xfId="27259"/>
    <cellStyle name="常规 3 2 3 3 2 2 2 3 4" xfId="11563"/>
    <cellStyle name="常规 3 2 3 3 2 2 2 3 4 2" xfId="30411"/>
    <cellStyle name="常规 3 2 3 3 2 2 2 3 5" xfId="20987"/>
    <cellStyle name="常规 3 2 3 3 2 2 2 4" xfId="2927"/>
    <cellStyle name="常规 3 2 3 3 2 2 2 4 2" xfId="6063"/>
    <cellStyle name="常规 3 2 3 3 2 2 2 4 2 2" xfId="15483"/>
    <cellStyle name="常规 3 2 3 3 2 2 2 4 2 2 2" xfId="34331"/>
    <cellStyle name="常规 3 2 3 3 2 2 2 4 2 3" xfId="24907"/>
    <cellStyle name="常规 3 2 3 3 2 2 2 4 3" xfId="9199"/>
    <cellStyle name="常规 3 2 3 3 2 2 2 4 3 2" xfId="18619"/>
    <cellStyle name="常规 3 2 3 3 2 2 2 4 3 2 2" xfId="37467"/>
    <cellStyle name="常规 3 2 3 3 2 2 2 4 3 3" xfId="28043"/>
    <cellStyle name="常规 3 2 3 3 2 2 2 4 4" xfId="12347"/>
    <cellStyle name="常规 3 2 3 3 2 2 2 4 4 2" xfId="31195"/>
    <cellStyle name="常规 3 2 3 3 2 2 2 4 5" xfId="21771"/>
    <cellStyle name="常规 3 2 3 3 2 2 2 5" xfId="3711"/>
    <cellStyle name="常规 3 2 3 3 2 2 2 5 2" xfId="13131"/>
    <cellStyle name="常规 3 2 3 3 2 2 2 5 2 2" xfId="31979"/>
    <cellStyle name="常规 3 2 3 3 2 2 2 5 3" xfId="22555"/>
    <cellStyle name="常规 3 2 3 3 2 2 2 6" xfId="6847"/>
    <cellStyle name="常规 3 2 3 3 2 2 2 6 2" xfId="16267"/>
    <cellStyle name="常规 3 2 3 3 2 2 2 6 2 2" xfId="35115"/>
    <cellStyle name="常规 3 2 3 3 2 2 2 6 3" xfId="25691"/>
    <cellStyle name="常规 3 2 3 3 2 2 2 7" xfId="9995"/>
    <cellStyle name="常规 3 2 3 3 2 2 2 7 2" xfId="28843"/>
    <cellStyle name="常规 3 2 3 3 2 2 2 8" xfId="19419"/>
    <cellStyle name="常规 3 2 3 3 2 2 3" xfId="965"/>
    <cellStyle name="常规 3 2 3 3 2 2 3 2" xfId="4101"/>
    <cellStyle name="常规 3 2 3 3 2 2 3 2 2" xfId="13521"/>
    <cellStyle name="常规 3 2 3 3 2 2 3 2 2 2" xfId="32369"/>
    <cellStyle name="常规 3 2 3 3 2 2 3 2 3" xfId="22945"/>
    <cellStyle name="常规 3 2 3 3 2 2 3 3" xfId="7237"/>
    <cellStyle name="常规 3 2 3 3 2 2 3 3 2" xfId="16657"/>
    <cellStyle name="常规 3 2 3 3 2 2 3 3 2 2" xfId="35505"/>
    <cellStyle name="常规 3 2 3 3 2 2 3 3 3" xfId="26081"/>
    <cellStyle name="常规 3 2 3 3 2 2 3 4" xfId="10385"/>
    <cellStyle name="常规 3 2 3 3 2 2 3 4 2" xfId="29233"/>
    <cellStyle name="常规 3 2 3 3 2 2 3 5" xfId="19809"/>
    <cellStyle name="常规 3 2 3 3 2 2 4" xfId="1749"/>
    <cellStyle name="常规 3 2 3 3 2 2 4 2" xfId="4885"/>
    <cellStyle name="常规 3 2 3 3 2 2 4 2 2" xfId="14305"/>
    <cellStyle name="常规 3 2 3 3 2 2 4 2 2 2" xfId="33153"/>
    <cellStyle name="常规 3 2 3 3 2 2 4 2 3" xfId="23729"/>
    <cellStyle name="常规 3 2 3 3 2 2 4 3" xfId="8021"/>
    <cellStyle name="常规 3 2 3 3 2 2 4 3 2" xfId="17441"/>
    <cellStyle name="常规 3 2 3 3 2 2 4 3 2 2" xfId="36289"/>
    <cellStyle name="常规 3 2 3 3 2 2 4 3 3" xfId="26865"/>
    <cellStyle name="常规 3 2 3 3 2 2 4 4" xfId="11169"/>
    <cellStyle name="常规 3 2 3 3 2 2 4 4 2" xfId="30017"/>
    <cellStyle name="常规 3 2 3 3 2 2 4 5" xfId="20593"/>
    <cellStyle name="常规 3 2 3 3 2 2 5" xfId="2533"/>
    <cellStyle name="常规 3 2 3 3 2 2 5 2" xfId="5669"/>
    <cellStyle name="常规 3 2 3 3 2 2 5 2 2" xfId="15089"/>
    <cellStyle name="常规 3 2 3 3 2 2 5 2 2 2" xfId="33937"/>
    <cellStyle name="常规 3 2 3 3 2 2 5 2 3" xfId="24513"/>
    <cellStyle name="常规 3 2 3 3 2 2 5 3" xfId="8805"/>
    <cellStyle name="常规 3 2 3 3 2 2 5 3 2" xfId="18225"/>
    <cellStyle name="常规 3 2 3 3 2 2 5 3 2 2" xfId="37073"/>
    <cellStyle name="常规 3 2 3 3 2 2 5 3 3" xfId="27649"/>
    <cellStyle name="常规 3 2 3 3 2 2 5 4" xfId="11953"/>
    <cellStyle name="常规 3 2 3 3 2 2 5 4 2" xfId="30801"/>
    <cellStyle name="常规 3 2 3 3 2 2 5 5" xfId="21377"/>
    <cellStyle name="常规 3 2 3 3 2 2 6" xfId="3368"/>
    <cellStyle name="常规 3 2 3 3 2 2 6 2" xfId="12788"/>
    <cellStyle name="常规 3 2 3 3 2 2 6 2 2" xfId="31636"/>
    <cellStyle name="常规 3 2 3 3 2 2 6 3" xfId="22212"/>
    <cellStyle name="常规 3 2 3 3 2 2 7" xfId="6453"/>
    <cellStyle name="常规 3 2 3 3 2 2 7 2" xfId="15873"/>
    <cellStyle name="常规 3 2 3 3 2 2 7 2 2" xfId="34721"/>
    <cellStyle name="常规 3 2 3 3 2 2 7 3" xfId="25297"/>
    <cellStyle name="常规 3 2 3 3 2 2 8" xfId="9600"/>
    <cellStyle name="常规 3 2 3 3 2 2 8 2" xfId="28445"/>
    <cellStyle name="常规 3 2 3 3 2 2 9" xfId="19023"/>
    <cellStyle name="常规 3 2 3 3 2 3" xfId="574"/>
    <cellStyle name="常规 3 2 3 3 2 3 2" xfId="1358"/>
    <cellStyle name="常规 3 2 3 3 2 3 2 2" xfId="4494"/>
    <cellStyle name="常规 3 2 3 3 2 3 2 2 2" xfId="13914"/>
    <cellStyle name="常规 3 2 3 3 2 3 2 2 2 2" xfId="32762"/>
    <cellStyle name="常规 3 2 3 3 2 3 2 2 3" xfId="23338"/>
    <cellStyle name="常规 3 2 3 3 2 3 2 3" xfId="7630"/>
    <cellStyle name="常规 3 2 3 3 2 3 2 3 2" xfId="17050"/>
    <cellStyle name="常规 3 2 3 3 2 3 2 3 2 2" xfId="35898"/>
    <cellStyle name="常规 3 2 3 3 2 3 2 3 3" xfId="26474"/>
    <cellStyle name="常规 3 2 3 3 2 3 2 4" xfId="10778"/>
    <cellStyle name="常规 3 2 3 3 2 3 2 4 2" xfId="29626"/>
    <cellStyle name="常规 3 2 3 3 2 3 2 5" xfId="20202"/>
    <cellStyle name="常规 3 2 3 3 2 3 3" xfId="2142"/>
    <cellStyle name="常规 3 2 3 3 2 3 3 2" xfId="5278"/>
    <cellStyle name="常规 3 2 3 3 2 3 3 2 2" xfId="14698"/>
    <cellStyle name="常规 3 2 3 3 2 3 3 2 2 2" xfId="33546"/>
    <cellStyle name="常规 3 2 3 3 2 3 3 2 3" xfId="24122"/>
    <cellStyle name="常规 3 2 3 3 2 3 3 3" xfId="8414"/>
    <cellStyle name="常规 3 2 3 3 2 3 3 3 2" xfId="17834"/>
    <cellStyle name="常规 3 2 3 3 2 3 3 3 2 2" xfId="36682"/>
    <cellStyle name="常规 3 2 3 3 2 3 3 3 3" xfId="27258"/>
    <cellStyle name="常规 3 2 3 3 2 3 3 4" xfId="11562"/>
    <cellStyle name="常规 3 2 3 3 2 3 3 4 2" xfId="30410"/>
    <cellStyle name="常规 3 2 3 3 2 3 3 5" xfId="20986"/>
    <cellStyle name="常规 3 2 3 3 2 3 4" xfId="2926"/>
    <cellStyle name="常规 3 2 3 3 2 3 4 2" xfId="6062"/>
    <cellStyle name="常规 3 2 3 3 2 3 4 2 2" xfId="15482"/>
    <cellStyle name="常规 3 2 3 3 2 3 4 2 2 2" xfId="34330"/>
    <cellStyle name="常规 3 2 3 3 2 3 4 2 3" xfId="24906"/>
    <cellStyle name="常规 3 2 3 3 2 3 4 3" xfId="9198"/>
    <cellStyle name="常规 3 2 3 3 2 3 4 3 2" xfId="18618"/>
    <cellStyle name="常规 3 2 3 3 2 3 4 3 2 2" xfId="37466"/>
    <cellStyle name="常规 3 2 3 3 2 3 4 3 3" xfId="28042"/>
    <cellStyle name="常规 3 2 3 3 2 3 4 4" xfId="12346"/>
    <cellStyle name="常规 3 2 3 3 2 3 4 4 2" xfId="31194"/>
    <cellStyle name="常规 3 2 3 3 2 3 4 5" xfId="21770"/>
    <cellStyle name="常规 3 2 3 3 2 3 5" xfId="3710"/>
    <cellStyle name="常规 3 2 3 3 2 3 5 2" xfId="13130"/>
    <cellStyle name="常规 3 2 3 3 2 3 5 2 2" xfId="31978"/>
    <cellStyle name="常规 3 2 3 3 2 3 5 3" xfId="22554"/>
    <cellStyle name="常规 3 2 3 3 2 3 6" xfId="6846"/>
    <cellStyle name="常规 3 2 3 3 2 3 6 2" xfId="16266"/>
    <cellStyle name="常规 3 2 3 3 2 3 6 2 2" xfId="35114"/>
    <cellStyle name="常规 3 2 3 3 2 3 6 3" xfId="25690"/>
    <cellStyle name="常规 3 2 3 3 2 3 7" xfId="9994"/>
    <cellStyle name="常规 3 2 3 3 2 3 7 2" xfId="28842"/>
    <cellStyle name="常规 3 2 3 3 2 3 8" xfId="19418"/>
    <cellStyle name="常规 3 2 3 3 2 4" xfId="964"/>
    <cellStyle name="常规 3 2 3 3 2 4 2" xfId="4100"/>
    <cellStyle name="常规 3 2 3 3 2 4 2 2" xfId="13520"/>
    <cellStyle name="常规 3 2 3 3 2 4 2 2 2" xfId="32368"/>
    <cellStyle name="常规 3 2 3 3 2 4 2 3" xfId="22944"/>
    <cellStyle name="常规 3 2 3 3 2 4 3" xfId="7236"/>
    <cellStyle name="常规 3 2 3 3 2 4 3 2" xfId="16656"/>
    <cellStyle name="常规 3 2 3 3 2 4 3 2 2" xfId="35504"/>
    <cellStyle name="常规 3 2 3 3 2 4 3 3" xfId="26080"/>
    <cellStyle name="常规 3 2 3 3 2 4 4" xfId="10384"/>
    <cellStyle name="常规 3 2 3 3 2 4 4 2" xfId="29232"/>
    <cellStyle name="常规 3 2 3 3 2 4 5" xfId="19808"/>
    <cellStyle name="常规 3 2 3 3 2 5" xfId="1748"/>
    <cellStyle name="常规 3 2 3 3 2 5 2" xfId="4884"/>
    <cellStyle name="常规 3 2 3 3 2 5 2 2" xfId="14304"/>
    <cellStyle name="常规 3 2 3 3 2 5 2 2 2" xfId="33152"/>
    <cellStyle name="常规 3 2 3 3 2 5 2 3" xfId="23728"/>
    <cellStyle name="常规 3 2 3 3 2 5 3" xfId="8020"/>
    <cellStyle name="常规 3 2 3 3 2 5 3 2" xfId="17440"/>
    <cellStyle name="常规 3 2 3 3 2 5 3 2 2" xfId="36288"/>
    <cellStyle name="常规 3 2 3 3 2 5 3 3" xfId="26864"/>
    <cellStyle name="常规 3 2 3 3 2 5 4" xfId="11168"/>
    <cellStyle name="常规 3 2 3 3 2 5 4 2" xfId="30016"/>
    <cellStyle name="常规 3 2 3 3 2 5 5" xfId="20592"/>
    <cellStyle name="常规 3 2 3 3 2 6" xfId="2532"/>
    <cellStyle name="常规 3 2 3 3 2 6 2" xfId="5668"/>
    <cellStyle name="常规 3 2 3 3 2 6 2 2" xfId="15088"/>
    <cellStyle name="常规 3 2 3 3 2 6 2 2 2" xfId="33936"/>
    <cellStyle name="常规 3 2 3 3 2 6 2 3" xfId="24512"/>
    <cellStyle name="常规 3 2 3 3 2 6 3" xfId="8804"/>
    <cellStyle name="常规 3 2 3 3 2 6 3 2" xfId="18224"/>
    <cellStyle name="常规 3 2 3 3 2 6 3 2 2" xfId="37072"/>
    <cellStyle name="常规 3 2 3 3 2 6 3 3" xfId="27648"/>
    <cellStyle name="常规 3 2 3 3 2 6 4" xfId="11952"/>
    <cellStyle name="常规 3 2 3 3 2 6 4 2" xfId="30800"/>
    <cellStyle name="常规 3 2 3 3 2 6 5" xfId="21376"/>
    <cellStyle name="常规 3 2 3 3 2 7" xfId="3367"/>
    <cellStyle name="常规 3 2 3 3 2 7 2" xfId="12787"/>
    <cellStyle name="常规 3 2 3 3 2 7 2 2" xfId="31635"/>
    <cellStyle name="常规 3 2 3 3 2 7 3" xfId="22211"/>
    <cellStyle name="常规 3 2 3 3 2 8" xfId="6452"/>
    <cellStyle name="常规 3 2 3 3 2 8 2" xfId="15872"/>
    <cellStyle name="常规 3 2 3 3 2 8 2 2" xfId="34720"/>
    <cellStyle name="常规 3 2 3 3 2 8 3" xfId="25296"/>
    <cellStyle name="常规 3 2 3 3 2 9" xfId="9599"/>
    <cellStyle name="常规 3 2 3 3 2 9 2" xfId="28444"/>
    <cellStyle name="常规 3 2 3 3 3" xfId="178"/>
    <cellStyle name="常规 3 2 3 3 3 2" xfId="576"/>
    <cellStyle name="常规 3 2 3 3 3 2 2" xfId="1360"/>
    <cellStyle name="常规 3 2 3 3 3 2 2 2" xfId="4496"/>
    <cellStyle name="常规 3 2 3 3 3 2 2 2 2" xfId="13916"/>
    <cellStyle name="常规 3 2 3 3 3 2 2 2 2 2" xfId="32764"/>
    <cellStyle name="常规 3 2 3 3 3 2 2 2 3" xfId="23340"/>
    <cellStyle name="常规 3 2 3 3 3 2 2 3" xfId="7632"/>
    <cellStyle name="常规 3 2 3 3 3 2 2 3 2" xfId="17052"/>
    <cellStyle name="常规 3 2 3 3 3 2 2 3 2 2" xfId="35900"/>
    <cellStyle name="常规 3 2 3 3 3 2 2 3 3" xfId="26476"/>
    <cellStyle name="常规 3 2 3 3 3 2 2 4" xfId="10780"/>
    <cellStyle name="常规 3 2 3 3 3 2 2 4 2" xfId="29628"/>
    <cellStyle name="常规 3 2 3 3 3 2 2 5" xfId="20204"/>
    <cellStyle name="常规 3 2 3 3 3 2 3" xfId="2144"/>
    <cellStyle name="常规 3 2 3 3 3 2 3 2" xfId="5280"/>
    <cellStyle name="常规 3 2 3 3 3 2 3 2 2" xfId="14700"/>
    <cellStyle name="常规 3 2 3 3 3 2 3 2 2 2" xfId="33548"/>
    <cellStyle name="常规 3 2 3 3 3 2 3 2 3" xfId="24124"/>
    <cellStyle name="常规 3 2 3 3 3 2 3 3" xfId="8416"/>
    <cellStyle name="常规 3 2 3 3 3 2 3 3 2" xfId="17836"/>
    <cellStyle name="常规 3 2 3 3 3 2 3 3 2 2" xfId="36684"/>
    <cellStyle name="常规 3 2 3 3 3 2 3 3 3" xfId="27260"/>
    <cellStyle name="常规 3 2 3 3 3 2 3 4" xfId="11564"/>
    <cellStyle name="常规 3 2 3 3 3 2 3 4 2" xfId="30412"/>
    <cellStyle name="常规 3 2 3 3 3 2 3 5" xfId="20988"/>
    <cellStyle name="常规 3 2 3 3 3 2 4" xfId="2928"/>
    <cellStyle name="常规 3 2 3 3 3 2 4 2" xfId="6064"/>
    <cellStyle name="常规 3 2 3 3 3 2 4 2 2" xfId="15484"/>
    <cellStyle name="常规 3 2 3 3 3 2 4 2 2 2" xfId="34332"/>
    <cellStyle name="常规 3 2 3 3 3 2 4 2 3" xfId="24908"/>
    <cellStyle name="常规 3 2 3 3 3 2 4 3" xfId="9200"/>
    <cellStyle name="常规 3 2 3 3 3 2 4 3 2" xfId="18620"/>
    <cellStyle name="常规 3 2 3 3 3 2 4 3 2 2" xfId="37468"/>
    <cellStyle name="常规 3 2 3 3 3 2 4 3 3" xfId="28044"/>
    <cellStyle name="常规 3 2 3 3 3 2 4 4" xfId="12348"/>
    <cellStyle name="常规 3 2 3 3 3 2 4 4 2" xfId="31196"/>
    <cellStyle name="常规 3 2 3 3 3 2 4 5" xfId="21772"/>
    <cellStyle name="常规 3 2 3 3 3 2 5" xfId="3712"/>
    <cellStyle name="常规 3 2 3 3 3 2 5 2" xfId="13132"/>
    <cellStyle name="常规 3 2 3 3 3 2 5 2 2" xfId="31980"/>
    <cellStyle name="常规 3 2 3 3 3 2 5 3" xfId="22556"/>
    <cellStyle name="常规 3 2 3 3 3 2 6" xfId="6848"/>
    <cellStyle name="常规 3 2 3 3 3 2 6 2" xfId="16268"/>
    <cellStyle name="常规 3 2 3 3 3 2 6 2 2" xfId="35116"/>
    <cellStyle name="常规 3 2 3 3 3 2 6 3" xfId="25692"/>
    <cellStyle name="常规 3 2 3 3 3 2 7" xfId="9996"/>
    <cellStyle name="常规 3 2 3 3 3 2 7 2" xfId="28844"/>
    <cellStyle name="常规 3 2 3 3 3 2 8" xfId="19420"/>
    <cellStyle name="常规 3 2 3 3 3 3" xfId="966"/>
    <cellStyle name="常规 3 2 3 3 3 3 2" xfId="4102"/>
    <cellStyle name="常规 3 2 3 3 3 3 2 2" xfId="13522"/>
    <cellStyle name="常规 3 2 3 3 3 3 2 2 2" xfId="32370"/>
    <cellStyle name="常规 3 2 3 3 3 3 2 3" xfId="22946"/>
    <cellStyle name="常规 3 2 3 3 3 3 3" xfId="7238"/>
    <cellStyle name="常规 3 2 3 3 3 3 3 2" xfId="16658"/>
    <cellStyle name="常规 3 2 3 3 3 3 3 2 2" xfId="35506"/>
    <cellStyle name="常规 3 2 3 3 3 3 3 3" xfId="26082"/>
    <cellStyle name="常规 3 2 3 3 3 3 4" xfId="10386"/>
    <cellStyle name="常规 3 2 3 3 3 3 4 2" xfId="29234"/>
    <cellStyle name="常规 3 2 3 3 3 3 5" xfId="19810"/>
    <cellStyle name="常规 3 2 3 3 3 4" xfId="1750"/>
    <cellStyle name="常规 3 2 3 3 3 4 2" xfId="4886"/>
    <cellStyle name="常规 3 2 3 3 3 4 2 2" xfId="14306"/>
    <cellStyle name="常规 3 2 3 3 3 4 2 2 2" xfId="33154"/>
    <cellStyle name="常规 3 2 3 3 3 4 2 3" xfId="23730"/>
    <cellStyle name="常规 3 2 3 3 3 4 3" xfId="8022"/>
    <cellStyle name="常规 3 2 3 3 3 4 3 2" xfId="17442"/>
    <cellStyle name="常规 3 2 3 3 3 4 3 2 2" xfId="36290"/>
    <cellStyle name="常规 3 2 3 3 3 4 3 3" xfId="26866"/>
    <cellStyle name="常规 3 2 3 3 3 4 4" xfId="11170"/>
    <cellStyle name="常规 3 2 3 3 3 4 4 2" xfId="30018"/>
    <cellStyle name="常规 3 2 3 3 3 4 5" xfId="20594"/>
    <cellStyle name="常规 3 2 3 3 3 5" xfId="2534"/>
    <cellStyle name="常规 3 2 3 3 3 5 2" xfId="5670"/>
    <cellStyle name="常规 3 2 3 3 3 5 2 2" xfId="15090"/>
    <cellStyle name="常规 3 2 3 3 3 5 2 2 2" xfId="33938"/>
    <cellStyle name="常规 3 2 3 3 3 5 2 3" xfId="24514"/>
    <cellStyle name="常规 3 2 3 3 3 5 3" xfId="8806"/>
    <cellStyle name="常规 3 2 3 3 3 5 3 2" xfId="18226"/>
    <cellStyle name="常规 3 2 3 3 3 5 3 2 2" xfId="37074"/>
    <cellStyle name="常规 3 2 3 3 3 5 3 3" xfId="27650"/>
    <cellStyle name="常规 3 2 3 3 3 5 4" xfId="11954"/>
    <cellStyle name="常规 3 2 3 3 3 5 4 2" xfId="30802"/>
    <cellStyle name="常规 3 2 3 3 3 5 5" xfId="21378"/>
    <cellStyle name="常规 3 2 3 3 3 6" xfId="3369"/>
    <cellStyle name="常规 3 2 3 3 3 6 2" xfId="12789"/>
    <cellStyle name="常规 3 2 3 3 3 6 2 2" xfId="31637"/>
    <cellStyle name="常规 3 2 3 3 3 6 3" xfId="22213"/>
    <cellStyle name="常规 3 2 3 3 3 7" xfId="6454"/>
    <cellStyle name="常规 3 2 3 3 3 7 2" xfId="15874"/>
    <cellStyle name="常规 3 2 3 3 3 7 2 2" xfId="34722"/>
    <cellStyle name="常规 3 2 3 3 3 7 3" xfId="25298"/>
    <cellStyle name="常规 3 2 3 3 3 8" xfId="9601"/>
    <cellStyle name="常规 3 2 3 3 3 8 2" xfId="28446"/>
    <cellStyle name="常规 3 2 3 3 3 9" xfId="19024"/>
    <cellStyle name="常规 3 2 3 3 4" xfId="573"/>
    <cellStyle name="常规 3 2 3 3 4 2" xfId="1357"/>
    <cellStyle name="常规 3 2 3 3 4 2 2" xfId="4493"/>
    <cellStyle name="常规 3 2 3 3 4 2 2 2" xfId="13913"/>
    <cellStyle name="常规 3 2 3 3 4 2 2 2 2" xfId="32761"/>
    <cellStyle name="常规 3 2 3 3 4 2 2 3" xfId="23337"/>
    <cellStyle name="常规 3 2 3 3 4 2 3" xfId="7629"/>
    <cellStyle name="常规 3 2 3 3 4 2 3 2" xfId="17049"/>
    <cellStyle name="常规 3 2 3 3 4 2 3 2 2" xfId="35897"/>
    <cellStyle name="常规 3 2 3 3 4 2 3 3" xfId="26473"/>
    <cellStyle name="常规 3 2 3 3 4 2 4" xfId="10777"/>
    <cellStyle name="常规 3 2 3 3 4 2 4 2" xfId="29625"/>
    <cellStyle name="常规 3 2 3 3 4 2 5" xfId="20201"/>
    <cellStyle name="常规 3 2 3 3 4 3" xfId="2141"/>
    <cellStyle name="常规 3 2 3 3 4 3 2" xfId="5277"/>
    <cellStyle name="常规 3 2 3 3 4 3 2 2" xfId="14697"/>
    <cellStyle name="常规 3 2 3 3 4 3 2 2 2" xfId="33545"/>
    <cellStyle name="常规 3 2 3 3 4 3 2 3" xfId="24121"/>
    <cellStyle name="常规 3 2 3 3 4 3 3" xfId="8413"/>
    <cellStyle name="常规 3 2 3 3 4 3 3 2" xfId="17833"/>
    <cellStyle name="常规 3 2 3 3 4 3 3 2 2" xfId="36681"/>
    <cellStyle name="常规 3 2 3 3 4 3 3 3" xfId="27257"/>
    <cellStyle name="常规 3 2 3 3 4 3 4" xfId="11561"/>
    <cellStyle name="常规 3 2 3 3 4 3 4 2" xfId="30409"/>
    <cellStyle name="常规 3 2 3 3 4 3 5" xfId="20985"/>
    <cellStyle name="常规 3 2 3 3 4 4" xfId="2925"/>
    <cellStyle name="常规 3 2 3 3 4 4 2" xfId="6061"/>
    <cellStyle name="常规 3 2 3 3 4 4 2 2" xfId="15481"/>
    <cellStyle name="常规 3 2 3 3 4 4 2 2 2" xfId="34329"/>
    <cellStyle name="常规 3 2 3 3 4 4 2 3" xfId="24905"/>
    <cellStyle name="常规 3 2 3 3 4 4 3" xfId="9197"/>
    <cellStyle name="常规 3 2 3 3 4 4 3 2" xfId="18617"/>
    <cellStyle name="常规 3 2 3 3 4 4 3 2 2" xfId="37465"/>
    <cellStyle name="常规 3 2 3 3 4 4 3 3" xfId="28041"/>
    <cellStyle name="常规 3 2 3 3 4 4 4" xfId="12345"/>
    <cellStyle name="常规 3 2 3 3 4 4 4 2" xfId="31193"/>
    <cellStyle name="常规 3 2 3 3 4 4 5" xfId="21769"/>
    <cellStyle name="常规 3 2 3 3 4 5" xfId="3709"/>
    <cellStyle name="常规 3 2 3 3 4 5 2" xfId="13129"/>
    <cellStyle name="常规 3 2 3 3 4 5 2 2" xfId="31977"/>
    <cellStyle name="常规 3 2 3 3 4 5 3" xfId="22553"/>
    <cellStyle name="常规 3 2 3 3 4 6" xfId="6845"/>
    <cellStyle name="常规 3 2 3 3 4 6 2" xfId="16265"/>
    <cellStyle name="常规 3 2 3 3 4 6 2 2" xfId="35113"/>
    <cellStyle name="常规 3 2 3 3 4 6 3" xfId="25689"/>
    <cellStyle name="常规 3 2 3 3 4 7" xfId="9993"/>
    <cellStyle name="常规 3 2 3 3 4 7 2" xfId="28841"/>
    <cellStyle name="常规 3 2 3 3 4 8" xfId="19417"/>
    <cellStyle name="常规 3 2 3 3 5" xfId="963"/>
    <cellStyle name="常规 3 2 3 3 5 2" xfId="4099"/>
    <cellStyle name="常规 3 2 3 3 5 2 2" xfId="13519"/>
    <cellStyle name="常规 3 2 3 3 5 2 2 2" xfId="32367"/>
    <cellStyle name="常规 3 2 3 3 5 2 3" xfId="22943"/>
    <cellStyle name="常规 3 2 3 3 5 3" xfId="7235"/>
    <cellStyle name="常规 3 2 3 3 5 3 2" xfId="16655"/>
    <cellStyle name="常规 3 2 3 3 5 3 2 2" xfId="35503"/>
    <cellStyle name="常规 3 2 3 3 5 3 3" xfId="26079"/>
    <cellStyle name="常规 3 2 3 3 5 4" xfId="10383"/>
    <cellStyle name="常规 3 2 3 3 5 4 2" xfId="29231"/>
    <cellStyle name="常规 3 2 3 3 5 5" xfId="19807"/>
    <cellStyle name="常规 3 2 3 3 6" xfId="1747"/>
    <cellStyle name="常规 3 2 3 3 6 2" xfId="4883"/>
    <cellStyle name="常规 3 2 3 3 6 2 2" xfId="14303"/>
    <cellStyle name="常规 3 2 3 3 6 2 2 2" xfId="33151"/>
    <cellStyle name="常规 3 2 3 3 6 2 3" xfId="23727"/>
    <cellStyle name="常规 3 2 3 3 6 3" xfId="8019"/>
    <cellStyle name="常规 3 2 3 3 6 3 2" xfId="17439"/>
    <cellStyle name="常规 3 2 3 3 6 3 2 2" xfId="36287"/>
    <cellStyle name="常规 3 2 3 3 6 3 3" xfId="26863"/>
    <cellStyle name="常规 3 2 3 3 6 4" xfId="11167"/>
    <cellStyle name="常规 3 2 3 3 6 4 2" xfId="30015"/>
    <cellStyle name="常规 3 2 3 3 6 5" xfId="20591"/>
    <cellStyle name="常规 3 2 3 3 7" xfId="2531"/>
    <cellStyle name="常规 3 2 3 3 7 2" xfId="5667"/>
    <cellStyle name="常规 3 2 3 3 7 2 2" xfId="15087"/>
    <cellStyle name="常规 3 2 3 3 7 2 2 2" xfId="33935"/>
    <cellStyle name="常规 3 2 3 3 7 2 3" xfId="24511"/>
    <cellStyle name="常规 3 2 3 3 7 3" xfId="8803"/>
    <cellStyle name="常规 3 2 3 3 7 3 2" xfId="18223"/>
    <cellStyle name="常规 3 2 3 3 7 3 2 2" xfId="37071"/>
    <cellStyle name="常规 3 2 3 3 7 3 3" xfId="27647"/>
    <cellStyle name="常规 3 2 3 3 7 4" xfId="11951"/>
    <cellStyle name="常规 3 2 3 3 7 4 2" xfId="30799"/>
    <cellStyle name="常规 3 2 3 3 7 5" xfId="21375"/>
    <cellStyle name="常规 3 2 3 3 8" xfId="3214"/>
    <cellStyle name="常规 3 2 3 3 8 2" xfId="12634"/>
    <cellStyle name="常规 3 2 3 3 8 2 2" xfId="31482"/>
    <cellStyle name="常规 3 2 3 3 8 3" xfId="22058"/>
    <cellStyle name="常规 3 2 3 3 9" xfId="6451"/>
    <cellStyle name="常规 3 2 3 3 9 2" xfId="15871"/>
    <cellStyle name="常规 3 2 3 3 9 2 2" xfId="34719"/>
    <cellStyle name="常规 3 2 3 3 9 3" xfId="25295"/>
    <cellStyle name="常规 3 2 3 4" xfId="179"/>
    <cellStyle name="常规 3 2 3 4 10" xfId="19025"/>
    <cellStyle name="常规 3 2 3 4 2" xfId="180"/>
    <cellStyle name="常规 3 2 3 4 2 2" xfId="578"/>
    <cellStyle name="常规 3 2 3 4 2 2 2" xfId="1362"/>
    <cellStyle name="常规 3 2 3 4 2 2 2 2" xfId="4498"/>
    <cellStyle name="常规 3 2 3 4 2 2 2 2 2" xfId="13918"/>
    <cellStyle name="常规 3 2 3 4 2 2 2 2 2 2" xfId="32766"/>
    <cellStyle name="常规 3 2 3 4 2 2 2 2 3" xfId="23342"/>
    <cellStyle name="常规 3 2 3 4 2 2 2 3" xfId="7634"/>
    <cellStyle name="常规 3 2 3 4 2 2 2 3 2" xfId="17054"/>
    <cellStyle name="常规 3 2 3 4 2 2 2 3 2 2" xfId="35902"/>
    <cellStyle name="常规 3 2 3 4 2 2 2 3 3" xfId="26478"/>
    <cellStyle name="常规 3 2 3 4 2 2 2 4" xfId="10782"/>
    <cellStyle name="常规 3 2 3 4 2 2 2 4 2" xfId="29630"/>
    <cellStyle name="常规 3 2 3 4 2 2 2 5" xfId="20206"/>
    <cellStyle name="常规 3 2 3 4 2 2 3" xfId="2146"/>
    <cellStyle name="常规 3 2 3 4 2 2 3 2" xfId="5282"/>
    <cellStyle name="常规 3 2 3 4 2 2 3 2 2" xfId="14702"/>
    <cellStyle name="常规 3 2 3 4 2 2 3 2 2 2" xfId="33550"/>
    <cellStyle name="常规 3 2 3 4 2 2 3 2 3" xfId="24126"/>
    <cellStyle name="常规 3 2 3 4 2 2 3 3" xfId="8418"/>
    <cellStyle name="常规 3 2 3 4 2 2 3 3 2" xfId="17838"/>
    <cellStyle name="常规 3 2 3 4 2 2 3 3 2 2" xfId="36686"/>
    <cellStyle name="常规 3 2 3 4 2 2 3 3 3" xfId="27262"/>
    <cellStyle name="常规 3 2 3 4 2 2 3 4" xfId="11566"/>
    <cellStyle name="常规 3 2 3 4 2 2 3 4 2" xfId="30414"/>
    <cellStyle name="常规 3 2 3 4 2 2 3 5" xfId="20990"/>
    <cellStyle name="常规 3 2 3 4 2 2 4" xfId="2930"/>
    <cellStyle name="常规 3 2 3 4 2 2 4 2" xfId="6066"/>
    <cellStyle name="常规 3 2 3 4 2 2 4 2 2" xfId="15486"/>
    <cellStyle name="常规 3 2 3 4 2 2 4 2 2 2" xfId="34334"/>
    <cellStyle name="常规 3 2 3 4 2 2 4 2 3" xfId="24910"/>
    <cellStyle name="常规 3 2 3 4 2 2 4 3" xfId="9202"/>
    <cellStyle name="常规 3 2 3 4 2 2 4 3 2" xfId="18622"/>
    <cellStyle name="常规 3 2 3 4 2 2 4 3 2 2" xfId="37470"/>
    <cellStyle name="常规 3 2 3 4 2 2 4 3 3" xfId="28046"/>
    <cellStyle name="常规 3 2 3 4 2 2 4 4" xfId="12350"/>
    <cellStyle name="常规 3 2 3 4 2 2 4 4 2" xfId="31198"/>
    <cellStyle name="常规 3 2 3 4 2 2 4 5" xfId="21774"/>
    <cellStyle name="常规 3 2 3 4 2 2 5" xfId="3714"/>
    <cellStyle name="常规 3 2 3 4 2 2 5 2" xfId="13134"/>
    <cellStyle name="常规 3 2 3 4 2 2 5 2 2" xfId="31982"/>
    <cellStyle name="常规 3 2 3 4 2 2 5 3" xfId="22558"/>
    <cellStyle name="常规 3 2 3 4 2 2 6" xfId="6850"/>
    <cellStyle name="常规 3 2 3 4 2 2 6 2" xfId="16270"/>
    <cellStyle name="常规 3 2 3 4 2 2 6 2 2" xfId="35118"/>
    <cellStyle name="常规 3 2 3 4 2 2 6 3" xfId="25694"/>
    <cellStyle name="常规 3 2 3 4 2 2 7" xfId="9998"/>
    <cellStyle name="常规 3 2 3 4 2 2 7 2" xfId="28846"/>
    <cellStyle name="常规 3 2 3 4 2 2 8" xfId="19422"/>
    <cellStyle name="常规 3 2 3 4 2 3" xfId="968"/>
    <cellStyle name="常规 3 2 3 4 2 3 2" xfId="4104"/>
    <cellStyle name="常规 3 2 3 4 2 3 2 2" xfId="13524"/>
    <cellStyle name="常规 3 2 3 4 2 3 2 2 2" xfId="32372"/>
    <cellStyle name="常规 3 2 3 4 2 3 2 3" xfId="22948"/>
    <cellStyle name="常规 3 2 3 4 2 3 3" xfId="7240"/>
    <cellStyle name="常规 3 2 3 4 2 3 3 2" xfId="16660"/>
    <cellStyle name="常规 3 2 3 4 2 3 3 2 2" xfId="35508"/>
    <cellStyle name="常规 3 2 3 4 2 3 3 3" xfId="26084"/>
    <cellStyle name="常规 3 2 3 4 2 3 4" xfId="10388"/>
    <cellStyle name="常规 3 2 3 4 2 3 4 2" xfId="29236"/>
    <cellStyle name="常规 3 2 3 4 2 3 5" xfId="19812"/>
    <cellStyle name="常规 3 2 3 4 2 4" xfId="1752"/>
    <cellStyle name="常规 3 2 3 4 2 4 2" xfId="4888"/>
    <cellStyle name="常规 3 2 3 4 2 4 2 2" xfId="14308"/>
    <cellStyle name="常规 3 2 3 4 2 4 2 2 2" xfId="33156"/>
    <cellStyle name="常规 3 2 3 4 2 4 2 3" xfId="23732"/>
    <cellStyle name="常规 3 2 3 4 2 4 3" xfId="8024"/>
    <cellStyle name="常规 3 2 3 4 2 4 3 2" xfId="17444"/>
    <cellStyle name="常规 3 2 3 4 2 4 3 2 2" xfId="36292"/>
    <cellStyle name="常规 3 2 3 4 2 4 3 3" xfId="26868"/>
    <cellStyle name="常规 3 2 3 4 2 4 4" xfId="11172"/>
    <cellStyle name="常规 3 2 3 4 2 4 4 2" xfId="30020"/>
    <cellStyle name="常规 3 2 3 4 2 4 5" xfId="20596"/>
    <cellStyle name="常规 3 2 3 4 2 5" xfId="2536"/>
    <cellStyle name="常规 3 2 3 4 2 5 2" xfId="5672"/>
    <cellStyle name="常规 3 2 3 4 2 5 2 2" xfId="15092"/>
    <cellStyle name="常规 3 2 3 4 2 5 2 2 2" xfId="33940"/>
    <cellStyle name="常规 3 2 3 4 2 5 2 3" xfId="24516"/>
    <cellStyle name="常规 3 2 3 4 2 5 3" xfId="8808"/>
    <cellStyle name="常规 3 2 3 4 2 5 3 2" xfId="18228"/>
    <cellStyle name="常规 3 2 3 4 2 5 3 2 2" xfId="37076"/>
    <cellStyle name="常规 3 2 3 4 2 5 3 3" xfId="27652"/>
    <cellStyle name="常规 3 2 3 4 2 5 4" xfId="11956"/>
    <cellStyle name="常规 3 2 3 4 2 5 4 2" xfId="30804"/>
    <cellStyle name="常规 3 2 3 4 2 5 5" xfId="21380"/>
    <cellStyle name="常规 3 2 3 4 2 6" xfId="3371"/>
    <cellStyle name="常规 3 2 3 4 2 6 2" xfId="12791"/>
    <cellStyle name="常规 3 2 3 4 2 6 2 2" xfId="31639"/>
    <cellStyle name="常规 3 2 3 4 2 6 3" xfId="22215"/>
    <cellStyle name="常规 3 2 3 4 2 7" xfId="6456"/>
    <cellStyle name="常规 3 2 3 4 2 7 2" xfId="15876"/>
    <cellStyle name="常规 3 2 3 4 2 7 2 2" xfId="34724"/>
    <cellStyle name="常规 3 2 3 4 2 7 3" xfId="25300"/>
    <cellStyle name="常规 3 2 3 4 2 8" xfId="9603"/>
    <cellStyle name="常规 3 2 3 4 2 8 2" xfId="28448"/>
    <cellStyle name="常规 3 2 3 4 2 9" xfId="19026"/>
    <cellStyle name="常规 3 2 3 4 3" xfId="577"/>
    <cellStyle name="常规 3 2 3 4 3 2" xfId="1361"/>
    <cellStyle name="常规 3 2 3 4 3 2 2" xfId="4497"/>
    <cellStyle name="常规 3 2 3 4 3 2 2 2" xfId="13917"/>
    <cellStyle name="常规 3 2 3 4 3 2 2 2 2" xfId="32765"/>
    <cellStyle name="常规 3 2 3 4 3 2 2 3" xfId="23341"/>
    <cellStyle name="常规 3 2 3 4 3 2 3" xfId="7633"/>
    <cellStyle name="常规 3 2 3 4 3 2 3 2" xfId="17053"/>
    <cellStyle name="常规 3 2 3 4 3 2 3 2 2" xfId="35901"/>
    <cellStyle name="常规 3 2 3 4 3 2 3 3" xfId="26477"/>
    <cellStyle name="常规 3 2 3 4 3 2 4" xfId="10781"/>
    <cellStyle name="常规 3 2 3 4 3 2 4 2" xfId="29629"/>
    <cellStyle name="常规 3 2 3 4 3 2 5" xfId="20205"/>
    <cellStyle name="常规 3 2 3 4 3 3" xfId="2145"/>
    <cellStyle name="常规 3 2 3 4 3 3 2" xfId="5281"/>
    <cellStyle name="常规 3 2 3 4 3 3 2 2" xfId="14701"/>
    <cellStyle name="常规 3 2 3 4 3 3 2 2 2" xfId="33549"/>
    <cellStyle name="常规 3 2 3 4 3 3 2 3" xfId="24125"/>
    <cellStyle name="常规 3 2 3 4 3 3 3" xfId="8417"/>
    <cellStyle name="常规 3 2 3 4 3 3 3 2" xfId="17837"/>
    <cellStyle name="常规 3 2 3 4 3 3 3 2 2" xfId="36685"/>
    <cellStyle name="常规 3 2 3 4 3 3 3 3" xfId="27261"/>
    <cellStyle name="常规 3 2 3 4 3 3 4" xfId="11565"/>
    <cellStyle name="常规 3 2 3 4 3 3 4 2" xfId="30413"/>
    <cellStyle name="常规 3 2 3 4 3 3 5" xfId="20989"/>
    <cellStyle name="常规 3 2 3 4 3 4" xfId="2929"/>
    <cellStyle name="常规 3 2 3 4 3 4 2" xfId="6065"/>
    <cellStyle name="常规 3 2 3 4 3 4 2 2" xfId="15485"/>
    <cellStyle name="常规 3 2 3 4 3 4 2 2 2" xfId="34333"/>
    <cellStyle name="常规 3 2 3 4 3 4 2 3" xfId="24909"/>
    <cellStyle name="常规 3 2 3 4 3 4 3" xfId="9201"/>
    <cellStyle name="常规 3 2 3 4 3 4 3 2" xfId="18621"/>
    <cellStyle name="常规 3 2 3 4 3 4 3 2 2" xfId="37469"/>
    <cellStyle name="常规 3 2 3 4 3 4 3 3" xfId="28045"/>
    <cellStyle name="常规 3 2 3 4 3 4 4" xfId="12349"/>
    <cellStyle name="常规 3 2 3 4 3 4 4 2" xfId="31197"/>
    <cellStyle name="常规 3 2 3 4 3 4 5" xfId="21773"/>
    <cellStyle name="常规 3 2 3 4 3 5" xfId="3713"/>
    <cellStyle name="常规 3 2 3 4 3 5 2" xfId="13133"/>
    <cellStyle name="常规 3 2 3 4 3 5 2 2" xfId="31981"/>
    <cellStyle name="常规 3 2 3 4 3 5 3" xfId="22557"/>
    <cellStyle name="常规 3 2 3 4 3 6" xfId="6849"/>
    <cellStyle name="常规 3 2 3 4 3 6 2" xfId="16269"/>
    <cellStyle name="常规 3 2 3 4 3 6 2 2" xfId="35117"/>
    <cellStyle name="常规 3 2 3 4 3 6 3" xfId="25693"/>
    <cellStyle name="常规 3 2 3 4 3 7" xfId="9997"/>
    <cellStyle name="常规 3 2 3 4 3 7 2" xfId="28845"/>
    <cellStyle name="常规 3 2 3 4 3 8" xfId="19421"/>
    <cellStyle name="常规 3 2 3 4 4" xfId="967"/>
    <cellStyle name="常规 3 2 3 4 4 2" xfId="4103"/>
    <cellStyle name="常规 3 2 3 4 4 2 2" xfId="13523"/>
    <cellStyle name="常规 3 2 3 4 4 2 2 2" xfId="32371"/>
    <cellStyle name="常规 3 2 3 4 4 2 3" xfId="22947"/>
    <cellStyle name="常规 3 2 3 4 4 3" xfId="7239"/>
    <cellStyle name="常规 3 2 3 4 4 3 2" xfId="16659"/>
    <cellStyle name="常规 3 2 3 4 4 3 2 2" xfId="35507"/>
    <cellStyle name="常规 3 2 3 4 4 3 3" xfId="26083"/>
    <cellStyle name="常规 3 2 3 4 4 4" xfId="10387"/>
    <cellStyle name="常规 3 2 3 4 4 4 2" xfId="29235"/>
    <cellStyle name="常规 3 2 3 4 4 5" xfId="19811"/>
    <cellStyle name="常规 3 2 3 4 5" xfId="1751"/>
    <cellStyle name="常规 3 2 3 4 5 2" xfId="4887"/>
    <cellStyle name="常规 3 2 3 4 5 2 2" xfId="14307"/>
    <cellStyle name="常规 3 2 3 4 5 2 2 2" xfId="33155"/>
    <cellStyle name="常规 3 2 3 4 5 2 3" xfId="23731"/>
    <cellStyle name="常规 3 2 3 4 5 3" xfId="8023"/>
    <cellStyle name="常规 3 2 3 4 5 3 2" xfId="17443"/>
    <cellStyle name="常规 3 2 3 4 5 3 2 2" xfId="36291"/>
    <cellStyle name="常规 3 2 3 4 5 3 3" xfId="26867"/>
    <cellStyle name="常规 3 2 3 4 5 4" xfId="11171"/>
    <cellStyle name="常规 3 2 3 4 5 4 2" xfId="30019"/>
    <cellStyle name="常规 3 2 3 4 5 5" xfId="20595"/>
    <cellStyle name="常规 3 2 3 4 6" xfId="2535"/>
    <cellStyle name="常规 3 2 3 4 6 2" xfId="5671"/>
    <cellStyle name="常规 3 2 3 4 6 2 2" xfId="15091"/>
    <cellStyle name="常规 3 2 3 4 6 2 2 2" xfId="33939"/>
    <cellStyle name="常规 3 2 3 4 6 2 3" xfId="24515"/>
    <cellStyle name="常规 3 2 3 4 6 3" xfId="8807"/>
    <cellStyle name="常规 3 2 3 4 6 3 2" xfId="18227"/>
    <cellStyle name="常规 3 2 3 4 6 3 2 2" xfId="37075"/>
    <cellStyle name="常规 3 2 3 4 6 3 3" xfId="27651"/>
    <cellStyle name="常规 3 2 3 4 6 4" xfId="11955"/>
    <cellStyle name="常规 3 2 3 4 6 4 2" xfId="30803"/>
    <cellStyle name="常规 3 2 3 4 6 5" xfId="21379"/>
    <cellStyle name="常规 3 2 3 4 7" xfId="3370"/>
    <cellStyle name="常规 3 2 3 4 7 2" xfId="12790"/>
    <cellStyle name="常规 3 2 3 4 7 2 2" xfId="31638"/>
    <cellStyle name="常规 3 2 3 4 7 3" xfId="22214"/>
    <cellStyle name="常规 3 2 3 4 8" xfId="6455"/>
    <cellStyle name="常规 3 2 3 4 8 2" xfId="15875"/>
    <cellStyle name="常规 3 2 3 4 8 2 2" xfId="34723"/>
    <cellStyle name="常规 3 2 3 4 8 3" xfId="25299"/>
    <cellStyle name="常规 3 2 3 4 9" xfId="9602"/>
    <cellStyle name="常规 3 2 3 4 9 2" xfId="28447"/>
    <cellStyle name="常规 3 2 3 5" xfId="181"/>
    <cellStyle name="常规 3 2 3 5 2" xfId="579"/>
    <cellStyle name="常规 3 2 3 5 2 2" xfId="1363"/>
    <cellStyle name="常规 3 2 3 5 2 2 2" xfId="4499"/>
    <cellStyle name="常规 3 2 3 5 2 2 2 2" xfId="13919"/>
    <cellStyle name="常规 3 2 3 5 2 2 2 2 2" xfId="32767"/>
    <cellStyle name="常规 3 2 3 5 2 2 2 3" xfId="23343"/>
    <cellStyle name="常规 3 2 3 5 2 2 3" xfId="7635"/>
    <cellStyle name="常规 3 2 3 5 2 2 3 2" xfId="17055"/>
    <cellStyle name="常规 3 2 3 5 2 2 3 2 2" xfId="35903"/>
    <cellStyle name="常规 3 2 3 5 2 2 3 3" xfId="26479"/>
    <cellStyle name="常规 3 2 3 5 2 2 4" xfId="10783"/>
    <cellStyle name="常规 3 2 3 5 2 2 4 2" xfId="29631"/>
    <cellStyle name="常规 3 2 3 5 2 2 5" xfId="20207"/>
    <cellStyle name="常规 3 2 3 5 2 3" xfId="2147"/>
    <cellStyle name="常规 3 2 3 5 2 3 2" xfId="5283"/>
    <cellStyle name="常规 3 2 3 5 2 3 2 2" xfId="14703"/>
    <cellStyle name="常规 3 2 3 5 2 3 2 2 2" xfId="33551"/>
    <cellStyle name="常规 3 2 3 5 2 3 2 3" xfId="24127"/>
    <cellStyle name="常规 3 2 3 5 2 3 3" xfId="8419"/>
    <cellStyle name="常规 3 2 3 5 2 3 3 2" xfId="17839"/>
    <cellStyle name="常规 3 2 3 5 2 3 3 2 2" xfId="36687"/>
    <cellStyle name="常规 3 2 3 5 2 3 3 3" xfId="27263"/>
    <cellStyle name="常规 3 2 3 5 2 3 4" xfId="11567"/>
    <cellStyle name="常规 3 2 3 5 2 3 4 2" xfId="30415"/>
    <cellStyle name="常规 3 2 3 5 2 3 5" xfId="20991"/>
    <cellStyle name="常规 3 2 3 5 2 4" xfId="2931"/>
    <cellStyle name="常规 3 2 3 5 2 4 2" xfId="6067"/>
    <cellStyle name="常规 3 2 3 5 2 4 2 2" xfId="15487"/>
    <cellStyle name="常规 3 2 3 5 2 4 2 2 2" xfId="34335"/>
    <cellStyle name="常规 3 2 3 5 2 4 2 3" xfId="24911"/>
    <cellStyle name="常规 3 2 3 5 2 4 3" xfId="9203"/>
    <cellStyle name="常规 3 2 3 5 2 4 3 2" xfId="18623"/>
    <cellStyle name="常规 3 2 3 5 2 4 3 2 2" xfId="37471"/>
    <cellStyle name="常规 3 2 3 5 2 4 3 3" xfId="28047"/>
    <cellStyle name="常规 3 2 3 5 2 4 4" xfId="12351"/>
    <cellStyle name="常规 3 2 3 5 2 4 4 2" xfId="31199"/>
    <cellStyle name="常规 3 2 3 5 2 4 5" xfId="21775"/>
    <cellStyle name="常规 3 2 3 5 2 5" xfId="3715"/>
    <cellStyle name="常规 3 2 3 5 2 5 2" xfId="13135"/>
    <cellStyle name="常规 3 2 3 5 2 5 2 2" xfId="31983"/>
    <cellStyle name="常规 3 2 3 5 2 5 3" xfId="22559"/>
    <cellStyle name="常规 3 2 3 5 2 6" xfId="6851"/>
    <cellStyle name="常规 3 2 3 5 2 6 2" xfId="16271"/>
    <cellStyle name="常规 3 2 3 5 2 6 2 2" xfId="35119"/>
    <cellStyle name="常规 3 2 3 5 2 6 3" xfId="25695"/>
    <cellStyle name="常规 3 2 3 5 2 7" xfId="9999"/>
    <cellStyle name="常规 3 2 3 5 2 7 2" xfId="28847"/>
    <cellStyle name="常规 3 2 3 5 2 8" xfId="19423"/>
    <cellStyle name="常规 3 2 3 5 3" xfId="969"/>
    <cellStyle name="常规 3 2 3 5 3 2" xfId="4105"/>
    <cellStyle name="常规 3 2 3 5 3 2 2" xfId="13525"/>
    <cellStyle name="常规 3 2 3 5 3 2 2 2" xfId="32373"/>
    <cellStyle name="常规 3 2 3 5 3 2 3" xfId="22949"/>
    <cellStyle name="常规 3 2 3 5 3 3" xfId="7241"/>
    <cellStyle name="常规 3 2 3 5 3 3 2" xfId="16661"/>
    <cellStyle name="常规 3 2 3 5 3 3 2 2" xfId="35509"/>
    <cellStyle name="常规 3 2 3 5 3 3 3" xfId="26085"/>
    <cellStyle name="常规 3 2 3 5 3 4" xfId="10389"/>
    <cellStyle name="常规 3 2 3 5 3 4 2" xfId="29237"/>
    <cellStyle name="常规 3 2 3 5 3 5" xfId="19813"/>
    <cellStyle name="常规 3 2 3 5 4" xfId="1753"/>
    <cellStyle name="常规 3 2 3 5 4 2" xfId="4889"/>
    <cellStyle name="常规 3 2 3 5 4 2 2" xfId="14309"/>
    <cellStyle name="常规 3 2 3 5 4 2 2 2" xfId="33157"/>
    <cellStyle name="常规 3 2 3 5 4 2 3" xfId="23733"/>
    <cellStyle name="常规 3 2 3 5 4 3" xfId="8025"/>
    <cellStyle name="常规 3 2 3 5 4 3 2" xfId="17445"/>
    <cellStyle name="常规 3 2 3 5 4 3 2 2" xfId="36293"/>
    <cellStyle name="常规 3 2 3 5 4 3 3" xfId="26869"/>
    <cellStyle name="常规 3 2 3 5 4 4" xfId="11173"/>
    <cellStyle name="常规 3 2 3 5 4 4 2" xfId="30021"/>
    <cellStyle name="常规 3 2 3 5 4 5" xfId="20597"/>
    <cellStyle name="常规 3 2 3 5 5" xfId="2537"/>
    <cellStyle name="常规 3 2 3 5 5 2" xfId="5673"/>
    <cellStyle name="常规 3 2 3 5 5 2 2" xfId="15093"/>
    <cellStyle name="常规 3 2 3 5 5 2 2 2" xfId="33941"/>
    <cellStyle name="常规 3 2 3 5 5 2 3" xfId="24517"/>
    <cellStyle name="常规 3 2 3 5 5 3" xfId="8809"/>
    <cellStyle name="常规 3 2 3 5 5 3 2" xfId="18229"/>
    <cellStyle name="常规 3 2 3 5 5 3 2 2" xfId="37077"/>
    <cellStyle name="常规 3 2 3 5 5 3 3" xfId="27653"/>
    <cellStyle name="常规 3 2 3 5 5 4" xfId="11957"/>
    <cellStyle name="常规 3 2 3 5 5 4 2" xfId="30805"/>
    <cellStyle name="常规 3 2 3 5 5 5" xfId="21381"/>
    <cellStyle name="常规 3 2 3 5 6" xfId="3372"/>
    <cellStyle name="常规 3 2 3 5 6 2" xfId="12792"/>
    <cellStyle name="常规 3 2 3 5 6 2 2" xfId="31640"/>
    <cellStyle name="常规 3 2 3 5 6 3" xfId="22216"/>
    <cellStyle name="常规 3 2 3 5 7" xfId="6457"/>
    <cellStyle name="常规 3 2 3 5 7 2" xfId="15877"/>
    <cellStyle name="常规 3 2 3 5 7 2 2" xfId="34725"/>
    <cellStyle name="常规 3 2 3 5 7 3" xfId="25301"/>
    <cellStyle name="常规 3 2 3 5 8" xfId="9604"/>
    <cellStyle name="常规 3 2 3 5 8 2" xfId="28449"/>
    <cellStyle name="常规 3 2 3 5 9" xfId="19027"/>
    <cellStyle name="常规 3 2 3 6" xfId="564"/>
    <cellStyle name="常规 3 2 3 6 2" xfId="1348"/>
    <cellStyle name="常规 3 2 3 6 2 2" xfId="4484"/>
    <cellStyle name="常规 3 2 3 6 2 2 2" xfId="13904"/>
    <cellStyle name="常规 3 2 3 6 2 2 2 2" xfId="32752"/>
    <cellStyle name="常规 3 2 3 6 2 2 3" xfId="23328"/>
    <cellStyle name="常规 3 2 3 6 2 3" xfId="7620"/>
    <cellStyle name="常规 3 2 3 6 2 3 2" xfId="17040"/>
    <cellStyle name="常规 3 2 3 6 2 3 2 2" xfId="35888"/>
    <cellStyle name="常规 3 2 3 6 2 3 3" xfId="26464"/>
    <cellStyle name="常规 3 2 3 6 2 4" xfId="10768"/>
    <cellStyle name="常规 3 2 3 6 2 4 2" xfId="29616"/>
    <cellStyle name="常规 3 2 3 6 2 5" xfId="20192"/>
    <cellStyle name="常规 3 2 3 6 3" xfId="2132"/>
    <cellStyle name="常规 3 2 3 6 3 2" xfId="5268"/>
    <cellStyle name="常规 3 2 3 6 3 2 2" xfId="14688"/>
    <cellStyle name="常规 3 2 3 6 3 2 2 2" xfId="33536"/>
    <cellStyle name="常规 3 2 3 6 3 2 3" xfId="24112"/>
    <cellStyle name="常规 3 2 3 6 3 3" xfId="8404"/>
    <cellStyle name="常规 3 2 3 6 3 3 2" xfId="17824"/>
    <cellStyle name="常规 3 2 3 6 3 3 2 2" xfId="36672"/>
    <cellStyle name="常规 3 2 3 6 3 3 3" xfId="27248"/>
    <cellStyle name="常规 3 2 3 6 3 4" xfId="11552"/>
    <cellStyle name="常规 3 2 3 6 3 4 2" xfId="30400"/>
    <cellStyle name="常规 3 2 3 6 3 5" xfId="20976"/>
    <cellStyle name="常规 3 2 3 6 4" xfId="2916"/>
    <cellStyle name="常规 3 2 3 6 4 2" xfId="6052"/>
    <cellStyle name="常规 3 2 3 6 4 2 2" xfId="15472"/>
    <cellStyle name="常规 3 2 3 6 4 2 2 2" xfId="34320"/>
    <cellStyle name="常规 3 2 3 6 4 2 3" xfId="24896"/>
    <cellStyle name="常规 3 2 3 6 4 3" xfId="9188"/>
    <cellStyle name="常规 3 2 3 6 4 3 2" xfId="18608"/>
    <cellStyle name="常规 3 2 3 6 4 3 2 2" xfId="37456"/>
    <cellStyle name="常规 3 2 3 6 4 3 3" xfId="28032"/>
    <cellStyle name="常规 3 2 3 6 4 4" xfId="12336"/>
    <cellStyle name="常规 3 2 3 6 4 4 2" xfId="31184"/>
    <cellStyle name="常规 3 2 3 6 4 5" xfId="21760"/>
    <cellStyle name="常规 3 2 3 6 5" xfId="3700"/>
    <cellStyle name="常规 3 2 3 6 5 2" xfId="13120"/>
    <cellStyle name="常规 3 2 3 6 5 2 2" xfId="31968"/>
    <cellStyle name="常规 3 2 3 6 5 3" xfId="22544"/>
    <cellStyle name="常规 3 2 3 6 6" xfId="6836"/>
    <cellStyle name="常规 3 2 3 6 6 2" xfId="16256"/>
    <cellStyle name="常规 3 2 3 6 6 2 2" xfId="35104"/>
    <cellStyle name="常规 3 2 3 6 6 3" xfId="25680"/>
    <cellStyle name="常规 3 2 3 6 7" xfId="9984"/>
    <cellStyle name="常规 3 2 3 6 7 2" xfId="28832"/>
    <cellStyle name="常规 3 2 3 6 8" xfId="19408"/>
    <cellStyle name="常规 3 2 3 7" xfId="954"/>
    <cellStyle name="常规 3 2 3 7 2" xfId="4090"/>
    <cellStyle name="常规 3 2 3 7 2 2" xfId="13510"/>
    <cellStyle name="常规 3 2 3 7 2 2 2" xfId="32358"/>
    <cellStyle name="常规 3 2 3 7 2 3" xfId="22934"/>
    <cellStyle name="常规 3 2 3 7 3" xfId="7226"/>
    <cellStyle name="常规 3 2 3 7 3 2" xfId="16646"/>
    <cellStyle name="常规 3 2 3 7 3 2 2" xfId="35494"/>
    <cellStyle name="常规 3 2 3 7 3 3" xfId="26070"/>
    <cellStyle name="常规 3 2 3 7 4" xfId="10374"/>
    <cellStyle name="常规 3 2 3 7 4 2" xfId="29222"/>
    <cellStyle name="常规 3 2 3 7 5" xfId="19798"/>
    <cellStyle name="常规 3 2 3 8" xfId="1738"/>
    <cellStyle name="常规 3 2 3 8 2" xfId="4874"/>
    <cellStyle name="常规 3 2 3 8 2 2" xfId="14294"/>
    <cellStyle name="常规 3 2 3 8 2 2 2" xfId="33142"/>
    <cellStyle name="常规 3 2 3 8 2 3" xfId="23718"/>
    <cellStyle name="常规 3 2 3 8 3" xfId="8010"/>
    <cellStyle name="常规 3 2 3 8 3 2" xfId="17430"/>
    <cellStyle name="常规 3 2 3 8 3 2 2" xfId="36278"/>
    <cellStyle name="常规 3 2 3 8 3 3" xfId="26854"/>
    <cellStyle name="常规 3 2 3 8 4" xfId="11158"/>
    <cellStyle name="常规 3 2 3 8 4 2" xfId="30006"/>
    <cellStyle name="常规 3 2 3 8 5" xfId="20582"/>
    <cellStyle name="常规 3 2 3 9" xfId="2522"/>
    <cellStyle name="常规 3 2 3 9 2" xfId="5658"/>
    <cellStyle name="常规 3 2 3 9 2 2" xfId="15078"/>
    <cellStyle name="常规 3 2 3 9 2 2 2" xfId="33926"/>
    <cellStyle name="常规 3 2 3 9 2 3" xfId="24502"/>
    <cellStyle name="常规 3 2 3 9 3" xfId="8794"/>
    <cellStyle name="常规 3 2 3 9 3 2" xfId="18214"/>
    <cellStyle name="常规 3 2 3 9 3 2 2" xfId="37062"/>
    <cellStyle name="常规 3 2 3 9 3 3" xfId="27638"/>
    <cellStyle name="常规 3 2 3 9 4" xfId="11942"/>
    <cellStyle name="常规 3 2 3 9 4 2" xfId="30790"/>
    <cellStyle name="常规 3 2 3 9 5" xfId="21366"/>
    <cellStyle name="常规 3 2 4" xfId="182"/>
    <cellStyle name="常规 3 2 4 10" xfId="6458"/>
    <cellStyle name="常规 3 2 4 10 2" xfId="15878"/>
    <cellStyle name="常规 3 2 4 10 2 2" xfId="34726"/>
    <cellStyle name="常规 3 2 4 10 3" xfId="25302"/>
    <cellStyle name="常规 3 2 4 11" xfId="9605"/>
    <cellStyle name="常规 3 2 4 11 2" xfId="28450"/>
    <cellStyle name="常规 3 2 4 12" xfId="19028"/>
    <cellStyle name="常规 3 2 4 2" xfId="183"/>
    <cellStyle name="常规 3 2 4 2 10" xfId="9606"/>
    <cellStyle name="常规 3 2 4 2 10 2" xfId="28451"/>
    <cellStyle name="常规 3 2 4 2 11" xfId="19029"/>
    <cellStyle name="常规 3 2 4 2 2" xfId="184"/>
    <cellStyle name="常规 3 2 4 2 2 10" xfId="19030"/>
    <cellStyle name="常规 3 2 4 2 2 2" xfId="185"/>
    <cellStyle name="常规 3 2 4 2 2 2 2" xfId="583"/>
    <cellStyle name="常规 3 2 4 2 2 2 2 2" xfId="1367"/>
    <cellStyle name="常规 3 2 4 2 2 2 2 2 2" xfId="4503"/>
    <cellStyle name="常规 3 2 4 2 2 2 2 2 2 2" xfId="13923"/>
    <cellStyle name="常规 3 2 4 2 2 2 2 2 2 2 2" xfId="32771"/>
    <cellStyle name="常规 3 2 4 2 2 2 2 2 2 3" xfId="23347"/>
    <cellStyle name="常规 3 2 4 2 2 2 2 2 3" xfId="7639"/>
    <cellStyle name="常规 3 2 4 2 2 2 2 2 3 2" xfId="17059"/>
    <cellStyle name="常规 3 2 4 2 2 2 2 2 3 2 2" xfId="35907"/>
    <cellStyle name="常规 3 2 4 2 2 2 2 2 3 3" xfId="26483"/>
    <cellStyle name="常规 3 2 4 2 2 2 2 2 4" xfId="10787"/>
    <cellStyle name="常规 3 2 4 2 2 2 2 2 4 2" xfId="29635"/>
    <cellStyle name="常规 3 2 4 2 2 2 2 2 5" xfId="20211"/>
    <cellStyle name="常规 3 2 4 2 2 2 2 3" xfId="2151"/>
    <cellStyle name="常规 3 2 4 2 2 2 2 3 2" xfId="5287"/>
    <cellStyle name="常规 3 2 4 2 2 2 2 3 2 2" xfId="14707"/>
    <cellStyle name="常规 3 2 4 2 2 2 2 3 2 2 2" xfId="33555"/>
    <cellStyle name="常规 3 2 4 2 2 2 2 3 2 3" xfId="24131"/>
    <cellStyle name="常规 3 2 4 2 2 2 2 3 3" xfId="8423"/>
    <cellStyle name="常规 3 2 4 2 2 2 2 3 3 2" xfId="17843"/>
    <cellStyle name="常规 3 2 4 2 2 2 2 3 3 2 2" xfId="36691"/>
    <cellStyle name="常规 3 2 4 2 2 2 2 3 3 3" xfId="27267"/>
    <cellStyle name="常规 3 2 4 2 2 2 2 3 4" xfId="11571"/>
    <cellStyle name="常规 3 2 4 2 2 2 2 3 4 2" xfId="30419"/>
    <cellStyle name="常规 3 2 4 2 2 2 2 3 5" xfId="20995"/>
    <cellStyle name="常规 3 2 4 2 2 2 2 4" xfId="2935"/>
    <cellStyle name="常规 3 2 4 2 2 2 2 4 2" xfId="6071"/>
    <cellStyle name="常规 3 2 4 2 2 2 2 4 2 2" xfId="15491"/>
    <cellStyle name="常规 3 2 4 2 2 2 2 4 2 2 2" xfId="34339"/>
    <cellStyle name="常规 3 2 4 2 2 2 2 4 2 3" xfId="24915"/>
    <cellStyle name="常规 3 2 4 2 2 2 2 4 3" xfId="9207"/>
    <cellStyle name="常规 3 2 4 2 2 2 2 4 3 2" xfId="18627"/>
    <cellStyle name="常规 3 2 4 2 2 2 2 4 3 2 2" xfId="37475"/>
    <cellStyle name="常规 3 2 4 2 2 2 2 4 3 3" xfId="28051"/>
    <cellStyle name="常规 3 2 4 2 2 2 2 4 4" xfId="12355"/>
    <cellStyle name="常规 3 2 4 2 2 2 2 4 4 2" xfId="31203"/>
    <cellStyle name="常规 3 2 4 2 2 2 2 4 5" xfId="21779"/>
    <cellStyle name="常规 3 2 4 2 2 2 2 5" xfId="3719"/>
    <cellStyle name="常规 3 2 4 2 2 2 2 5 2" xfId="13139"/>
    <cellStyle name="常规 3 2 4 2 2 2 2 5 2 2" xfId="31987"/>
    <cellStyle name="常规 3 2 4 2 2 2 2 5 3" xfId="22563"/>
    <cellStyle name="常规 3 2 4 2 2 2 2 6" xfId="6855"/>
    <cellStyle name="常规 3 2 4 2 2 2 2 6 2" xfId="16275"/>
    <cellStyle name="常规 3 2 4 2 2 2 2 6 2 2" xfId="35123"/>
    <cellStyle name="常规 3 2 4 2 2 2 2 6 3" xfId="25699"/>
    <cellStyle name="常规 3 2 4 2 2 2 2 7" xfId="10003"/>
    <cellStyle name="常规 3 2 4 2 2 2 2 7 2" xfId="28851"/>
    <cellStyle name="常规 3 2 4 2 2 2 2 8" xfId="19427"/>
    <cellStyle name="常规 3 2 4 2 2 2 3" xfId="973"/>
    <cellStyle name="常规 3 2 4 2 2 2 3 2" xfId="4109"/>
    <cellStyle name="常规 3 2 4 2 2 2 3 2 2" xfId="13529"/>
    <cellStyle name="常规 3 2 4 2 2 2 3 2 2 2" xfId="32377"/>
    <cellStyle name="常规 3 2 4 2 2 2 3 2 3" xfId="22953"/>
    <cellStyle name="常规 3 2 4 2 2 2 3 3" xfId="7245"/>
    <cellStyle name="常规 3 2 4 2 2 2 3 3 2" xfId="16665"/>
    <cellStyle name="常规 3 2 4 2 2 2 3 3 2 2" xfId="35513"/>
    <cellStyle name="常规 3 2 4 2 2 2 3 3 3" xfId="26089"/>
    <cellStyle name="常规 3 2 4 2 2 2 3 4" xfId="10393"/>
    <cellStyle name="常规 3 2 4 2 2 2 3 4 2" xfId="29241"/>
    <cellStyle name="常规 3 2 4 2 2 2 3 5" xfId="19817"/>
    <cellStyle name="常规 3 2 4 2 2 2 4" xfId="1757"/>
    <cellStyle name="常规 3 2 4 2 2 2 4 2" xfId="4893"/>
    <cellStyle name="常规 3 2 4 2 2 2 4 2 2" xfId="14313"/>
    <cellStyle name="常规 3 2 4 2 2 2 4 2 2 2" xfId="33161"/>
    <cellStyle name="常规 3 2 4 2 2 2 4 2 3" xfId="23737"/>
    <cellStyle name="常规 3 2 4 2 2 2 4 3" xfId="8029"/>
    <cellStyle name="常规 3 2 4 2 2 2 4 3 2" xfId="17449"/>
    <cellStyle name="常规 3 2 4 2 2 2 4 3 2 2" xfId="36297"/>
    <cellStyle name="常规 3 2 4 2 2 2 4 3 3" xfId="26873"/>
    <cellStyle name="常规 3 2 4 2 2 2 4 4" xfId="11177"/>
    <cellStyle name="常规 3 2 4 2 2 2 4 4 2" xfId="30025"/>
    <cellStyle name="常规 3 2 4 2 2 2 4 5" xfId="20601"/>
    <cellStyle name="常规 3 2 4 2 2 2 5" xfId="2541"/>
    <cellStyle name="常规 3 2 4 2 2 2 5 2" xfId="5677"/>
    <cellStyle name="常规 3 2 4 2 2 2 5 2 2" xfId="15097"/>
    <cellStyle name="常规 3 2 4 2 2 2 5 2 2 2" xfId="33945"/>
    <cellStyle name="常规 3 2 4 2 2 2 5 2 3" xfId="24521"/>
    <cellStyle name="常规 3 2 4 2 2 2 5 3" xfId="8813"/>
    <cellStyle name="常规 3 2 4 2 2 2 5 3 2" xfId="18233"/>
    <cellStyle name="常规 3 2 4 2 2 2 5 3 2 2" xfId="37081"/>
    <cellStyle name="常规 3 2 4 2 2 2 5 3 3" xfId="27657"/>
    <cellStyle name="常规 3 2 4 2 2 2 5 4" xfId="11961"/>
    <cellStyle name="常规 3 2 4 2 2 2 5 4 2" xfId="30809"/>
    <cellStyle name="常规 3 2 4 2 2 2 5 5" xfId="21385"/>
    <cellStyle name="常规 3 2 4 2 2 2 6" xfId="3374"/>
    <cellStyle name="常规 3 2 4 2 2 2 6 2" xfId="12794"/>
    <cellStyle name="常规 3 2 4 2 2 2 6 2 2" xfId="31642"/>
    <cellStyle name="常规 3 2 4 2 2 2 6 3" xfId="22218"/>
    <cellStyle name="常规 3 2 4 2 2 2 7" xfId="6461"/>
    <cellStyle name="常规 3 2 4 2 2 2 7 2" xfId="15881"/>
    <cellStyle name="常规 3 2 4 2 2 2 7 2 2" xfId="34729"/>
    <cellStyle name="常规 3 2 4 2 2 2 7 3" xfId="25305"/>
    <cellStyle name="常规 3 2 4 2 2 2 8" xfId="9608"/>
    <cellStyle name="常规 3 2 4 2 2 2 8 2" xfId="28453"/>
    <cellStyle name="常规 3 2 4 2 2 2 9" xfId="19031"/>
    <cellStyle name="常规 3 2 4 2 2 3" xfId="582"/>
    <cellStyle name="常规 3 2 4 2 2 3 2" xfId="1366"/>
    <cellStyle name="常规 3 2 4 2 2 3 2 2" xfId="4502"/>
    <cellStyle name="常规 3 2 4 2 2 3 2 2 2" xfId="13922"/>
    <cellStyle name="常规 3 2 4 2 2 3 2 2 2 2" xfId="32770"/>
    <cellStyle name="常规 3 2 4 2 2 3 2 2 3" xfId="23346"/>
    <cellStyle name="常规 3 2 4 2 2 3 2 3" xfId="7638"/>
    <cellStyle name="常规 3 2 4 2 2 3 2 3 2" xfId="17058"/>
    <cellStyle name="常规 3 2 4 2 2 3 2 3 2 2" xfId="35906"/>
    <cellStyle name="常规 3 2 4 2 2 3 2 3 3" xfId="26482"/>
    <cellStyle name="常规 3 2 4 2 2 3 2 4" xfId="10786"/>
    <cellStyle name="常规 3 2 4 2 2 3 2 4 2" xfId="29634"/>
    <cellStyle name="常规 3 2 4 2 2 3 2 5" xfId="20210"/>
    <cellStyle name="常规 3 2 4 2 2 3 3" xfId="2150"/>
    <cellStyle name="常规 3 2 4 2 2 3 3 2" xfId="5286"/>
    <cellStyle name="常规 3 2 4 2 2 3 3 2 2" xfId="14706"/>
    <cellStyle name="常规 3 2 4 2 2 3 3 2 2 2" xfId="33554"/>
    <cellStyle name="常规 3 2 4 2 2 3 3 2 3" xfId="24130"/>
    <cellStyle name="常规 3 2 4 2 2 3 3 3" xfId="8422"/>
    <cellStyle name="常规 3 2 4 2 2 3 3 3 2" xfId="17842"/>
    <cellStyle name="常规 3 2 4 2 2 3 3 3 2 2" xfId="36690"/>
    <cellStyle name="常规 3 2 4 2 2 3 3 3 3" xfId="27266"/>
    <cellStyle name="常规 3 2 4 2 2 3 3 4" xfId="11570"/>
    <cellStyle name="常规 3 2 4 2 2 3 3 4 2" xfId="30418"/>
    <cellStyle name="常规 3 2 4 2 2 3 3 5" xfId="20994"/>
    <cellStyle name="常规 3 2 4 2 2 3 4" xfId="2934"/>
    <cellStyle name="常规 3 2 4 2 2 3 4 2" xfId="6070"/>
    <cellStyle name="常规 3 2 4 2 2 3 4 2 2" xfId="15490"/>
    <cellStyle name="常规 3 2 4 2 2 3 4 2 2 2" xfId="34338"/>
    <cellStyle name="常规 3 2 4 2 2 3 4 2 3" xfId="24914"/>
    <cellStyle name="常规 3 2 4 2 2 3 4 3" xfId="9206"/>
    <cellStyle name="常规 3 2 4 2 2 3 4 3 2" xfId="18626"/>
    <cellStyle name="常规 3 2 4 2 2 3 4 3 2 2" xfId="37474"/>
    <cellStyle name="常规 3 2 4 2 2 3 4 3 3" xfId="28050"/>
    <cellStyle name="常规 3 2 4 2 2 3 4 4" xfId="12354"/>
    <cellStyle name="常规 3 2 4 2 2 3 4 4 2" xfId="31202"/>
    <cellStyle name="常规 3 2 4 2 2 3 4 5" xfId="21778"/>
    <cellStyle name="常规 3 2 4 2 2 3 5" xfId="3718"/>
    <cellStyle name="常规 3 2 4 2 2 3 5 2" xfId="13138"/>
    <cellStyle name="常规 3 2 4 2 2 3 5 2 2" xfId="31986"/>
    <cellStyle name="常规 3 2 4 2 2 3 5 3" xfId="22562"/>
    <cellStyle name="常规 3 2 4 2 2 3 6" xfId="6854"/>
    <cellStyle name="常规 3 2 4 2 2 3 6 2" xfId="16274"/>
    <cellStyle name="常规 3 2 4 2 2 3 6 2 2" xfId="35122"/>
    <cellStyle name="常规 3 2 4 2 2 3 6 3" xfId="25698"/>
    <cellStyle name="常规 3 2 4 2 2 3 7" xfId="10002"/>
    <cellStyle name="常规 3 2 4 2 2 3 7 2" xfId="28850"/>
    <cellStyle name="常规 3 2 4 2 2 3 8" xfId="19426"/>
    <cellStyle name="常规 3 2 4 2 2 4" xfId="972"/>
    <cellStyle name="常规 3 2 4 2 2 4 2" xfId="4108"/>
    <cellStyle name="常规 3 2 4 2 2 4 2 2" xfId="13528"/>
    <cellStyle name="常规 3 2 4 2 2 4 2 2 2" xfId="32376"/>
    <cellStyle name="常规 3 2 4 2 2 4 2 3" xfId="22952"/>
    <cellStyle name="常规 3 2 4 2 2 4 3" xfId="7244"/>
    <cellStyle name="常规 3 2 4 2 2 4 3 2" xfId="16664"/>
    <cellStyle name="常规 3 2 4 2 2 4 3 2 2" xfId="35512"/>
    <cellStyle name="常规 3 2 4 2 2 4 3 3" xfId="26088"/>
    <cellStyle name="常规 3 2 4 2 2 4 4" xfId="10392"/>
    <cellStyle name="常规 3 2 4 2 2 4 4 2" xfId="29240"/>
    <cellStyle name="常规 3 2 4 2 2 4 5" xfId="19816"/>
    <cellStyle name="常规 3 2 4 2 2 5" xfId="1756"/>
    <cellStyle name="常规 3 2 4 2 2 5 2" xfId="4892"/>
    <cellStyle name="常规 3 2 4 2 2 5 2 2" xfId="14312"/>
    <cellStyle name="常规 3 2 4 2 2 5 2 2 2" xfId="33160"/>
    <cellStyle name="常规 3 2 4 2 2 5 2 3" xfId="23736"/>
    <cellStyle name="常规 3 2 4 2 2 5 3" xfId="8028"/>
    <cellStyle name="常规 3 2 4 2 2 5 3 2" xfId="17448"/>
    <cellStyle name="常规 3 2 4 2 2 5 3 2 2" xfId="36296"/>
    <cellStyle name="常规 3 2 4 2 2 5 3 3" xfId="26872"/>
    <cellStyle name="常规 3 2 4 2 2 5 4" xfId="11176"/>
    <cellStyle name="常规 3 2 4 2 2 5 4 2" xfId="30024"/>
    <cellStyle name="常规 3 2 4 2 2 5 5" xfId="20600"/>
    <cellStyle name="常规 3 2 4 2 2 6" xfId="2540"/>
    <cellStyle name="常规 3 2 4 2 2 6 2" xfId="5676"/>
    <cellStyle name="常规 3 2 4 2 2 6 2 2" xfId="15096"/>
    <cellStyle name="常规 3 2 4 2 2 6 2 2 2" xfId="33944"/>
    <cellStyle name="常规 3 2 4 2 2 6 2 3" xfId="24520"/>
    <cellStyle name="常规 3 2 4 2 2 6 3" xfId="8812"/>
    <cellStyle name="常规 3 2 4 2 2 6 3 2" xfId="18232"/>
    <cellStyle name="常规 3 2 4 2 2 6 3 2 2" xfId="37080"/>
    <cellStyle name="常规 3 2 4 2 2 6 3 3" xfId="27656"/>
    <cellStyle name="常规 3 2 4 2 2 6 4" xfId="11960"/>
    <cellStyle name="常规 3 2 4 2 2 6 4 2" xfId="30808"/>
    <cellStyle name="常规 3 2 4 2 2 6 5" xfId="21384"/>
    <cellStyle name="常规 3 2 4 2 2 7" xfId="3373"/>
    <cellStyle name="常规 3 2 4 2 2 7 2" xfId="12793"/>
    <cellStyle name="常规 3 2 4 2 2 7 2 2" xfId="31641"/>
    <cellStyle name="常规 3 2 4 2 2 7 3" xfId="22217"/>
    <cellStyle name="常规 3 2 4 2 2 8" xfId="6460"/>
    <cellStyle name="常规 3 2 4 2 2 8 2" xfId="15880"/>
    <cellStyle name="常规 3 2 4 2 2 8 2 2" xfId="34728"/>
    <cellStyle name="常规 3 2 4 2 2 8 3" xfId="25304"/>
    <cellStyle name="常规 3 2 4 2 2 9" xfId="9607"/>
    <cellStyle name="常规 3 2 4 2 2 9 2" xfId="28452"/>
    <cellStyle name="常规 3 2 4 2 3" xfId="186"/>
    <cellStyle name="常规 3 2 4 2 3 2" xfId="584"/>
    <cellStyle name="常规 3 2 4 2 3 2 2" xfId="1368"/>
    <cellStyle name="常规 3 2 4 2 3 2 2 2" xfId="4504"/>
    <cellStyle name="常规 3 2 4 2 3 2 2 2 2" xfId="13924"/>
    <cellStyle name="常规 3 2 4 2 3 2 2 2 2 2" xfId="32772"/>
    <cellStyle name="常规 3 2 4 2 3 2 2 2 3" xfId="23348"/>
    <cellStyle name="常规 3 2 4 2 3 2 2 3" xfId="7640"/>
    <cellStyle name="常规 3 2 4 2 3 2 2 3 2" xfId="17060"/>
    <cellStyle name="常规 3 2 4 2 3 2 2 3 2 2" xfId="35908"/>
    <cellStyle name="常规 3 2 4 2 3 2 2 3 3" xfId="26484"/>
    <cellStyle name="常规 3 2 4 2 3 2 2 4" xfId="10788"/>
    <cellStyle name="常规 3 2 4 2 3 2 2 4 2" xfId="29636"/>
    <cellStyle name="常规 3 2 4 2 3 2 2 5" xfId="20212"/>
    <cellStyle name="常规 3 2 4 2 3 2 3" xfId="2152"/>
    <cellStyle name="常规 3 2 4 2 3 2 3 2" xfId="5288"/>
    <cellStyle name="常规 3 2 4 2 3 2 3 2 2" xfId="14708"/>
    <cellStyle name="常规 3 2 4 2 3 2 3 2 2 2" xfId="33556"/>
    <cellStyle name="常规 3 2 4 2 3 2 3 2 3" xfId="24132"/>
    <cellStyle name="常规 3 2 4 2 3 2 3 3" xfId="8424"/>
    <cellStyle name="常规 3 2 4 2 3 2 3 3 2" xfId="17844"/>
    <cellStyle name="常规 3 2 4 2 3 2 3 3 2 2" xfId="36692"/>
    <cellStyle name="常规 3 2 4 2 3 2 3 3 3" xfId="27268"/>
    <cellStyle name="常规 3 2 4 2 3 2 3 4" xfId="11572"/>
    <cellStyle name="常规 3 2 4 2 3 2 3 4 2" xfId="30420"/>
    <cellStyle name="常规 3 2 4 2 3 2 3 5" xfId="20996"/>
    <cellStyle name="常规 3 2 4 2 3 2 4" xfId="2936"/>
    <cellStyle name="常规 3 2 4 2 3 2 4 2" xfId="6072"/>
    <cellStyle name="常规 3 2 4 2 3 2 4 2 2" xfId="15492"/>
    <cellStyle name="常规 3 2 4 2 3 2 4 2 2 2" xfId="34340"/>
    <cellStyle name="常规 3 2 4 2 3 2 4 2 3" xfId="24916"/>
    <cellStyle name="常规 3 2 4 2 3 2 4 3" xfId="9208"/>
    <cellStyle name="常规 3 2 4 2 3 2 4 3 2" xfId="18628"/>
    <cellStyle name="常规 3 2 4 2 3 2 4 3 2 2" xfId="37476"/>
    <cellStyle name="常规 3 2 4 2 3 2 4 3 3" xfId="28052"/>
    <cellStyle name="常规 3 2 4 2 3 2 4 4" xfId="12356"/>
    <cellStyle name="常规 3 2 4 2 3 2 4 4 2" xfId="31204"/>
    <cellStyle name="常规 3 2 4 2 3 2 4 5" xfId="21780"/>
    <cellStyle name="常规 3 2 4 2 3 2 5" xfId="3720"/>
    <cellStyle name="常规 3 2 4 2 3 2 5 2" xfId="13140"/>
    <cellStyle name="常规 3 2 4 2 3 2 5 2 2" xfId="31988"/>
    <cellStyle name="常规 3 2 4 2 3 2 5 3" xfId="22564"/>
    <cellStyle name="常规 3 2 4 2 3 2 6" xfId="6856"/>
    <cellStyle name="常规 3 2 4 2 3 2 6 2" xfId="16276"/>
    <cellStyle name="常规 3 2 4 2 3 2 6 2 2" xfId="35124"/>
    <cellStyle name="常规 3 2 4 2 3 2 6 3" xfId="25700"/>
    <cellStyle name="常规 3 2 4 2 3 2 7" xfId="10004"/>
    <cellStyle name="常规 3 2 4 2 3 2 7 2" xfId="28852"/>
    <cellStyle name="常规 3 2 4 2 3 2 8" xfId="19428"/>
    <cellStyle name="常规 3 2 4 2 3 3" xfId="974"/>
    <cellStyle name="常规 3 2 4 2 3 3 2" xfId="4110"/>
    <cellStyle name="常规 3 2 4 2 3 3 2 2" xfId="13530"/>
    <cellStyle name="常规 3 2 4 2 3 3 2 2 2" xfId="32378"/>
    <cellStyle name="常规 3 2 4 2 3 3 2 3" xfId="22954"/>
    <cellStyle name="常规 3 2 4 2 3 3 3" xfId="7246"/>
    <cellStyle name="常规 3 2 4 2 3 3 3 2" xfId="16666"/>
    <cellStyle name="常规 3 2 4 2 3 3 3 2 2" xfId="35514"/>
    <cellStyle name="常规 3 2 4 2 3 3 3 3" xfId="26090"/>
    <cellStyle name="常规 3 2 4 2 3 3 4" xfId="10394"/>
    <cellStyle name="常规 3 2 4 2 3 3 4 2" xfId="29242"/>
    <cellStyle name="常规 3 2 4 2 3 3 5" xfId="19818"/>
    <cellStyle name="常规 3 2 4 2 3 4" xfId="1758"/>
    <cellStyle name="常规 3 2 4 2 3 4 2" xfId="4894"/>
    <cellStyle name="常规 3 2 4 2 3 4 2 2" xfId="14314"/>
    <cellStyle name="常规 3 2 4 2 3 4 2 2 2" xfId="33162"/>
    <cellStyle name="常规 3 2 4 2 3 4 2 3" xfId="23738"/>
    <cellStyle name="常规 3 2 4 2 3 4 3" xfId="8030"/>
    <cellStyle name="常规 3 2 4 2 3 4 3 2" xfId="17450"/>
    <cellStyle name="常规 3 2 4 2 3 4 3 2 2" xfId="36298"/>
    <cellStyle name="常规 3 2 4 2 3 4 3 3" xfId="26874"/>
    <cellStyle name="常规 3 2 4 2 3 4 4" xfId="11178"/>
    <cellStyle name="常规 3 2 4 2 3 4 4 2" xfId="30026"/>
    <cellStyle name="常规 3 2 4 2 3 4 5" xfId="20602"/>
    <cellStyle name="常规 3 2 4 2 3 5" xfId="2542"/>
    <cellStyle name="常规 3 2 4 2 3 5 2" xfId="5678"/>
    <cellStyle name="常规 3 2 4 2 3 5 2 2" xfId="15098"/>
    <cellStyle name="常规 3 2 4 2 3 5 2 2 2" xfId="33946"/>
    <cellStyle name="常规 3 2 4 2 3 5 2 3" xfId="24522"/>
    <cellStyle name="常规 3 2 4 2 3 5 3" xfId="8814"/>
    <cellStyle name="常规 3 2 4 2 3 5 3 2" xfId="18234"/>
    <cellStyle name="常规 3 2 4 2 3 5 3 2 2" xfId="37082"/>
    <cellStyle name="常规 3 2 4 2 3 5 3 3" xfId="27658"/>
    <cellStyle name="常规 3 2 4 2 3 5 4" xfId="11962"/>
    <cellStyle name="常规 3 2 4 2 3 5 4 2" xfId="30810"/>
    <cellStyle name="常规 3 2 4 2 3 5 5" xfId="21386"/>
    <cellStyle name="常规 3 2 4 2 3 6" xfId="3375"/>
    <cellStyle name="常规 3 2 4 2 3 6 2" xfId="12795"/>
    <cellStyle name="常规 3 2 4 2 3 6 2 2" xfId="31643"/>
    <cellStyle name="常规 3 2 4 2 3 6 3" xfId="22219"/>
    <cellStyle name="常规 3 2 4 2 3 7" xfId="6462"/>
    <cellStyle name="常规 3 2 4 2 3 7 2" xfId="15882"/>
    <cellStyle name="常规 3 2 4 2 3 7 2 2" xfId="34730"/>
    <cellStyle name="常规 3 2 4 2 3 7 3" xfId="25306"/>
    <cellStyle name="常规 3 2 4 2 3 8" xfId="9609"/>
    <cellStyle name="常规 3 2 4 2 3 8 2" xfId="28454"/>
    <cellStyle name="常规 3 2 4 2 3 9" xfId="19032"/>
    <cellStyle name="常规 3 2 4 2 4" xfId="581"/>
    <cellStyle name="常规 3 2 4 2 4 2" xfId="1365"/>
    <cellStyle name="常规 3 2 4 2 4 2 2" xfId="4501"/>
    <cellStyle name="常规 3 2 4 2 4 2 2 2" xfId="13921"/>
    <cellStyle name="常规 3 2 4 2 4 2 2 2 2" xfId="32769"/>
    <cellStyle name="常规 3 2 4 2 4 2 2 3" xfId="23345"/>
    <cellStyle name="常规 3 2 4 2 4 2 3" xfId="7637"/>
    <cellStyle name="常规 3 2 4 2 4 2 3 2" xfId="17057"/>
    <cellStyle name="常规 3 2 4 2 4 2 3 2 2" xfId="35905"/>
    <cellStyle name="常规 3 2 4 2 4 2 3 3" xfId="26481"/>
    <cellStyle name="常规 3 2 4 2 4 2 4" xfId="10785"/>
    <cellStyle name="常规 3 2 4 2 4 2 4 2" xfId="29633"/>
    <cellStyle name="常规 3 2 4 2 4 2 5" xfId="20209"/>
    <cellStyle name="常规 3 2 4 2 4 3" xfId="2149"/>
    <cellStyle name="常规 3 2 4 2 4 3 2" xfId="5285"/>
    <cellStyle name="常规 3 2 4 2 4 3 2 2" xfId="14705"/>
    <cellStyle name="常规 3 2 4 2 4 3 2 2 2" xfId="33553"/>
    <cellStyle name="常规 3 2 4 2 4 3 2 3" xfId="24129"/>
    <cellStyle name="常规 3 2 4 2 4 3 3" xfId="8421"/>
    <cellStyle name="常规 3 2 4 2 4 3 3 2" xfId="17841"/>
    <cellStyle name="常规 3 2 4 2 4 3 3 2 2" xfId="36689"/>
    <cellStyle name="常规 3 2 4 2 4 3 3 3" xfId="27265"/>
    <cellStyle name="常规 3 2 4 2 4 3 4" xfId="11569"/>
    <cellStyle name="常规 3 2 4 2 4 3 4 2" xfId="30417"/>
    <cellStyle name="常规 3 2 4 2 4 3 5" xfId="20993"/>
    <cellStyle name="常规 3 2 4 2 4 4" xfId="2933"/>
    <cellStyle name="常规 3 2 4 2 4 4 2" xfId="6069"/>
    <cellStyle name="常规 3 2 4 2 4 4 2 2" xfId="15489"/>
    <cellStyle name="常规 3 2 4 2 4 4 2 2 2" xfId="34337"/>
    <cellStyle name="常规 3 2 4 2 4 4 2 3" xfId="24913"/>
    <cellStyle name="常规 3 2 4 2 4 4 3" xfId="9205"/>
    <cellStyle name="常规 3 2 4 2 4 4 3 2" xfId="18625"/>
    <cellStyle name="常规 3 2 4 2 4 4 3 2 2" xfId="37473"/>
    <cellStyle name="常规 3 2 4 2 4 4 3 3" xfId="28049"/>
    <cellStyle name="常规 3 2 4 2 4 4 4" xfId="12353"/>
    <cellStyle name="常规 3 2 4 2 4 4 4 2" xfId="31201"/>
    <cellStyle name="常规 3 2 4 2 4 4 5" xfId="21777"/>
    <cellStyle name="常规 3 2 4 2 4 5" xfId="3717"/>
    <cellStyle name="常规 3 2 4 2 4 5 2" xfId="13137"/>
    <cellStyle name="常规 3 2 4 2 4 5 2 2" xfId="31985"/>
    <cellStyle name="常规 3 2 4 2 4 5 3" xfId="22561"/>
    <cellStyle name="常规 3 2 4 2 4 6" xfId="6853"/>
    <cellStyle name="常规 3 2 4 2 4 6 2" xfId="16273"/>
    <cellStyle name="常规 3 2 4 2 4 6 2 2" xfId="35121"/>
    <cellStyle name="常规 3 2 4 2 4 6 3" xfId="25697"/>
    <cellStyle name="常规 3 2 4 2 4 7" xfId="10001"/>
    <cellStyle name="常规 3 2 4 2 4 7 2" xfId="28849"/>
    <cellStyle name="常规 3 2 4 2 4 8" xfId="19425"/>
    <cellStyle name="常规 3 2 4 2 5" xfId="971"/>
    <cellStyle name="常规 3 2 4 2 5 2" xfId="4107"/>
    <cellStyle name="常规 3 2 4 2 5 2 2" xfId="13527"/>
    <cellStyle name="常规 3 2 4 2 5 2 2 2" xfId="32375"/>
    <cellStyle name="常规 3 2 4 2 5 2 3" xfId="22951"/>
    <cellStyle name="常规 3 2 4 2 5 3" xfId="7243"/>
    <cellStyle name="常规 3 2 4 2 5 3 2" xfId="16663"/>
    <cellStyle name="常规 3 2 4 2 5 3 2 2" xfId="35511"/>
    <cellStyle name="常规 3 2 4 2 5 3 3" xfId="26087"/>
    <cellStyle name="常规 3 2 4 2 5 4" xfId="10391"/>
    <cellStyle name="常规 3 2 4 2 5 4 2" xfId="29239"/>
    <cellStyle name="常规 3 2 4 2 5 5" xfId="19815"/>
    <cellStyle name="常规 3 2 4 2 6" xfId="1755"/>
    <cellStyle name="常规 3 2 4 2 6 2" xfId="4891"/>
    <cellStyle name="常规 3 2 4 2 6 2 2" xfId="14311"/>
    <cellStyle name="常规 3 2 4 2 6 2 2 2" xfId="33159"/>
    <cellStyle name="常规 3 2 4 2 6 2 3" xfId="23735"/>
    <cellStyle name="常规 3 2 4 2 6 3" xfId="8027"/>
    <cellStyle name="常规 3 2 4 2 6 3 2" xfId="17447"/>
    <cellStyle name="常规 3 2 4 2 6 3 2 2" xfId="36295"/>
    <cellStyle name="常规 3 2 4 2 6 3 3" xfId="26871"/>
    <cellStyle name="常规 3 2 4 2 6 4" xfId="11175"/>
    <cellStyle name="常规 3 2 4 2 6 4 2" xfId="30023"/>
    <cellStyle name="常规 3 2 4 2 6 5" xfId="20599"/>
    <cellStyle name="常规 3 2 4 2 7" xfId="2539"/>
    <cellStyle name="常规 3 2 4 2 7 2" xfId="5675"/>
    <cellStyle name="常规 3 2 4 2 7 2 2" xfId="15095"/>
    <cellStyle name="常规 3 2 4 2 7 2 2 2" xfId="33943"/>
    <cellStyle name="常规 3 2 4 2 7 2 3" xfId="24519"/>
    <cellStyle name="常规 3 2 4 2 7 3" xfId="8811"/>
    <cellStyle name="常规 3 2 4 2 7 3 2" xfId="18231"/>
    <cellStyle name="常规 3 2 4 2 7 3 2 2" xfId="37079"/>
    <cellStyle name="常规 3 2 4 2 7 3 3" xfId="27655"/>
    <cellStyle name="常规 3 2 4 2 7 4" xfId="11959"/>
    <cellStyle name="常规 3 2 4 2 7 4 2" xfId="30807"/>
    <cellStyle name="常规 3 2 4 2 7 5" xfId="21383"/>
    <cellStyle name="常规 3 2 4 2 8" xfId="3216"/>
    <cellStyle name="常规 3 2 4 2 8 2" xfId="12636"/>
    <cellStyle name="常规 3 2 4 2 8 2 2" xfId="31484"/>
    <cellStyle name="常规 3 2 4 2 8 3" xfId="22060"/>
    <cellStyle name="常规 3 2 4 2 9" xfId="6459"/>
    <cellStyle name="常规 3 2 4 2 9 2" xfId="15879"/>
    <cellStyle name="常规 3 2 4 2 9 2 2" xfId="34727"/>
    <cellStyle name="常规 3 2 4 2 9 3" xfId="25303"/>
    <cellStyle name="常规 3 2 4 3" xfId="187"/>
    <cellStyle name="常规 3 2 4 3 10" xfId="19033"/>
    <cellStyle name="常规 3 2 4 3 2" xfId="188"/>
    <cellStyle name="常规 3 2 4 3 2 2" xfId="586"/>
    <cellStyle name="常规 3 2 4 3 2 2 2" xfId="1370"/>
    <cellStyle name="常规 3 2 4 3 2 2 2 2" xfId="4506"/>
    <cellStyle name="常规 3 2 4 3 2 2 2 2 2" xfId="13926"/>
    <cellStyle name="常规 3 2 4 3 2 2 2 2 2 2" xfId="32774"/>
    <cellStyle name="常规 3 2 4 3 2 2 2 2 3" xfId="23350"/>
    <cellStyle name="常规 3 2 4 3 2 2 2 3" xfId="7642"/>
    <cellStyle name="常规 3 2 4 3 2 2 2 3 2" xfId="17062"/>
    <cellStyle name="常规 3 2 4 3 2 2 2 3 2 2" xfId="35910"/>
    <cellStyle name="常规 3 2 4 3 2 2 2 3 3" xfId="26486"/>
    <cellStyle name="常规 3 2 4 3 2 2 2 4" xfId="10790"/>
    <cellStyle name="常规 3 2 4 3 2 2 2 4 2" xfId="29638"/>
    <cellStyle name="常规 3 2 4 3 2 2 2 5" xfId="20214"/>
    <cellStyle name="常规 3 2 4 3 2 2 3" xfId="2154"/>
    <cellStyle name="常规 3 2 4 3 2 2 3 2" xfId="5290"/>
    <cellStyle name="常规 3 2 4 3 2 2 3 2 2" xfId="14710"/>
    <cellStyle name="常规 3 2 4 3 2 2 3 2 2 2" xfId="33558"/>
    <cellStyle name="常规 3 2 4 3 2 2 3 2 3" xfId="24134"/>
    <cellStyle name="常规 3 2 4 3 2 2 3 3" xfId="8426"/>
    <cellStyle name="常规 3 2 4 3 2 2 3 3 2" xfId="17846"/>
    <cellStyle name="常规 3 2 4 3 2 2 3 3 2 2" xfId="36694"/>
    <cellStyle name="常规 3 2 4 3 2 2 3 3 3" xfId="27270"/>
    <cellStyle name="常规 3 2 4 3 2 2 3 4" xfId="11574"/>
    <cellStyle name="常规 3 2 4 3 2 2 3 4 2" xfId="30422"/>
    <cellStyle name="常规 3 2 4 3 2 2 3 5" xfId="20998"/>
    <cellStyle name="常规 3 2 4 3 2 2 4" xfId="2938"/>
    <cellStyle name="常规 3 2 4 3 2 2 4 2" xfId="6074"/>
    <cellStyle name="常规 3 2 4 3 2 2 4 2 2" xfId="15494"/>
    <cellStyle name="常规 3 2 4 3 2 2 4 2 2 2" xfId="34342"/>
    <cellStyle name="常规 3 2 4 3 2 2 4 2 3" xfId="24918"/>
    <cellStyle name="常规 3 2 4 3 2 2 4 3" xfId="9210"/>
    <cellStyle name="常规 3 2 4 3 2 2 4 3 2" xfId="18630"/>
    <cellStyle name="常规 3 2 4 3 2 2 4 3 2 2" xfId="37478"/>
    <cellStyle name="常规 3 2 4 3 2 2 4 3 3" xfId="28054"/>
    <cellStyle name="常规 3 2 4 3 2 2 4 4" xfId="12358"/>
    <cellStyle name="常规 3 2 4 3 2 2 4 4 2" xfId="31206"/>
    <cellStyle name="常规 3 2 4 3 2 2 4 5" xfId="21782"/>
    <cellStyle name="常规 3 2 4 3 2 2 5" xfId="3722"/>
    <cellStyle name="常规 3 2 4 3 2 2 5 2" xfId="13142"/>
    <cellStyle name="常规 3 2 4 3 2 2 5 2 2" xfId="31990"/>
    <cellStyle name="常规 3 2 4 3 2 2 5 3" xfId="22566"/>
    <cellStyle name="常规 3 2 4 3 2 2 6" xfId="6858"/>
    <cellStyle name="常规 3 2 4 3 2 2 6 2" xfId="16278"/>
    <cellStyle name="常规 3 2 4 3 2 2 6 2 2" xfId="35126"/>
    <cellStyle name="常规 3 2 4 3 2 2 6 3" xfId="25702"/>
    <cellStyle name="常规 3 2 4 3 2 2 7" xfId="10006"/>
    <cellStyle name="常规 3 2 4 3 2 2 7 2" xfId="28854"/>
    <cellStyle name="常规 3 2 4 3 2 2 8" xfId="19430"/>
    <cellStyle name="常规 3 2 4 3 2 3" xfId="976"/>
    <cellStyle name="常规 3 2 4 3 2 3 2" xfId="4112"/>
    <cellStyle name="常规 3 2 4 3 2 3 2 2" xfId="13532"/>
    <cellStyle name="常规 3 2 4 3 2 3 2 2 2" xfId="32380"/>
    <cellStyle name="常规 3 2 4 3 2 3 2 3" xfId="22956"/>
    <cellStyle name="常规 3 2 4 3 2 3 3" xfId="7248"/>
    <cellStyle name="常规 3 2 4 3 2 3 3 2" xfId="16668"/>
    <cellStyle name="常规 3 2 4 3 2 3 3 2 2" xfId="35516"/>
    <cellStyle name="常规 3 2 4 3 2 3 3 3" xfId="26092"/>
    <cellStyle name="常规 3 2 4 3 2 3 4" xfId="10396"/>
    <cellStyle name="常规 3 2 4 3 2 3 4 2" xfId="29244"/>
    <cellStyle name="常规 3 2 4 3 2 3 5" xfId="19820"/>
    <cellStyle name="常规 3 2 4 3 2 4" xfId="1760"/>
    <cellStyle name="常规 3 2 4 3 2 4 2" xfId="4896"/>
    <cellStyle name="常规 3 2 4 3 2 4 2 2" xfId="14316"/>
    <cellStyle name="常规 3 2 4 3 2 4 2 2 2" xfId="33164"/>
    <cellStyle name="常规 3 2 4 3 2 4 2 3" xfId="23740"/>
    <cellStyle name="常规 3 2 4 3 2 4 3" xfId="8032"/>
    <cellStyle name="常规 3 2 4 3 2 4 3 2" xfId="17452"/>
    <cellStyle name="常规 3 2 4 3 2 4 3 2 2" xfId="36300"/>
    <cellStyle name="常规 3 2 4 3 2 4 3 3" xfId="26876"/>
    <cellStyle name="常规 3 2 4 3 2 4 4" xfId="11180"/>
    <cellStyle name="常规 3 2 4 3 2 4 4 2" xfId="30028"/>
    <cellStyle name="常规 3 2 4 3 2 4 5" xfId="20604"/>
    <cellStyle name="常规 3 2 4 3 2 5" xfId="2544"/>
    <cellStyle name="常规 3 2 4 3 2 5 2" xfId="5680"/>
    <cellStyle name="常规 3 2 4 3 2 5 2 2" xfId="15100"/>
    <cellStyle name="常规 3 2 4 3 2 5 2 2 2" xfId="33948"/>
    <cellStyle name="常规 3 2 4 3 2 5 2 3" xfId="24524"/>
    <cellStyle name="常规 3 2 4 3 2 5 3" xfId="8816"/>
    <cellStyle name="常规 3 2 4 3 2 5 3 2" xfId="18236"/>
    <cellStyle name="常规 3 2 4 3 2 5 3 2 2" xfId="37084"/>
    <cellStyle name="常规 3 2 4 3 2 5 3 3" xfId="27660"/>
    <cellStyle name="常规 3 2 4 3 2 5 4" xfId="11964"/>
    <cellStyle name="常规 3 2 4 3 2 5 4 2" xfId="30812"/>
    <cellStyle name="常规 3 2 4 3 2 5 5" xfId="21388"/>
    <cellStyle name="常规 3 2 4 3 2 6" xfId="3377"/>
    <cellStyle name="常规 3 2 4 3 2 6 2" xfId="12797"/>
    <cellStyle name="常规 3 2 4 3 2 6 2 2" xfId="31645"/>
    <cellStyle name="常规 3 2 4 3 2 6 3" xfId="22221"/>
    <cellStyle name="常规 3 2 4 3 2 7" xfId="6464"/>
    <cellStyle name="常规 3 2 4 3 2 7 2" xfId="15884"/>
    <cellStyle name="常规 3 2 4 3 2 7 2 2" xfId="34732"/>
    <cellStyle name="常规 3 2 4 3 2 7 3" xfId="25308"/>
    <cellStyle name="常规 3 2 4 3 2 8" xfId="9611"/>
    <cellStyle name="常规 3 2 4 3 2 8 2" xfId="28456"/>
    <cellStyle name="常规 3 2 4 3 2 9" xfId="19034"/>
    <cellStyle name="常规 3 2 4 3 3" xfId="585"/>
    <cellStyle name="常规 3 2 4 3 3 2" xfId="1369"/>
    <cellStyle name="常规 3 2 4 3 3 2 2" xfId="4505"/>
    <cellStyle name="常规 3 2 4 3 3 2 2 2" xfId="13925"/>
    <cellStyle name="常规 3 2 4 3 3 2 2 2 2" xfId="32773"/>
    <cellStyle name="常规 3 2 4 3 3 2 2 3" xfId="23349"/>
    <cellStyle name="常规 3 2 4 3 3 2 3" xfId="7641"/>
    <cellStyle name="常规 3 2 4 3 3 2 3 2" xfId="17061"/>
    <cellStyle name="常规 3 2 4 3 3 2 3 2 2" xfId="35909"/>
    <cellStyle name="常规 3 2 4 3 3 2 3 3" xfId="26485"/>
    <cellStyle name="常规 3 2 4 3 3 2 4" xfId="10789"/>
    <cellStyle name="常规 3 2 4 3 3 2 4 2" xfId="29637"/>
    <cellStyle name="常规 3 2 4 3 3 2 5" xfId="20213"/>
    <cellStyle name="常规 3 2 4 3 3 3" xfId="2153"/>
    <cellStyle name="常规 3 2 4 3 3 3 2" xfId="5289"/>
    <cellStyle name="常规 3 2 4 3 3 3 2 2" xfId="14709"/>
    <cellStyle name="常规 3 2 4 3 3 3 2 2 2" xfId="33557"/>
    <cellStyle name="常规 3 2 4 3 3 3 2 3" xfId="24133"/>
    <cellStyle name="常规 3 2 4 3 3 3 3" xfId="8425"/>
    <cellStyle name="常规 3 2 4 3 3 3 3 2" xfId="17845"/>
    <cellStyle name="常规 3 2 4 3 3 3 3 2 2" xfId="36693"/>
    <cellStyle name="常规 3 2 4 3 3 3 3 3" xfId="27269"/>
    <cellStyle name="常规 3 2 4 3 3 3 4" xfId="11573"/>
    <cellStyle name="常规 3 2 4 3 3 3 4 2" xfId="30421"/>
    <cellStyle name="常规 3 2 4 3 3 3 5" xfId="20997"/>
    <cellStyle name="常规 3 2 4 3 3 4" xfId="2937"/>
    <cellStyle name="常规 3 2 4 3 3 4 2" xfId="6073"/>
    <cellStyle name="常规 3 2 4 3 3 4 2 2" xfId="15493"/>
    <cellStyle name="常规 3 2 4 3 3 4 2 2 2" xfId="34341"/>
    <cellStyle name="常规 3 2 4 3 3 4 2 3" xfId="24917"/>
    <cellStyle name="常规 3 2 4 3 3 4 3" xfId="9209"/>
    <cellStyle name="常规 3 2 4 3 3 4 3 2" xfId="18629"/>
    <cellStyle name="常规 3 2 4 3 3 4 3 2 2" xfId="37477"/>
    <cellStyle name="常规 3 2 4 3 3 4 3 3" xfId="28053"/>
    <cellStyle name="常规 3 2 4 3 3 4 4" xfId="12357"/>
    <cellStyle name="常规 3 2 4 3 3 4 4 2" xfId="31205"/>
    <cellStyle name="常规 3 2 4 3 3 4 5" xfId="21781"/>
    <cellStyle name="常规 3 2 4 3 3 5" xfId="3721"/>
    <cellStyle name="常规 3 2 4 3 3 5 2" xfId="13141"/>
    <cellStyle name="常规 3 2 4 3 3 5 2 2" xfId="31989"/>
    <cellStyle name="常规 3 2 4 3 3 5 3" xfId="22565"/>
    <cellStyle name="常规 3 2 4 3 3 6" xfId="6857"/>
    <cellStyle name="常规 3 2 4 3 3 6 2" xfId="16277"/>
    <cellStyle name="常规 3 2 4 3 3 6 2 2" xfId="35125"/>
    <cellStyle name="常规 3 2 4 3 3 6 3" xfId="25701"/>
    <cellStyle name="常规 3 2 4 3 3 7" xfId="10005"/>
    <cellStyle name="常规 3 2 4 3 3 7 2" xfId="28853"/>
    <cellStyle name="常规 3 2 4 3 3 8" xfId="19429"/>
    <cellStyle name="常规 3 2 4 3 4" xfId="975"/>
    <cellStyle name="常规 3 2 4 3 4 2" xfId="4111"/>
    <cellStyle name="常规 3 2 4 3 4 2 2" xfId="13531"/>
    <cellStyle name="常规 3 2 4 3 4 2 2 2" xfId="32379"/>
    <cellStyle name="常规 3 2 4 3 4 2 3" xfId="22955"/>
    <cellStyle name="常规 3 2 4 3 4 3" xfId="7247"/>
    <cellStyle name="常规 3 2 4 3 4 3 2" xfId="16667"/>
    <cellStyle name="常规 3 2 4 3 4 3 2 2" xfId="35515"/>
    <cellStyle name="常规 3 2 4 3 4 3 3" xfId="26091"/>
    <cellStyle name="常规 3 2 4 3 4 4" xfId="10395"/>
    <cellStyle name="常规 3 2 4 3 4 4 2" xfId="29243"/>
    <cellStyle name="常规 3 2 4 3 4 5" xfId="19819"/>
    <cellStyle name="常规 3 2 4 3 5" xfId="1759"/>
    <cellStyle name="常规 3 2 4 3 5 2" xfId="4895"/>
    <cellStyle name="常规 3 2 4 3 5 2 2" xfId="14315"/>
    <cellStyle name="常规 3 2 4 3 5 2 2 2" xfId="33163"/>
    <cellStyle name="常规 3 2 4 3 5 2 3" xfId="23739"/>
    <cellStyle name="常规 3 2 4 3 5 3" xfId="8031"/>
    <cellStyle name="常规 3 2 4 3 5 3 2" xfId="17451"/>
    <cellStyle name="常规 3 2 4 3 5 3 2 2" xfId="36299"/>
    <cellStyle name="常规 3 2 4 3 5 3 3" xfId="26875"/>
    <cellStyle name="常规 3 2 4 3 5 4" xfId="11179"/>
    <cellStyle name="常规 3 2 4 3 5 4 2" xfId="30027"/>
    <cellStyle name="常规 3 2 4 3 5 5" xfId="20603"/>
    <cellStyle name="常规 3 2 4 3 6" xfId="2543"/>
    <cellStyle name="常规 3 2 4 3 6 2" xfId="5679"/>
    <cellStyle name="常规 3 2 4 3 6 2 2" xfId="15099"/>
    <cellStyle name="常规 3 2 4 3 6 2 2 2" xfId="33947"/>
    <cellStyle name="常规 3 2 4 3 6 2 3" xfId="24523"/>
    <cellStyle name="常规 3 2 4 3 6 3" xfId="8815"/>
    <cellStyle name="常规 3 2 4 3 6 3 2" xfId="18235"/>
    <cellStyle name="常规 3 2 4 3 6 3 2 2" xfId="37083"/>
    <cellStyle name="常规 3 2 4 3 6 3 3" xfId="27659"/>
    <cellStyle name="常规 3 2 4 3 6 4" xfId="11963"/>
    <cellStyle name="常规 3 2 4 3 6 4 2" xfId="30811"/>
    <cellStyle name="常规 3 2 4 3 6 5" xfId="21387"/>
    <cellStyle name="常规 3 2 4 3 7" xfId="3376"/>
    <cellStyle name="常规 3 2 4 3 7 2" xfId="12796"/>
    <cellStyle name="常规 3 2 4 3 7 2 2" xfId="31644"/>
    <cellStyle name="常规 3 2 4 3 7 3" xfId="22220"/>
    <cellStyle name="常规 3 2 4 3 8" xfId="6463"/>
    <cellStyle name="常规 3 2 4 3 8 2" xfId="15883"/>
    <cellStyle name="常规 3 2 4 3 8 2 2" xfId="34731"/>
    <cellStyle name="常规 3 2 4 3 8 3" xfId="25307"/>
    <cellStyle name="常规 3 2 4 3 9" xfId="9610"/>
    <cellStyle name="常规 3 2 4 3 9 2" xfId="28455"/>
    <cellStyle name="常规 3 2 4 4" xfId="189"/>
    <cellStyle name="常规 3 2 4 4 2" xfId="587"/>
    <cellStyle name="常规 3 2 4 4 2 2" xfId="1371"/>
    <cellStyle name="常规 3 2 4 4 2 2 2" xfId="4507"/>
    <cellStyle name="常规 3 2 4 4 2 2 2 2" xfId="13927"/>
    <cellStyle name="常规 3 2 4 4 2 2 2 2 2" xfId="32775"/>
    <cellStyle name="常规 3 2 4 4 2 2 2 3" xfId="23351"/>
    <cellStyle name="常规 3 2 4 4 2 2 3" xfId="7643"/>
    <cellStyle name="常规 3 2 4 4 2 2 3 2" xfId="17063"/>
    <cellStyle name="常规 3 2 4 4 2 2 3 2 2" xfId="35911"/>
    <cellStyle name="常规 3 2 4 4 2 2 3 3" xfId="26487"/>
    <cellStyle name="常规 3 2 4 4 2 2 4" xfId="10791"/>
    <cellStyle name="常规 3 2 4 4 2 2 4 2" xfId="29639"/>
    <cellStyle name="常规 3 2 4 4 2 2 5" xfId="20215"/>
    <cellStyle name="常规 3 2 4 4 2 3" xfId="2155"/>
    <cellStyle name="常规 3 2 4 4 2 3 2" xfId="5291"/>
    <cellStyle name="常规 3 2 4 4 2 3 2 2" xfId="14711"/>
    <cellStyle name="常规 3 2 4 4 2 3 2 2 2" xfId="33559"/>
    <cellStyle name="常规 3 2 4 4 2 3 2 3" xfId="24135"/>
    <cellStyle name="常规 3 2 4 4 2 3 3" xfId="8427"/>
    <cellStyle name="常规 3 2 4 4 2 3 3 2" xfId="17847"/>
    <cellStyle name="常规 3 2 4 4 2 3 3 2 2" xfId="36695"/>
    <cellStyle name="常规 3 2 4 4 2 3 3 3" xfId="27271"/>
    <cellStyle name="常规 3 2 4 4 2 3 4" xfId="11575"/>
    <cellStyle name="常规 3 2 4 4 2 3 4 2" xfId="30423"/>
    <cellStyle name="常规 3 2 4 4 2 3 5" xfId="20999"/>
    <cellStyle name="常规 3 2 4 4 2 4" xfId="2939"/>
    <cellStyle name="常规 3 2 4 4 2 4 2" xfId="6075"/>
    <cellStyle name="常规 3 2 4 4 2 4 2 2" xfId="15495"/>
    <cellStyle name="常规 3 2 4 4 2 4 2 2 2" xfId="34343"/>
    <cellStyle name="常规 3 2 4 4 2 4 2 3" xfId="24919"/>
    <cellStyle name="常规 3 2 4 4 2 4 3" xfId="9211"/>
    <cellStyle name="常规 3 2 4 4 2 4 3 2" xfId="18631"/>
    <cellStyle name="常规 3 2 4 4 2 4 3 2 2" xfId="37479"/>
    <cellStyle name="常规 3 2 4 4 2 4 3 3" xfId="28055"/>
    <cellStyle name="常规 3 2 4 4 2 4 4" xfId="12359"/>
    <cellStyle name="常规 3 2 4 4 2 4 4 2" xfId="31207"/>
    <cellStyle name="常规 3 2 4 4 2 4 5" xfId="21783"/>
    <cellStyle name="常规 3 2 4 4 2 5" xfId="3723"/>
    <cellStyle name="常规 3 2 4 4 2 5 2" xfId="13143"/>
    <cellStyle name="常规 3 2 4 4 2 5 2 2" xfId="31991"/>
    <cellStyle name="常规 3 2 4 4 2 5 3" xfId="22567"/>
    <cellStyle name="常规 3 2 4 4 2 6" xfId="6859"/>
    <cellStyle name="常规 3 2 4 4 2 6 2" xfId="16279"/>
    <cellStyle name="常规 3 2 4 4 2 6 2 2" xfId="35127"/>
    <cellStyle name="常规 3 2 4 4 2 6 3" xfId="25703"/>
    <cellStyle name="常规 3 2 4 4 2 7" xfId="10007"/>
    <cellStyle name="常规 3 2 4 4 2 7 2" xfId="28855"/>
    <cellStyle name="常规 3 2 4 4 2 8" xfId="19431"/>
    <cellStyle name="常规 3 2 4 4 3" xfId="977"/>
    <cellStyle name="常规 3 2 4 4 3 2" xfId="4113"/>
    <cellStyle name="常规 3 2 4 4 3 2 2" xfId="13533"/>
    <cellStyle name="常规 3 2 4 4 3 2 2 2" xfId="32381"/>
    <cellStyle name="常规 3 2 4 4 3 2 3" xfId="22957"/>
    <cellStyle name="常规 3 2 4 4 3 3" xfId="7249"/>
    <cellStyle name="常规 3 2 4 4 3 3 2" xfId="16669"/>
    <cellStyle name="常规 3 2 4 4 3 3 2 2" xfId="35517"/>
    <cellStyle name="常规 3 2 4 4 3 3 3" xfId="26093"/>
    <cellStyle name="常规 3 2 4 4 3 4" xfId="10397"/>
    <cellStyle name="常规 3 2 4 4 3 4 2" xfId="29245"/>
    <cellStyle name="常规 3 2 4 4 3 5" xfId="19821"/>
    <cellStyle name="常规 3 2 4 4 4" xfId="1761"/>
    <cellStyle name="常规 3 2 4 4 4 2" xfId="4897"/>
    <cellStyle name="常规 3 2 4 4 4 2 2" xfId="14317"/>
    <cellStyle name="常规 3 2 4 4 4 2 2 2" xfId="33165"/>
    <cellStyle name="常规 3 2 4 4 4 2 3" xfId="23741"/>
    <cellStyle name="常规 3 2 4 4 4 3" xfId="8033"/>
    <cellStyle name="常规 3 2 4 4 4 3 2" xfId="17453"/>
    <cellStyle name="常规 3 2 4 4 4 3 2 2" xfId="36301"/>
    <cellStyle name="常规 3 2 4 4 4 3 3" xfId="26877"/>
    <cellStyle name="常规 3 2 4 4 4 4" xfId="11181"/>
    <cellStyle name="常规 3 2 4 4 4 4 2" xfId="30029"/>
    <cellStyle name="常规 3 2 4 4 4 5" xfId="20605"/>
    <cellStyle name="常规 3 2 4 4 5" xfId="2545"/>
    <cellStyle name="常规 3 2 4 4 5 2" xfId="5681"/>
    <cellStyle name="常规 3 2 4 4 5 2 2" xfId="15101"/>
    <cellStyle name="常规 3 2 4 4 5 2 2 2" xfId="33949"/>
    <cellStyle name="常规 3 2 4 4 5 2 3" xfId="24525"/>
    <cellStyle name="常规 3 2 4 4 5 3" xfId="8817"/>
    <cellStyle name="常规 3 2 4 4 5 3 2" xfId="18237"/>
    <cellStyle name="常规 3 2 4 4 5 3 2 2" xfId="37085"/>
    <cellStyle name="常规 3 2 4 4 5 3 3" xfId="27661"/>
    <cellStyle name="常规 3 2 4 4 5 4" xfId="11965"/>
    <cellStyle name="常规 3 2 4 4 5 4 2" xfId="30813"/>
    <cellStyle name="常规 3 2 4 4 5 5" xfId="21389"/>
    <cellStyle name="常规 3 2 4 4 6" xfId="3378"/>
    <cellStyle name="常规 3 2 4 4 6 2" xfId="12798"/>
    <cellStyle name="常规 3 2 4 4 6 2 2" xfId="31646"/>
    <cellStyle name="常规 3 2 4 4 6 3" xfId="22222"/>
    <cellStyle name="常规 3 2 4 4 7" xfId="6465"/>
    <cellStyle name="常规 3 2 4 4 7 2" xfId="15885"/>
    <cellStyle name="常规 3 2 4 4 7 2 2" xfId="34733"/>
    <cellStyle name="常规 3 2 4 4 7 3" xfId="25309"/>
    <cellStyle name="常规 3 2 4 4 8" xfId="9612"/>
    <cellStyle name="常规 3 2 4 4 8 2" xfId="28457"/>
    <cellStyle name="常规 3 2 4 4 9" xfId="19035"/>
    <cellStyle name="常规 3 2 4 5" xfId="580"/>
    <cellStyle name="常规 3 2 4 5 2" xfId="1364"/>
    <cellStyle name="常规 3 2 4 5 2 2" xfId="4500"/>
    <cellStyle name="常规 3 2 4 5 2 2 2" xfId="13920"/>
    <cellStyle name="常规 3 2 4 5 2 2 2 2" xfId="32768"/>
    <cellStyle name="常规 3 2 4 5 2 2 3" xfId="23344"/>
    <cellStyle name="常规 3 2 4 5 2 3" xfId="7636"/>
    <cellStyle name="常规 3 2 4 5 2 3 2" xfId="17056"/>
    <cellStyle name="常规 3 2 4 5 2 3 2 2" xfId="35904"/>
    <cellStyle name="常规 3 2 4 5 2 3 3" xfId="26480"/>
    <cellStyle name="常规 3 2 4 5 2 4" xfId="10784"/>
    <cellStyle name="常规 3 2 4 5 2 4 2" xfId="29632"/>
    <cellStyle name="常规 3 2 4 5 2 5" xfId="20208"/>
    <cellStyle name="常规 3 2 4 5 3" xfId="2148"/>
    <cellStyle name="常规 3 2 4 5 3 2" xfId="5284"/>
    <cellStyle name="常规 3 2 4 5 3 2 2" xfId="14704"/>
    <cellStyle name="常规 3 2 4 5 3 2 2 2" xfId="33552"/>
    <cellStyle name="常规 3 2 4 5 3 2 3" xfId="24128"/>
    <cellStyle name="常规 3 2 4 5 3 3" xfId="8420"/>
    <cellStyle name="常规 3 2 4 5 3 3 2" xfId="17840"/>
    <cellStyle name="常规 3 2 4 5 3 3 2 2" xfId="36688"/>
    <cellStyle name="常规 3 2 4 5 3 3 3" xfId="27264"/>
    <cellStyle name="常规 3 2 4 5 3 4" xfId="11568"/>
    <cellStyle name="常规 3 2 4 5 3 4 2" xfId="30416"/>
    <cellStyle name="常规 3 2 4 5 3 5" xfId="20992"/>
    <cellStyle name="常规 3 2 4 5 4" xfId="2932"/>
    <cellStyle name="常规 3 2 4 5 4 2" xfId="6068"/>
    <cellStyle name="常规 3 2 4 5 4 2 2" xfId="15488"/>
    <cellStyle name="常规 3 2 4 5 4 2 2 2" xfId="34336"/>
    <cellStyle name="常规 3 2 4 5 4 2 3" xfId="24912"/>
    <cellStyle name="常规 3 2 4 5 4 3" xfId="9204"/>
    <cellStyle name="常规 3 2 4 5 4 3 2" xfId="18624"/>
    <cellStyle name="常规 3 2 4 5 4 3 2 2" xfId="37472"/>
    <cellStyle name="常规 3 2 4 5 4 3 3" xfId="28048"/>
    <cellStyle name="常规 3 2 4 5 4 4" xfId="12352"/>
    <cellStyle name="常规 3 2 4 5 4 4 2" xfId="31200"/>
    <cellStyle name="常规 3 2 4 5 4 5" xfId="21776"/>
    <cellStyle name="常规 3 2 4 5 5" xfId="3716"/>
    <cellStyle name="常规 3 2 4 5 5 2" xfId="13136"/>
    <cellStyle name="常规 3 2 4 5 5 2 2" xfId="31984"/>
    <cellStyle name="常规 3 2 4 5 5 3" xfId="22560"/>
    <cellStyle name="常规 3 2 4 5 6" xfId="6852"/>
    <cellStyle name="常规 3 2 4 5 6 2" xfId="16272"/>
    <cellStyle name="常规 3 2 4 5 6 2 2" xfId="35120"/>
    <cellStyle name="常规 3 2 4 5 6 3" xfId="25696"/>
    <cellStyle name="常规 3 2 4 5 7" xfId="10000"/>
    <cellStyle name="常规 3 2 4 5 7 2" xfId="28848"/>
    <cellStyle name="常规 3 2 4 5 8" xfId="19424"/>
    <cellStyle name="常规 3 2 4 6" xfId="970"/>
    <cellStyle name="常规 3 2 4 6 2" xfId="4106"/>
    <cellStyle name="常规 3 2 4 6 2 2" xfId="13526"/>
    <cellStyle name="常规 3 2 4 6 2 2 2" xfId="32374"/>
    <cellStyle name="常规 3 2 4 6 2 3" xfId="22950"/>
    <cellStyle name="常规 3 2 4 6 3" xfId="7242"/>
    <cellStyle name="常规 3 2 4 6 3 2" xfId="16662"/>
    <cellStyle name="常规 3 2 4 6 3 2 2" xfId="35510"/>
    <cellStyle name="常规 3 2 4 6 3 3" xfId="26086"/>
    <cellStyle name="常规 3 2 4 6 4" xfId="10390"/>
    <cellStyle name="常规 3 2 4 6 4 2" xfId="29238"/>
    <cellStyle name="常规 3 2 4 6 5" xfId="19814"/>
    <cellStyle name="常规 3 2 4 7" xfId="1754"/>
    <cellStyle name="常规 3 2 4 7 2" xfId="4890"/>
    <cellStyle name="常规 3 2 4 7 2 2" xfId="14310"/>
    <cellStyle name="常规 3 2 4 7 2 2 2" xfId="33158"/>
    <cellStyle name="常规 3 2 4 7 2 3" xfId="23734"/>
    <cellStyle name="常规 3 2 4 7 3" xfId="8026"/>
    <cellStyle name="常规 3 2 4 7 3 2" xfId="17446"/>
    <cellStyle name="常规 3 2 4 7 3 2 2" xfId="36294"/>
    <cellStyle name="常规 3 2 4 7 3 3" xfId="26870"/>
    <cellStyle name="常规 3 2 4 7 4" xfId="11174"/>
    <cellStyle name="常规 3 2 4 7 4 2" xfId="30022"/>
    <cellStyle name="常规 3 2 4 7 5" xfId="20598"/>
    <cellStyle name="常规 3 2 4 8" xfId="2538"/>
    <cellStyle name="常规 3 2 4 8 2" xfId="5674"/>
    <cellStyle name="常规 3 2 4 8 2 2" xfId="15094"/>
    <cellStyle name="常规 3 2 4 8 2 2 2" xfId="33942"/>
    <cellStyle name="常规 3 2 4 8 2 3" xfId="24518"/>
    <cellStyle name="常规 3 2 4 8 3" xfId="8810"/>
    <cellStyle name="常规 3 2 4 8 3 2" xfId="18230"/>
    <cellStyle name="常规 3 2 4 8 3 2 2" xfId="37078"/>
    <cellStyle name="常规 3 2 4 8 3 3" xfId="27654"/>
    <cellStyle name="常规 3 2 4 8 4" xfId="11958"/>
    <cellStyle name="常规 3 2 4 8 4 2" xfId="30806"/>
    <cellStyle name="常规 3 2 4 8 5" xfId="21382"/>
    <cellStyle name="常规 3 2 4 9" xfId="3168"/>
    <cellStyle name="常规 3 2 4 9 2" xfId="12588"/>
    <cellStyle name="常规 3 2 4 9 2 2" xfId="31436"/>
    <cellStyle name="常规 3 2 4 9 3" xfId="22012"/>
    <cellStyle name="常规 3 2 5" xfId="190"/>
    <cellStyle name="常规 3 2 5 10" xfId="9613"/>
    <cellStyle name="常规 3 2 5 10 2" xfId="28458"/>
    <cellStyle name="常规 3 2 5 11" xfId="19036"/>
    <cellStyle name="常规 3 2 5 2" xfId="191"/>
    <cellStyle name="常规 3 2 5 2 10" xfId="19037"/>
    <cellStyle name="常规 3 2 5 2 2" xfId="192"/>
    <cellStyle name="常规 3 2 5 2 2 2" xfId="590"/>
    <cellStyle name="常规 3 2 5 2 2 2 2" xfId="1374"/>
    <cellStyle name="常规 3 2 5 2 2 2 2 2" xfId="4510"/>
    <cellStyle name="常规 3 2 5 2 2 2 2 2 2" xfId="13930"/>
    <cellStyle name="常规 3 2 5 2 2 2 2 2 2 2" xfId="32778"/>
    <cellStyle name="常规 3 2 5 2 2 2 2 2 3" xfId="23354"/>
    <cellStyle name="常规 3 2 5 2 2 2 2 3" xfId="7646"/>
    <cellStyle name="常规 3 2 5 2 2 2 2 3 2" xfId="17066"/>
    <cellStyle name="常规 3 2 5 2 2 2 2 3 2 2" xfId="35914"/>
    <cellStyle name="常规 3 2 5 2 2 2 2 3 3" xfId="26490"/>
    <cellStyle name="常规 3 2 5 2 2 2 2 4" xfId="10794"/>
    <cellStyle name="常规 3 2 5 2 2 2 2 4 2" xfId="29642"/>
    <cellStyle name="常规 3 2 5 2 2 2 2 5" xfId="20218"/>
    <cellStyle name="常规 3 2 5 2 2 2 3" xfId="2158"/>
    <cellStyle name="常规 3 2 5 2 2 2 3 2" xfId="5294"/>
    <cellStyle name="常规 3 2 5 2 2 2 3 2 2" xfId="14714"/>
    <cellStyle name="常规 3 2 5 2 2 2 3 2 2 2" xfId="33562"/>
    <cellStyle name="常规 3 2 5 2 2 2 3 2 3" xfId="24138"/>
    <cellStyle name="常规 3 2 5 2 2 2 3 3" xfId="8430"/>
    <cellStyle name="常规 3 2 5 2 2 2 3 3 2" xfId="17850"/>
    <cellStyle name="常规 3 2 5 2 2 2 3 3 2 2" xfId="36698"/>
    <cellStyle name="常规 3 2 5 2 2 2 3 3 3" xfId="27274"/>
    <cellStyle name="常规 3 2 5 2 2 2 3 4" xfId="11578"/>
    <cellStyle name="常规 3 2 5 2 2 2 3 4 2" xfId="30426"/>
    <cellStyle name="常规 3 2 5 2 2 2 3 5" xfId="21002"/>
    <cellStyle name="常规 3 2 5 2 2 2 4" xfId="2942"/>
    <cellStyle name="常规 3 2 5 2 2 2 4 2" xfId="6078"/>
    <cellStyle name="常规 3 2 5 2 2 2 4 2 2" xfId="15498"/>
    <cellStyle name="常规 3 2 5 2 2 2 4 2 2 2" xfId="34346"/>
    <cellStyle name="常规 3 2 5 2 2 2 4 2 3" xfId="24922"/>
    <cellStyle name="常规 3 2 5 2 2 2 4 3" xfId="9214"/>
    <cellStyle name="常规 3 2 5 2 2 2 4 3 2" xfId="18634"/>
    <cellStyle name="常规 3 2 5 2 2 2 4 3 2 2" xfId="37482"/>
    <cellStyle name="常规 3 2 5 2 2 2 4 3 3" xfId="28058"/>
    <cellStyle name="常规 3 2 5 2 2 2 4 4" xfId="12362"/>
    <cellStyle name="常规 3 2 5 2 2 2 4 4 2" xfId="31210"/>
    <cellStyle name="常规 3 2 5 2 2 2 4 5" xfId="21786"/>
    <cellStyle name="常规 3 2 5 2 2 2 5" xfId="3726"/>
    <cellStyle name="常规 3 2 5 2 2 2 5 2" xfId="13146"/>
    <cellStyle name="常规 3 2 5 2 2 2 5 2 2" xfId="31994"/>
    <cellStyle name="常规 3 2 5 2 2 2 5 3" xfId="22570"/>
    <cellStyle name="常规 3 2 5 2 2 2 6" xfId="6862"/>
    <cellStyle name="常规 3 2 5 2 2 2 6 2" xfId="16282"/>
    <cellStyle name="常规 3 2 5 2 2 2 6 2 2" xfId="35130"/>
    <cellStyle name="常规 3 2 5 2 2 2 6 3" xfId="25706"/>
    <cellStyle name="常规 3 2 5 2 2 2 7" xfId="10010"/>
    <cellStyle name="常规 3 2 5 2 2 2 7 2" xfId="28858"/>
    <cellStyle name="常规 3 2 5 2 2 2 8" xfId="19434"/>
    <cellStyle name="常规 3 2 5 2 2 3" xfId="980"/>
    <cellStyle name="常规 3 2 5 2 2 3 2" xfId="4116"/>
    <cellStyle name="常规 3 2 5 2 2 3 2 2" xfId="13536"/>
    <cellStyle name="常规 3 2 5 2 2 3 2 2 2" xfId="32384"/>
    <cellStyle name="常规 3 2 5 2 2 3 2 3" xfId="22960"/>
    <cellStyle name="常规 3 2 5 2 2 3 3" xfId="7252"/>
    <cellStyle name="常规 3 2 5 2 2 3 3 2" xfId="16672"/>
    <cellStyle name="常规 3 2 5 2 2 3 3 2 2" xfId="35520"/>
    <cellStyle name="常规 3 2 5 2 2 3 3 3" xfId="26096"/>
    <cellStyle name="常规 3 2 5 2 2 3 4" xfId="10400"/>
    <cellStyle name="常规 3 2 5 2 2 3 4 2" xfId="29248"/>
    <cellStyle name="常规 3 2 5 2 2 3 5" xfId="19824"/>
    <cellStyle name="常规 3 2 5 2 2 4" xfId="1764"/>
    <cellStyle name="常规 3 2 5 2 2 4 2" xfId="4900"/>
    <cellStyle name="常规 3 2 5 2 2 4 2 2" xfId="14320"/>
    <cellStyle name="常规 3 2 5 2 2 4 2 2 2" xfId="33168"/>
    <cellStyle name="常规 3 2 5 2 2 4 2 3" xfId="23744"/>
    <cellStyle name="常规 3 2 5 2 2 4 3" xfId="8036"/>
    <cellStyle name="常规 3 2 5 2 2 4 3 2" xfId="17456"/>
    <cellStyle name="常规 3 2 5 2 2 4 3 2 2" xfId="36304"/>
    <cellStyle name="常规 3 2 5 2 2 4 3 3" xfId="26880"/>
    <cellStyle name="常规 3 2 5 2 2 4 4" xfId="11184"/>
    <cellStyle name="常规 3 2 5 2 2 4 4 2" xfId="30032"/>
    <cellStyle name="常规 3 2 5 2 2 4 5" xfId="20608"/>
    <cellStyle name="常规 3 2 5 2 2 5" xfId="2548"/>
    <cellStyle name="常规 3 2 5 2 2 5 2" xfId="5684"/>
    <cellStyle name="常规 3 2 5 2 2 5 2 2" xfId="15104"/>
    <cellStyle name="常规 3 2 5 2 2 5 2 2 2" xfId="33952"/>
    <cellStyle name="常规 3 2 5 2 2 5 2 3" xfId="24528"/>
    <cellStyle name="常规 3 2 5 2 2 5 3" xfId="8820"/>
    <cellStyle name="常规 3 2 5 2 2 5 3 2" xfId="18240"/>
    <cellStyle name="常规 3 2 5 2 2 5 3 2 2" xfId="37088"/>
    <cellStyle name="常规 3 2 5 2 2 5 3 3" xfId="27664"/>
    <cellStyle name="常规 3 2 5 2 2 5 4" xfId="11968"/>
    <cellStyle name="常规 3 2 5 2 2 5 4 2" xfId="30816"/>
    <cellStyle name="常规 3 2 5 2 2 5 5" xfId="21392"/>
    <cellStyle name="常规 3 2 5 2 2 6" xfId="3380"/>
    <cellStyle name="常规 3 2 5 2 2 6 2" xfId="12800"/>
    <cellStyle name="常规 3 2 5 2 2 6 2 2" xfId="31648"/>
    <cellStyle name="常规 3 2 5 2 2 6 3" xfId="22224"/>
    <cellStyle name="常规 3 2 5 2 2 7" xfId="6468"/>
    <cellStyle name="常规 3 2 5 2 2 7 2" xfId="15888"/>
    <cellStyle name="常规 3 2 5 2 2 7 2 2" xfId="34736"/>
    <cellStyle name="常规 3 2 5 2 2 7 3" xfId="25312"/>
    <cellStyle name="常规 3 2 5 2 2 8" xfId="9615"/>
    <cellStyle name="常规 3 2 5 2 2 8 2" xfId="28460"/>
    <cellStyle name="常规 3 2 5 2 2 9" xfId="19038"/>
    <cellStyle name="常规 3 2 5 2 3" xfId="589"/>
    <cellStyle name="常规 3 2 5 2 3 2" xfId="1373"/>
    <cellStyle name="常规 3 2 5 2 3 2 2" xfId="4509"/>
    <cellStyle name="常规 3 2 5 2 3 2 2 2" xfId="13929"/>
    <cellStyle name="常规 3 2 5 2 3 2 2 2 2" xfId="32777"/>
    <cellStyle name="常规 3 2 5 2 3 2 2 3" xfId="23353"/>
    <cellStyle name="常规 3 2 5 2 3 2 3" xfId="7645"/>
    <cellStyle name="常规 3 2 5 2 3 2 3 2" xfId="17065"/>
    <cellStyle name="常规 3 2 5 2 3 2 3 2 2" xfId="35913"/>
    <cellStyle name="常规 3 2 5 2 3 2 3 3" xfId="26489"/>
    <cellStyle name="常规 3 2 5 2 3 2 4" xfId="10793"/>
    <cellStyle name="常规 3 2 5 2 3 2 4 2" xfId="29641"/>
    <cellStyle name="常规 3 2 5 2 3 2 5" xfId="20217"/>
    <cellStyle name="常规 3 2 5 2 3 3" xfId="2157"/>
    <cellStyle name="常规 3 2 5 2 3 3 2" xfId="5293"/>
    <cellStyle name="常规 3 2 5 2 3 3 2 2" xfId="14713"/>
    <cellStyle name="常规 3 2 5 2 3 3 2 2 2" xfId="33561"/>
    <cellStyle name="常规 3 2 5 2 3 3 2 3" xfId="24137"/>
    <cellStyle name="常规 3 2 5 2 3 3 3" xfId="8429"/>
    <cellStyle name="常规 3 2 5 2 3 3 3 2" xfId="17849"/>
    <cellStyle name="常规 3 2 5 2 3 3 3 2 2" xfId="36697"/>
    <cellStyle name="常规 3 2 5 2 3 3 3 3" xfId="27273"/>
    <cellStyle name="常规 3 2 5 2 3 3 4" xfId="11577"/>
    <cellStyle name="常规 3 2 5 2 3 3 4 2" xfId="30425"/>
    <cellStyle name="常规 3 2 5 2 3 3 5" xfId="21001"/>
    <cellStyle name="常规 3 2 5 2 3 4" xfId="2941"/>
    <cellStyle name="常规 3 2 5 2 3 4 2" xfId="6077"/>
    <cellStyle name="常规 3 2 5 2 3 4 2 2" xfId="15497"/>
    <cellStyle name="常规 3 2 5 2 3 4 2 2 2" xfId="34345"/>
    <cellStyle name="常规 3 2 5 2 3 4 2 3" xfId="24921"/>
    <cellStyle name="常规 3 2 5 2 3 4 3" xfId="9213"/>
    <cellStyle name="常规 3 2 5 2 3 4 3 2" xfId="18633"/>
    <cellStyle name="常规 3 2 5 2 3 4 3 2 2" xfId="37481"/>
    <cellStyle name="常规 3 2 5 2 3 4 3 3" xfId="28057"/>
    <cellStyle name="常规 3 2 5 2 3 4 4" xfId="12361"/>
    <cellStyle name="常规 3 2 5 2 3 4 4 2" xfId="31209"/>
    <cellStyle name="常规 3 2 5 2 3 4 5" xfId="21785"/>
    <cellStyle name="常规 3 2 5 2 3 5" xfId="3725"/>
    <cellStyle name="常规 3 2 5 2 3 5 2" xfId="13145"/>
    <cellStyle name="常规 3 2 5 2 3 5 2 2" xfId="31993"/>
    <cellStyle name="常规 3 2 5 2 3 5 3" xfId="22569"/>
    <cellStyle name="常规 3 2 5 2 3 6" xfId="6861"/>
    <cellStyle name="常规 3 2 5 2 3 6 2" xfId="16281"/>
    <cellStyle name="常规 3 2 5 2 3 6 2 2" xfId="35129"/>
    <cellStyle name="常规 3 2 5 2 3 6 3" xfId="25705"/>
    <cellStyle name="常规 3 2 5 2 3 7" xfId="10009"/>
    <cellStyle name="常规 3 2 5 2 3 7 2" xfId="28857"/>
    <cellStyle name="常规 3 2 5 2 3 8" xfId="19433"/>
    <cellStyle name="常规 3 2 5 2 4" xfId="979"/>
    <cellStyle name="常规 3 2 5 2 4 2" xfId="4115"/>
    <cellStyle name="常规 3 2 5 2 4 2 2" xfId="13535"/>
    <cellStyle name="常规 3 2 5 2 4 2 2 2" xfId="32383"/>
    <cellStyle name="常规 3 2 5 2 4 2 3" xfId="22959"/>
    <cellStyle name="常规 3 2 5 2 4 3" xfId="7251"/>
    <cellStyle name="常规 3 2 5 2 4 3 2" xfId="16671"/>
    <cellStyle name="常规 3 2 5 2 4 3 2 2" xfId="35519"/>
    <cellStyle name="常规 3 2 5 2 4 3 3" xfId="26095"/>
    <cellStyle name="常规 3 2 5 2 4 4" xfId="10399"/>
    <cellStyle name="常规 3 2 5 2 4 4 2" xfId="29247"/>
    <cellStyle name="常规 3 2 5 2 4 5" xfId="19823"/>
    <cellStyle name="常规 3 2 5 2 5" xfId="1763"/>
    <cellStyle name="常规 3 2 5 2 5 2" xfId="4899"/>
    <cellStyle name="常规 3 2 5 2 5 2 2" xfId="14319"/>
    <cellStyle name="常规 3 2 5 2 5 2 2 2" xfId="33167"/>
    <cellStyle name="常规 3 2 5 2 5 2 3" xfId="23743"/>
    <cellStyle name="常规 3 2 5 2 5 3" xfId="8035"/>
    <cellStyle name="常规 3 2 5 2 5 3 2" xfId="17455"/>
    <cellStyle name="常规 3 2 5 2 5 3 2 2" xfId="36303"/>
    <cellStyle name="常规 3 2 5 2 5 3 3" xfId="26879"/>
    <cellStyle name="常规 3 2 5 2 5 4" xfId="11183"/>
    <cellStyle name="常规 3 2 5 2 5 4 2" xfId="30031"/>
    <cellStyle name="常规 3 2 5 2 5 5" xfId="20607"/>
    <cellStyle name="常规 3 2 5 2 6" xfId="2547"/>
    <cellStyle name="常规 3 2 5 2 6 2" xfId="5683"/>
    <cellStyle name="常规 3 2 5 2 6 2 2" xfId="15103"/>
    <cellStyle name="常规 3 2 5 2 6 2 2 2" xfId="33951"/>
    <cellStyle name="常规 3 2 5 2 6 2 3" xfId="24527"/>
    <cellStyle name="常规 3 2 5 2 6 3" xfId="8819"/>
    <cellStyle name="常规 3 2 5 2 6 3 2" xfId="18239"/>
    <cellStyle name="常规 3 2 5 2 6 3 2 2" xfId="37087"/>
    <cellStyle name="常规 3 2 5 2 6 3 3" xfId="27663"/>
    <cellStyle name="常规 3 2 5 2 6 4" xfId="11967"/>
    <cellStyle name="常规 3 2 5 2 6 4 2" xfId="30815"/>
    <cellStyle name="常规 3 2 5 2 6 5" xfId="21391"/>
    <cellStyle name="常规 3 2 5 2 7" xfId="3379"/>
    <cellStyle name="常规 3 2 5 2 7 2" xfId="12799"/>
    <cellStyle name="常规 3 2 5 2 7 2 2" xfId="31647"/>
    <cellStyle name="常规 3 2 5 2 7 3" xfId="22223"/>
    <cellStyle name="常规 3 2 5 2 8" xfId="6467"/>
    <cellStyle name="常规 3 2 5 2 8 2" xfId="15887"/>
    <cellStyle name="常规 3 2 5 2 8 2 2" xfId="34735"/>
    <cellStyle name="常规 3 2 5 2 8 3" xfId="25311"/>
    <cellStyle name="常规 3 2 5 2 9" xfId="9614"/>
    <cellStyle name="常规 3 2 5 2 9 2" xfId="28459"/>
    <cellStyle name="常规 3 2 5 3" xfId="193"/>
    <cellStyle name="常规 3 2 5 3 2" xfId="591"/>
    <cellStyle name="常规 3 2 5 3 2 2" xfId="1375"/>
    <cellStyle name="常规 3 2 5 3 2 2 2" xfId="4511"/>
    <cellStyle name="常规 3 2 5 3 2 2 2 2" xfId="13931"/>
    <cellStyle name="常规 3 2 5 3 2 2 2 2 2" xfId="32779"/>
    <cellStyle name="常规 3 2 5 3 2 2 2 3" xfId="23355"/>
    <cellStyle name="常规 3 2 5 3 2 2 3" xfId="7647"/>
    <cellStyle name="常规 3 2 5 3 2 2 3 2" xfId="17067"/>
    <cellStyle name="常规 3 2 5 3 2 2 3 2 2" xfId="35915"/>
    <cellStyle name="常规 3 2 5 3 2 2 3 3" xfId="26491"/>
    <cellStyle name="常规 3 2 5 3 2 2 4" xfId="10795"/>
    <cellStyle name="常规 3 2 5 3 2 2 4 2" xfId="29643"/>
    <cellStyle name="常规 3 2 5 3 2 2 5" xfId="20219"/>
    <cellStyle name="常规 3 2 5 3 2 3" xfId="2159"/>
    <cellStyle name="常规 3 2 5 3 2 3 2" xfId="5295"/>
    <cellStyle name="常规 3 2 5 3 2 3 2 2" xfId="14715"/>
    <cellStyle name="常规 3 2 5 3 2 3 2 2 2" xfId="33563"/>
    <cellStyle name="常规 3 2 5 3 2 3 2 3" xfId="24139"/>
    <cellStyle name="常规 3 2 5 3 2 3 3" xfId="8431"/>
    <cellStyle name="常规 3 2 5 3 2 3 3 2" xfId="17851"/>
    <cellStyle name="常规 3 2 5 3 2 3 3 2 2" xfId="36699"/>
    <cellStyle name="常规 3 2 5 3 2 3 3 3" xfId="27275"/>
    <cellStyle name="常规 3 2 5 3 2 3 4" xfId="11579"/>
    <cellStyle name="常规 3 2 5 3 2 3 4 2" xfId="30427"/>
    <cellStyle name="常规 3 2 5 3 2 3 5" xfId="21003"/>
    <cellStyle name="常规 3 2 5 3 2 4" xfId="2943"/>
    <cellStyle name="常规 3 2 5 3 2 4 2" xfId="6079"/>
    <cellStyle name="常规 3 2 5 3 2 4 2 2" xfId="15499"/>
    <cellStyle name="常规 3 2 5 3 2 4 2 2 2" xfId="34347"/>
    <cellStyle name="常规 3 2 5 3 2 4 2 3" xfId="24923"/>
    <cellStyle name="常规 3 2 5 3 2 4 3" xfId="9215"/>
    <cellStyle name="常规 3 2 5 3 2 4 3 2" xfId="18635"/>
    <cellStyle name="常规 3 2 5 3 2 4 3 2 2" xfId="37483"/>
    <cellStyle name="常规 3 2 5 3 2 4 3 3" xfId="28059"/>
    <cellStyle name="常规 3 2 5 3 2 4 4" xfId="12363"/>
    <cellStyle name="常规 3 2 5 3 2 4 4 2" xfId="31211"/>
    <cellStyle name="常规 3 2 5 3 2 4 5" xfId="21787"/>
    <cellStyle name="常规 3 2 5 3 2 5" xfId="3727"/>
    <cellStyle name="常规 3 2 5 3 2 5 2" xfId="13147"/>
    <cellStyle name="常规 3 2 5 3 2 5 2 2" xfId="31995"/>
    <cellStyle name="常规 3 2 5 3 2 5 3" xfId="22571"/>
    <cellStyle name="常规 3 2 5 3 2 6" xfId="6863"/>
    <cellStyle name="常规 3 2 5 3 2 6 2" xfId="16283"/>
    <cellStyle name="常规 3 2 5 3 2 6 2 2" xfId="35131"/>
    <cellStyle name="常规 3 2 5 3 2 6 3" xfId="25707"/>
    <cellStyle name="常规 3 2 5 3 2 7" xfId="10011"/>
    <cellStyle name="常规 3 2 5 3 2 7 2" xfId="28859"/>
    <cellStyle name="常规 3 2 5 3 2 8" xfId="19435"/>
    <cellStyle name="常规 3 2 5 3 3" xfId="981"/>
    <cellStyle name="常规 3 2 5 3 3 2" xfId="4117"/>
    <cellStyle name="常规 3 2 5 3 3 2 2" xfId="13537"/>
    <cellStyle name="常规 3 2 5 3 3 2 2 2" xfId="32385"/>
    <cellStyle name="常规 3 2 5 3 3 2 3" xfId="22961"/>
    <cellStyle name="常规 3 2 5 3 3 3" xfId="7253"/>
    <cellStyle name="常规 3 2 5 3 3 3 2" xfId="16673"/>
    <cellStyle name="常规 3 2 5 3 3 3 2 2" xfId="35521"/>
    <cellStyle name="常规 3 2 5 3 3 3 3" xfId="26097"/>
    <cellStyle name="常规 3 2 5 3 3 4" xfId="10401"/>
    <cellStyle name="常规 3 2 5 3 3 4 2" xfId="29249"/>
    <cellStyle name="常规 3 2 5 3 3 5" xfId="19825"/>
    <cellStyle name="常规 3 2 5 3 4" xfId="1765"/>
    <cellStyle name="常规 3 2 5 3 4 2" xfId="4901"/>
    <cellStyle name="常规 3 2 5 3 4 2 2" xfId="14321"/>
    <cellStyle name="常规 3 2 5 3 4 2 2 2" xfId="33169"/>
    <cellStyle name="常规 3 2 5 3 4 2 3" xfId="23745"/>
    <cellStyle name="常规 3 2 5 3 4 3" xfId="8037"/>
    <cellStyle name="常规 3 2 5 3 4 3 2" xfId="17457"/>
    <cellStyle name="常规 3 2 5 3 4 3 2 2" xfId="36305"/>
    <cellStyle name="常规 3 2 5 3 4 3 3" xfId="26881"/>
    <cellStyle name="常规 3 2 5 3 4 4" xfId="11185"/>
    <cellStyle name="常规 3 2 5 3 4 4 2" xfId="30033"/>
    <cellStyle name="常规 3 2 5 3 4 5" xfId="20609"/>
    <cellStyle name="常规 3 2 5 3 5" xfId="2549"/>
    <cellStyle name="常规 3 2 5 3 5 2" xfId="5685"/>
    <cellStyle name="常规 3 2 5 3 5 2 2" xfId="15105"/>
    <cellStyle name="常规 3 2 5 3 5 2 2 2" xfId="33953"/>
    <cellStyle name="常规 3 2 5 3 5 2 3" xfId="24529"/>
    <cellStyle name="常规 3 2 5 3 5 3" xfId="8821"/>
    <cellStyle name="常规 3 2 5 3 5 3 2" xfId="18241"/>
    <cellStyle name="常规 3 2 5 3 5 3 2 2" xfId="37089"/>
    <cellStyle name="常规 3 2 5 3 5 3 3" xfId="27665"/>
    <cellStyle name="常规 3 2 5 3 5 4" xfId="11969"/>
    <cellStyle name="常规 3 2 5 3 5 4 2" xfId="30817"/>
    <cellStyle name="常规 3 2 5 3 5 5" xfId="21393"/>
    <cellStyle name="常规 3 2 5 3 6" xfId="3381"/>
    <cellStyle name="常规 3 2 5 3 6 2" xfId="12801"/>
    <cellStyle name="常规 3 2 5 3 6 2 2" xfId="31649"/>
    <cellStyle name="常规 3 2 5 3 6 3" xfId="22225"/>
    <cellStyle name="常规 3 2 5 3 7" xfId="6469"/>
    <cellStyle name="常规 3 2 5 3 7 2" xfId="15889"/>
    <cellStyle name="常规 3 2 5 3 7 2 2" xfId="34737"/>
    <cellStyle name="常规 3 2 5 3 7 3" xfId="25313"/>
    <cellStyle name="常规 3 2 5 3 8" xfId="9616"/>
    <cellStyle name="常规 3 2 5 3 8 2" xfId="28461"/>
    <cellStyle name="常规 3 2 5 3 9" xfId="19039"/>
    <cellStyle name="常规 3 2 5 4" xfId="588"/>
    <cellStyle name="常规 3 2 5 4 2" xfId="1372"/>
    <cellStyle name="常规 3 2 5 4 2 2" xfId="4508"/>
    <cellStyle name="常规 3 2 5 4 2 2 2" xfId="13928"/>
    <cellStyle name="常规 3 2 5 4 2 2 2 2" xfId="32776"/>
    <cellStyle name="常规 3 2 5 4 2 2 3" xfId="23352"/>
    <cellStyle name="常规 3 2 5 4 2 3" xfId="7644"/>
    <cellStyle name="常规 3 2 5 4 2 3 2" xfId="17064"/>
    <cellStyle name="常规 3 2 5 4 2 3 2 2" xfId="35912"/>
    <cellStyle name="常规 3 2 5 4 2 3 3" xfId="26488"/>
    <cellStyle name="常规 3 2 5 4 2 4" xfId="10792"/>
    <cellStyle name="常规 3 2 5 4 2 4 2" xfId="29640"/>
    <cellStyle name="常规 3 2 5 4 2 5" xfId="20216"/>
    <cellStyle name="常规 3 2 5 4 3" xfId="2156"/>
    <cellStyle name="常规 3 2 5 4 3 2" xfId="5292"/>
    <cellStyle name="常规 3 2 5 4 3 2 2" xfId="14712"/>
    <cellStyle name="常规 3 2 5 4 3 2 2 2" xfId="33560"/>
    <cellStyle name="常规 3 2 5 4 3 2 3" xfId="24136"/>
    <cellStyle name="常规 3 2 5 4 3 3" xfId="8428"/>
    <cellStyle name="常规 3 2 5 4 3 3 2" xfId="17848"/>
    <cellStyle name="常规 3 2 5 4 3 3 2 2" xfId="36696"/>
    <cellStyle name="常规 3 2 5 4 3 3 3" xfId="27272"/>
    <cellStyle name="常规 3 2 5 4 3 4" xfId="11576"/>
    <cellStyle name="常规 3 2 5 4 3 4 2" xfId="30424"/>
    <cellStyle name="常规 3 2 5 4 3 5" xfId="21000"/>
    <cellStyle name="常规 3 2 5 4 4" xfId="2940"/>
    <cellStyle name="常规 3 2 5 4 4 2" xfId="6076"/>
    <cellStyle name="常规 3 2 5 4 4 2 2" xfId="15496"/>
    <cellStyle name="常规 3 2 5 4 4 2 2 2" xfId="34344"/>
    <cellStyle name="常规 3 2 5 4 4 2 3" xfId="24920"/>
    <cellStyle name="常规 3 2 5 4 4 3" xfId="9212"/>
    <cellStyle name="常规 3 2 5 4 4 3 2" xfId="18632"/>
    <cellStyle name="常规 3 2 5 4 4 3 2 2" xfId="37480"/>
    <cellStyle name="常规 3 2 5 4 4 3 3" xfId="28056"/>
    <cellStyle name="常规 3 2 5 4 4 4" xfId="12360"/>
    <cellStyle name="常规 3 2 5 4 4 4 2" xfId="31208"/>
    <cellStyle name="常规 3 2 5 4 4 5" xfId="21784"/>
    <cellStyle name="常规 3 2 5 4 5" xfId="3724"/>
    <cellStyle name="常规 3 2 5 4 5 2" xfId="13144"/>
    <cellStyle name="常规 3 2 5 4 5 2 2" xfId="31992"/>
    <cellStyle name="常规 3 2 5 4 5 3" xfId="22568"/>
    <cellStyle name="常规 3 2 5 4 6" xfId="6860"/>
    <cellStyle name="常规 3 2 5 4 6 2" xfId="16280"/>
    <cellStyle name="常规 3 2 5 4 6 2 2" xfId="35128"/>
    <cellStyle name="常规 3 2 5 4 6 3" xfId="25704"/>
    <cellStyle name="常规 3 2 5 4 7" xfId="10008"/>
    <cellStyle name="常规 3 2 5 4 7 2" xfId="28856"/>
    <cellStyle name="常规 3 2 5 4 8" xfId="19432"/>
    <cellStyle name="常规 3 2 5 5" xfId="978"/>
    <cellStyle name="常规 3 2 5 5 2" xfId="4114"/>
    <cellStyle name="常规 3 2 5 5 2 2" xfId="13534"/>
    <cellStyle name="常规 3 2 5 5 2 2 2" xfId="32382"/>
    <cellStyle name="常规 3 2 5 5 2 3" xfId="22958"/>
    <cellStyle name="常规 3 2 5 5 3" xfId="7250"/>
    <cellStyle name="常规 3 2 5 5 3 2" xfId="16670"/>
    <cellStyle name="常规 3 2 5 5 3 2 2" xfId="35518"/>
    <cellStyle name="常规 3 2 5 5 3 3" xfId="26094"/>
    <cellStyle name="常规 3 2 5 5 4" xfId="10398"/>
    <cellStyle name="常规 3 2 5 5 4 2" xfId="29246"/>
    <cellStyle name="常规 3 2 5 5 5" xfId="19822"/>
    <cellStyle name="常规 3 2 5 6" xfId="1762"/>
    <cellStyle name="常规 3 2 5 6 2" xfId="4898"/>
    <cellStyle name="常规 3 2 5 6 2 2" xfId="14318"/>
    <cellStyle name="常规 3 2 5 6 2 2 2" xfId="33166"/>
    <cellStyle name="常规 3 2 5 6 2 3" xfId="23742"/>
    <cellStyle name="常规 3 2 5 6 3" xfId="8034"/>
    <cellStyle name="常规 3 2 5 6 3 2" xfId="17454"/>
    <cellStyle name="常规 3 2 5 6 3 2 2" xfId="36302"/>
    <cellStyle name="常规 3 2 5 6 3 3" xfId="26878"/>
    <cellStyle name="常规 3 2 5 6 4" xfId="11182"/>
    <cellStyle name="常规 3 2 5 6 4 2" xfId="30030"/>
    <cellStyle name="常规 3 2 5 6 5" xfId="20606"/>
    <cellStyle name="常规 3 2 5 7" xfId="2546"/>
    <cellStyle name="常规 3 2 5 7 2" xfId="5682"/>
    <cellStyle name="常规 3 2 5 7 2 2" xfId="15102"/>
    <cellStyle name="常规 3 2 5 7 2 2 2" xfId="33950"/>
    <cellStyle name="常规 3 2 5 7 2 3" xfId="24526"/>
    <cellStyle name="常规 3 2 5 7 3" xfId="8818"/>
    <cellStyle name="常规 3 2 5 7 3 2" xfId="18238"/>
    <cellStyle name="常规 3 2 5 7 3 2 2" xfId="37086"/>
    <cellStyle name="常规 3 2 5 7 3 3" xfId="27662"/>
    <cellStyle name="常规 3 2 5 7 4" xfId="11966"/>
    <cellStyle name="常规 3 2 5 7 4 2" xfId="30814"/>
    <cellStyle name="常规 3 2 5 7 5" xfId="21390"/>
    <cellStyle name="常规 3 2 5 8" xfId="3209"/>
    <cellStyle name="常规 3 2 5 8 2" xfId="12629"/>
    <cellStyle name="常规 3 2 5 8 2 2" xfId="31477"/>
    <cellStyle name="常规 3 2 5 8 3" xfId="22053"/>
    <cellStyle name="常规 3 2 5 9" xfId="6466"/>
    <cellStyle name="常规 3 2 5 9 2" xfId="15886"/>
    <cellStyle name="常规 3 2 5 9 2 2" xfId="34734"/>
    <cellStyle name="常规 3 2 5 9 3" xfId="25310"/>
    <cellStyle name="常规 3 2 6" xfId="194"/>
    <cellStyle name="常规 3 2 6 10" xfId="19040"/>
    <cellStyle name="常规 3 2 6 2" xfId="195"/>
    <cellStyle name="常规 3 2 6 2 2" xfId="593"/>
    <cellStyle name="常规 3 2 6 2 2 2" xfId="1377"/>
    <cellStyle name="常规 3 2 6 2 2 2 2" xfId="4513"/>
    <cellStyle name="常规 3 2 6 2 2 2 2 2" xfId="13933"/>
    <cellStyle name="常规 3 2 6 2 2 2 2 2 2" xfId="32781"/>
    <cellStyle name="常规 3 2 6 2 2 2 2 3" xfId="23357"/>
    <cellStyle name="常规 3 2 6 2 2 2 3" xfId="7649"/>
    <cellStyle name="常规 3 2 6 2 2 2 3 2" xfId="17069"/>
    <cellStyle name="常规 3 2 6 2 2 2 3 2 2" xfId="35917"/>
    <cellStyle name="常规 3 2 6 2 2 2 3 3" xfId="26493"/>
    <cellStyle name="常规 3 2 6 2 2 2 4" xfId="10797"/>
    <cellStyle name="常规 3 2 6 2 2 2 4 2" xfId="29645"/>
    <cellStyle name="常规 3 2 6 2 2 2 5" xfId="20221"/>
    <cellStyle name="常规 3 2 6 2 2 3" xfId="2161"/>
    <cellStyle name="常规 3 2 6 2 2 3 2" xfId="5297"/>
    <cellStyle name="常规 3 2 6 2 2 3 2 2" xfId="14717"/>
    <cellStyle name="常规 3 2 6 2 2 3 2 2 2" xfId="33565"/>
    <cellStyle name="常规 3 2 6 2 2 3 2 3" xfId="24141"/>
    <cellStyle name="常规 3 2 6 2 2 3 3" xfId="8433"/>
    <cellStyle name="常规 3 2 6 2 2 3 3 2" xfId="17853"/>
    <cellStyle name="常规 3 2 6 2 2 3 3 2 2" xfId="36701"/>
    <cellStyle name="常规 3 2 6 2 2 3 3 3" xfId="27277"/>
    <cellStyle name="常规 3 2 6 2 2 3 4" xfId="11581"/>
    <cellStyle name="常规 3 2 6 2 2 3 4 2" xfId="30429"/>
    <cellStyle name="常规 3 2 6 2 2 3 5" xfId="21005"/>
    <cellStyle name="常规 3 2 6 2 2 4" xfId="2945"/>
    <cellStyle name="常规 3 2 6 2 2 4 2" xfId="6081"/>
    <cellStyle name="常规 3 2 6 2 2 4 2 2" xfId="15501"/>
    <cellStyle name="常规 3 2 6 2 2 4 2 2 2" xfId="34349"/>
    <cellStyle name="常规 3 2 6 2 2 4 2 3" xfId="24925"/>
    <cellStyle name="常规 3 2 6 2 2 4 3" xfId="9217"/>
    <cellStyle name="常规 3 2 6 2 2 4 3 2" xfId="18637"/>
    <cellStyle name="常规 3 2 6 2 2 4 3 2 2" xfId="37485"/>
    <cellStyle name="常规 3 2 6 2 2 4 3 3" xfId="28061"/>
    <cellStyle name="常规 3 2 6 2 2 4 4" xfId="12365"/>
    <cellStyle name="常规 3 2 6 2 2 4 4 2" xfId="31213"/>
    <cellStyle name="常规 3 2 6 2 2 4 5" xfId="21789"/>
    <cellStyle name="常规 3 2 6 2 2 5" xfId="3729"/>
    <cellStyle name="常规 3 2 6 2 2 5 2" xfId="13149"/>
    <cellStyle name="常规 3 2 6 2 2 5 2 2" xfId="31997"/>
    <cellStyle name="常规 3 2 6 2 2 5 3" xfId="22573"/>
    <cellStyle name="常规 3 2 6 2 2 6" xfId="6865"/>
    <cellStyle name="常规 3 2 6 2 2 6 2" xfId="16285"/>
    <cellStyle name="常规 3 2 6 2 2 6 2 2" xfId="35133"/>
    <cellStyle name="常规 3 2 6 2 2 6 3" xfId="25709"/>
    <cellStyle name="常规 3 2 6 2 2 7" xfId="10013"/>
    <cellStyle name="常规 3 2 6 2 2 7 2" xfId="28861"/>
    <cellStyle name="常规 3 2 6 2 2 8" xfId="19437"/>
    <cellStyle name="常规 3 2 6 2 3" xfId="983"/>
    <cellStyle name="常规 3 2 6 2 3 2" xfId="4119"/>
    <cellStyle name="常规 3 2 6 2 3 2 2" xfId="13539"/>
    <cellStyle name="常规 3 2 6 2 3 2 2 2" xfId="32387"/>
    <cellStyle name="常规 3 2 6 2 3 2 3" xfId="22963"/>
    <cellStyle name="常规 3 2 6 2 3 3" xfId="7255"/>
    <cellStyle name="常规 3 2 6 2 3 3 2" xfId="16675"/>
    <cellStyle name="常规 3 2 6 2 3 3 2 2" xfId="35523"/>
    <cellStyle name="常规 3 2 6 2 3 3 3" xfId="26099"/>
    <cellStyle name="常规 3 2 6 2 3 4" xfId="10403"/>
    <cellStyle name="常规 3 2 6 2 3 4 2" xfId="29251"/>
    <cellStyle name="常规 3 2 6 2 3 5" xfId="19827"/>
    <cellStyle name="常规 3 2 6 2 4" xfId="1767"/>
    <cellStyle name="常规 3 2 6 2 4 2" xfId="4903"/>
    <cellStyle name="常规 3 2 6 2 4 2 2" xfId="14323"/>
    <cellStyle name="常规 3 2 6 2 4 2 2 2" xfId="33171"/>
    <cellStyle name="常规 3 2 6 2 4 2 3" xfId="23747"/>
    <cellStyle name="常规 3 2 6 2 4 3" xfId="8039"/>
    <cellStyle name="常规 3 2 6 2 4 3 2" xfId="17459"/>
    <cellStyle name="常规 3 2 6 2 4 3 2 2" xfId="36307"/>
    <cellStyle name="常规 3 2 6 2 4 3 3" xfId="26883"/>
    <cellStyle name="常规 3 2 6 2 4 4" xfId="11187"/>
    <cellStyle name="常规 3 2 6 2 4 4 2" xfId="30035"/>
    <cellStyle name="常规 3 2 6 2 4 5" xfId="20611"/>
    <cellStyle name="常规 3 2 6 2 5" xfId="2551"/>
    <cellStyle name="常规 3 2 6 2 5 2" xfId="5687"/>
    <cellStyle name="常规 3 2 6 2 5 2 2" xfId="15107"/>
    <cellStyle name="常规 3 2 6 2 5 2 2 2" xfId="33955"/>
    <cellStyle name="常规 3 2 6 2 5 2 3" xfId="24531"/>
    <cellStyle name="常规 3 2 6 2 5 3" xfId="8823"/>
    <cellStyle name="常规 3 2 6 2 5 3 2" xfId="18243"/>
    <cellStyle name="常规 3 2 6 2 5 3 2 2" xfId="37091"/>
    <cellStyle name="常规 3 2 6 2 5 3 3" xfId="27667"/>
    <cellStyle name="常规 3 2 6 2 5 4" xfId="11971"/>
    <cellStyle name="常规 3 2 6 2 5 4 2" xfId="30819"/>
    <cellStyle name="常规 3 2 6 2 5 5" xfId="21395"/>
    <cellStyle name="常规 3 2 6 2 6" xfId="3383"/>
    <cellStyle name="常规 3 2 6 2 6 2" xfId="12803"/>
    <cellStyle name="常规 3 2 6 2 6 2 2" xfId="31651"/>
    <cellStyle name="常规 3 2 6 2 6 3" xfId="22227"/>
    <cellStyle name="常规 3 2 6 2 7" xfId="6471"/>
    <cellStyle name="常规 3 2 6 2 7 2" xfId="15891"/>
    <cellStyle name="常规 3 2 6 2 7 2 2" xfId="34739"/>
    <cellStyle name="常规 3 2 6 2 7 3" xfId="25315"/>
    <cellStyle name="常规 3 2 6 2 8" xfId="9618"/>
    <cellStyle name="常规 3 2 6 2 8 2" xfId="28463"/>
    <cellStyle name="常规 3 2 6 2 9" xfId="19041"/>
    <cellStyle name="常规 3 2 6 3" xfId="592"/>
    <cellStyle name="常规 3 2 6 3 2" xfId="1376"/>
    <cellStyle name="常规 3 2 6 3 2 2" xfId="4512"/>
    <cellStyle name="常规 3 2 6 3 2 2 2" xfId="13932"/>
    <cellStyle name="常规 3 2 6 3 2 2 2 2" xfId="32780"/>
    <cellStyle name="常规 3 2 6 3 2 2 3" xfId="23356"/>
    <cellStyle name="常规 3 2 6 3 2 3" xfId="7648"/>
    <cellStyle name="常规 3 2 6 3 2 3 2" xfId="17068"/>
    <cellStyle name="常规 3 2 6 3 2 3 2 2" xfId="35916"/>
    <cellStyle name="常规 3 2 6 3 2 3 3" xfId="26492"/>
    <cellStyle name="常规 3 2 6 3 2 4" xfId="10796"/>
    <cellStyle name="常规 3 2 6 3 2 4 2" xfId="29644"/>
    <cellStyle name="常规 3 2 6 3 2 5" xfId="20220"/>
    <cellStyle name="常规 3 2 6 3 3" xfId="2160"/>
    <cellStyle name="常规 3 2 6 3 3 2" xfId="5296"/>
    <cellStyle name="常规 3 2 6 3 3 2 2" xfId="14716"/>
    <cellStyle name="常规 3 2 6 3 3 2 2 2" xfId="33564"/>
    <cellStyle name="常规 3 2 6 3 3 2 3" xfId="24140"/>
    <cellStyle name="常规 3 2 6 3 3 3" xfId="8432"/>
    <cellStyle name="常规 3 2 6 3 3 3 2" xfId="17852"/>
    <cellStyle name="常规 3 2 6 3 3 3 2 2" xfId="36700"/>
    <cellStyle name="常规 3 2 6 3 3 3 3" xfId="27276"/>
    <cellStyle name="常规 3 2 6 3 3 4" xfId="11580"/>
    <cellStyle name="常规 3 2 6 3 3 4 2" xfId="30428"/>
    <cellStyle name="常规 3 2 6 3 3 5" xfId="21004"/>
    <cellStyle name="常规 3 2 6 3 4" xfId="2944"/>
    <cellStyle name="常规 3 2 6 3 4 2" xfId="6080"/>
    <cellStyle name="常规 3 2 6 3 4 2 2" xfId="15500"/>
    <cellStyle name="常规 3 2 6 3 4 2 2 2" xfId="34348"/>
    <cellStyle name="常规 3 2 6 3 4 2 3" xfId="24924"/>
    <cellStyle name="常规 3 2 6 3 4 3" xfId="9216"/>
    <cellStyle name="常规 3 2 6 3 4 3 2" xfId="18636"/>
    <cellStyle name="常规 3 2 6 3 4 3 2 2" xfId="37484"/>
    <cellStyle name="常规 3 2 6 3 4 3 3" xfId="28060"/>
    <cellStyle name="常规 3 2 6 3 4 4" xfId="12364"/>
    <cellStyle name="常规 3 2 6 3 4 4 2" xfId="31212"/>
    <cellStyle name="常规 3 2 6 3 4 5" xfId="21788"/>
    <cellStyle name="常规 3 2 6 3 5" xfId="3728"/>
    <cellStyle name="常规 3 2 6 3 5 2" xfId="13148"/>
    <cellStyle name="常规 3 2 6 3 5 2 2" xfId="31996"/>
    <cellStyle name="常规 3 2 6 3 5 3" xfId="22572"/>
    <cellStyle name="常规 3 2 6 3 6" xfId="6864"/>
    <cellStyle name="常规 3 2 6 3 6 2" xfId="16284"/>
    <cellStyle name="常规 3 2 6 3 6 2 2" xfId="35132"/>
    <cellStyle name="常规 3 2 6 3 6 3" xfId="25708"/>
    <cellStyle name="常规 3 2 6 3 7" xfId="10012"/>
    <cellStyle name="常规 3 2 6 3 7 2" xfId="28860"/>
    <cellStyle name="常规 3 2 6 3 8" xfId="19436"/>
    <cellStyle name="常规 3 2 6 4" xfId="982"/>
    <cellStyle name="常规 3 2 6 4 2" xfId="4118"/>
    <cellStyle name="常规 3 2 6 4 2 2" xfId="13538"/>
    <cellStyle name="常规 3 2 6 4 2 2 2" xfId="32386"/>
    <cellStyle name="常规 3 2 6 4 2 3" xfId="22962"/>
    <cellStyle name="常规 3 2 6 4 3" xfId="7254"/>
    <cellStyle name="常规 3 2 6 4 3 2" xfId="16674"/>
    <cellStyle name="常规 3 2 6 4 3 2 2" xfId="35522"/>
    <cellStyle name="常规 3 2 6 4 3 3" xfId="26098"/>
    <cellStyle name="常规 3 2 6 4 4" xfId="10402"/>
    <cellStyle name="常规 3 2 6 4 4 2" xfId="29250"/>
    <cellStyle name="常规 3 2 6 4 5" xfId="19826"/>
    <cellStyle name="常规 3 2 6 5" xfId="1766"/>
    <cellStyle name="常规 3 2 6 5 2" xfId="4902"/>
    <cellStyle name="常规 3 2 6 5 2 2" xfId="14322"/>
    <cellStyle name="常规 3 2 6 5 2 2 2" xfId="33170"/>
    <cellStyle name="常规 3 2 6 5 2 3" xfId="23746"/>
    <cellStyle name="常规 3 2 6 5 3" xfId="8038"/>
    <cellStyle name="常规 3 2 6 5 3 2" xfId="17458"/>
    <cellStyle name="常规 3 2 6 5 3 2 2" xfId="36306"/>
    <cellStyle name="常规 3 2 6 5 3 3" xfId="26882"/>
    <cellStyle name="常规 3 2 6 5 4" xfId="11186"/>
    <cellStyle name="常规 3 2 6 5 4 2" xfId="30034"/>
    <cellStyle name="常规 3 2 6 5 5" xfId="20610"/>
    <cellStyle name="常规 3 2 6 6" xfId="2550"/>
    <cellStyle name="常规 3 2 6 6 2" xfId="5686"/>
    <cellStyle name="常规 3 2 6 6 2 2" xfId="15106"/>
    <cellStyle name="常规 3 2 6 6 2 2 2" xfId="33954"/>
    <cellStyle name="常规 3 2 6 6 2 3" xfId="24530"/>
    <cellStyle name="常规 3 2 6 6 3" xfId="8822"/>
    <cellStyle name="常规 3 2 6 6 3 2" xfId="18242"/>
    <cellStyle name="常规 3 2 6 6 3 2 2" xfId="37090"/>
    <cellStyle name="常规 3 2 6 6 3 3" xfId="27666"/>
    <cellStyle name="常规 3 2 6 6 4" xfId="11970"/>
    <cellStyle name="常规 3 2 6 6 4 2" xfId="30818"/>
    <cellStyle name="常规 3 2 6 6 5" xfId="21394"/>
    <cellStyle name="常规 3 2 6 7" xfId="3382"/>
    <cellStyle name="常规 3 2 6 7 2" xfId="12802"/>
    <cellStyle name="常规 3 2 6 7 2 2" xfId="31650"/>
    <cellStyle name="常规 3 2 6 7 3" xfId="22226"/>
    <cellStyle name="常规 3 2 6 8" xfId="6470"/>
    <cellStyle name="常规 3 2 6 8 2" xfId="15890"/>
    <cellStyle name="常规 3 2 6 8 2 2" xfId="34738"/>
    <cellStyle name="常规 3 2 6 8 3" xfId="25314"/>
    <cellStyle name="常规 3 2 6 9" xfId="9617"/>
    <cellStyle name="常规 3 2 6 9 2" xfId="28462"/>
    <cellStyle name="常规 3 2 7" xfId="196"/>
    <cellStyle name="常规 3 2 7 2" xfId="594"/>
    <cellStyle name="常规 3 2 7 2 2" xfId="1378"/>
    <cellStyle name="常规 3 2 7 2 2 2" xfId="4514"/>
    <cellStyle name="常规 3 2 7 2 2 2 2" xfId="13934"/>
    <cellStyle name="常规 3 2 7 2 2 2 2 2" xfId="32782"/>
    <cellStyle name="常规 3 2 7 2 2 2 3" xfId="23358"/>
    <cellStyle name="常规 3 2 7 2 2 3" xfId="7650"/>
    <cellStyle name="常规 3 2 7 2 2 3 2" xfId="17070"/>
    <cellStyle name="常规 3 2 7 2 2 3 2 2" xfId="35918"/>
    <cellStyle name="常规 3 2 7 2 2 3 3" xfId="26494"/>
    <cellStyle name="常规 3 2 7 2 2 4" xfId="10798"/>
    <cellStyle name="常规 3 2 7 2 2 4 2" xfId="29646"/>
    <cellStyle name="常规 3 2 7 2 2 5" xfId="20222"/>
    <cellStyle name="常规 3 2 7 2 3" xfId="2162"/>
    <cellStyle name="常规 3 2 7 2 3 2" xfId="5298"/>
    <cellStyle name="常规 3 2 7 2 3 2 2" xfId="14718"/>
    <cellStyle name="常规 3 2 7 2 3 2 2 2" xfId="33566"/>
    <cellStyle name="常规 3 2 7 2 3 2 3" xfId="24142"/>
    <cellStyle name="常规 3 2 7 2 3 3" xfId="8434"/>
    <cellStyle name="常规 3 2 7 2 3 3 2" xfId="17854"/>
    <cellStyle name="常规 3 2 7 2 3 3 2 2" xfId="36702"/>
    <cellStyle name="常规 3 2 7 2 3 3 3" xfId="27278"/>
    <cellStyle name="常规 3 2 7 2 3 4" xfId="11582"/>
    <cellStyle name="常规 3 2 7 2 3 4 2" xfId="30430"/>
    <cellStyle name="常规 3 2 7 2 3 5" xfId="21006"/>
    <cellStyle name="常规 3 2 7 2 4" xfId="2946"/>
    <cellStyle name="常规 3 2 7 2 4 2" xfId="6082"/>
    <cellStyle name="常规 3 2 7 2 4 2 2" xfId="15502"/>
    <cellStyle name="常规 3 2 7 2 4 2 2 2" xfId="34350"/>
    <cellStyle name="常规 3 2 7 2 4 2 3" xfId="24926"/>
    <cellStyle name="常规 3 2 7 2 4 3" xfId="9218"/>
    <cellStyle name="常规 3 2 7 2 4 3 2" xfId="18638"/>
    <cellStyle name="常规 3 2 7 2 4 3 2 2" xfId="37486"/>
    <cellStyle name="常规 3 2 7 2 4 3 3" xfId="28062"/>
    <cellStyle name="常规 3 2 7 2 4 4" xfId="12366"/>
    <cellStyle name="常规 3 2 7 2 4 4 2" xfId="31214"/>
    <cellStyle name="常规 3 2 7 2 4 5" xfId="21790"/>
    <cellStyle name="常规 3 2 7 2 5" xfId="3730"/>
    <cellStyle name="常规 3 2 7 2 5 2" xfId="13150"/>
    <cellStyle name="常规 3 2 7 2 5 2 2" xfId="31998"/>
    <cellStyle name="常规 3 2 7 2 5 3" xfId="22574"/>
    <cellStyle name="常规 3 2 7 2 6" xfId="6866"/>
    <cellStyle name="常规 3 2 7 2 6 2" xfId="16286"/>
    <cellStyle name="常规 3 2 7 2 6 2 2" xfId="35134"/>
    <cellStyle name="常规 3 2 7 2 6 3" xfId="25710"/>
    <cellStyle name="常规 3 2 7 2 7" xfId="10014"/>
    <cellStyle name="常规 3 2 7 2 7 2" xfId="28862"/>
    <cellStyle name="常规 3 2 7 2 8" xfId="19438"/>
    <cellStyle name="常规 3 2 7 3" xfId="984"/>
    <cellStyle name="常规 3 2 7 3 2" xfId="4120"/>
    <cellStyle name="常规 3 2 7 3 2 2" xfId="13540"/>
    <cellStyle name="常规 3 2 7 3 2 2 2" xfId="32388"/>
    <cellStyle name="常规 3 2 7 3 2 3" xfId="22964"/>
    <cellStyle name="常规 3 2 7 3 3" xfId="7256"/>
    <cellStyle name="常规 3 2 7 3 3 2" xfId="16676"/>
    <cellStyle name="常规 3 2 7 3 3 2 2" xfId="35524"/>
    <cellStyle name="常规 3 2 7 3 3 3" xfId="26100"/>
    <cellStyle name="常规 3 2 7 3 4" xfId="10404"/>
    <cellStyle name="常规 3 2 7 3 4 2" xfId="29252"/>
    <cellStyle name="常规 3 2 7 3 5" xfId="19828"/>
    <cellStyle name="常规 3 2 7 4" xfId="1768"/>
    <cellStyle name="常规 3 2 7 4 2" xfId="4904"/>
    <cellStyle name="常规 3 2 7 4 2 2" xfId="14324"/>
    <cellStyle name="常规 3 2 7 4 2 2 2" xfId="33172"/>
    <cellStyle name="常规 3 2 7 4 2 3" xfId="23748"/>
    <cellStyle name="常规 3 2 7 4 3" xfId="8040"/>
    <cellStyle name="常规 3 2 7 4 3 2" xfId="17460"/>
    <cellStyle name="常规 3 2 7 4 3 2 2" xfId="36308"/>
    <cellStyle name="常规 3 2 7 4 3 3" xfId="26884"/>
    <cellStyle name="常规 3 2 7 4 4" xfId="11188"/>
    <cellStyle name="常规 3 2 7 4 4 2" xfId="30036"/>
    <cellStyle name="常规 3 2 7 4 5" xfId="20612"/>
    <cellStyle name="常规 3 2 7 5" xfId="2552"/>
    <cellStyle name="常规 3 2 7 5 2" xfId="5688"/>
    <cellStyle name="常规 3 2 7 5 2 2" xfId="15108"/>
    <cellStyle name="常规 3 2 7 5 2 2 2" xfId="33956"/>
    <cellStyle name="常规 3 2 7 5 2 3" xfId="24532"/>
    <cellStyle name="常规 3 2 7 5 3" xfId="8824"/>
    <cellStyle name="常规 3 2 7 5 3 2" xfId="18244"/>
    <cellStyle name="常规 3 2 7 5 3 2 2" xfId="37092"/>
    <cellStyle name="常规 3 2 7 5 3 3" xfId="27668"/>
    <cellStyle name="常规 3 2 7 5 4" xfId="11972"/>
    <cellStyle name="常规 3 2 7 5 4 2" xfId="30820"/>
    <cellStyle name="常规 3 2 7 5 5" xfId="21396"/>
    <cellStyle name="常规 3 2 7 6" xfId="3384"/>
    <cellStyle name="常规 3 2 7 6 2" xfId="12804"/>
    <cellStyle name="常规 3 2 7 6 2 2" xfId="31652"/>
    <cellStyle name="常规 3 2 7 6 3" xfId="22228"/>
    <cellStyle name="常规 3 2 7 7" xfId="6472"/>
    <cellStyle name="常规 3 2 7 7 2" xfId="15892"/>
    <cellStyle name="常规 3 2 7 7 2 2" xfId="34740"/>
    <cellStyle name="常规 3 2 7 7 3" xfId="25316"/>
    <cellStyle name="常规 3 2 7 8" xfId="9619"/>
    <cellStyle name="常规 3 2 7 8 2" xfId="28464"/>
    <cellStyle name="常规 3 2 7 9" xfId="19042"/>
    <cellStyle name="常规 3 2 8" xfId="531"/>
    <cellStyle name="常规 3 2 8 2" xfId="1315"/>
    <cellStyle name="常规 3 2 8 2 2" xfId="4451"/>
    <cellStyle name="常规 3 2 8 2 2 2" xfId="13871"/>
    <cellStyle name="常规 3 2 8 2 2 2 2" xfId="32719"/>
    <cellStyle name="常规 3 2 8 2 2 3" xfId="23295"/>
    <cellStyle name="常规 3 2 8 2 3" xfId="7587"/>
    <cellStyle name="常规 3 2 8 2 3 2" xfId="17007"/>
    <cellStyle name="常规 3 2 8 2 3 2 2" xfId="35855"/>
    <cellStyle name="常规 3 2 8 2 3 3" xfId="26431"/>
    <cellStyle name="常规 3 2 8 2 4" xfId="10735"/>
    <cellStyle name="常规 3 2 8 2 4 2" xfId="29583"/>
    <cellStyle name="常规 3 2 8 2 5" xfId="20159"/>
    <cellStyle name="常规 3 2 8 3" xfId="2099"/>
    <cellStyle name="常规 3 2 8 3 2" xfId="5235"/>
    <cellStyle name="常规 3 2 8 3 2 2" xfId="14655"/>
    <cellStyle name="常规 3 2 8 3 2 2 2" xfId="33503"/>
    <cellStyle name="常规 3 2 8 3 2 3" xfId="24079"/>
    <cellStyle name="常规 3 2 8 3 3" xfId="8371"/>
    <cellStyle name="常规 3 2 8 3 3 2" xfId="17791"/>
    <cellStyle name="常规 3 2 8 3 3 2 2" xfId="36639"/>
    <cellStyle name="常规 3 2 8 3 3 3" xfId="27215"/>
    <cellStyle name="常规 3 2 8 3 4" xfId="11519"/>
    <cellStyle name="常规 3 2 8 3 4 2" xfId="30367"/>
    <cellStyle name="常规 3 2 8 3 5" xfId="20943"/>
    <cellStyle name="常规 3 2 8 4" xfId="2883"/>
    <cellStyle name="常规 3 2 8 4 2" xfId="6019"/>
    <cellStyle name="常规 3 2 8 4 2 2" xfId="15439"/>
    <cellStyle name="常规 3 2 8 4 2 2 2" xfId="34287"/>
    <cellStyle name="常规 3 2 8 4 2 3" xfId="24863"/>
    <cellStyle name="常规 3 2 8 4 3" xfId="9155"/>
    <cellStyle name="常规 3 2 8 4 3 2" xfId="18575"/>
    <cellStyle name="常规 3 2 8 4 3 2 2" xfId="37423"/>
    <cellStyle name="常规 3 2 8 4 3 3" xfId="27999"/>
    <cellStyle name="常规 3 2 8 4 4" xfId="12303"/>
    <cellStyle name="常规 3 2 8 4 4 2" xfId="31151"/>
    <cellStyle name="常规 3 2 8 4 5" xfId="21727"/>
    <cellStyle name="常规 3 2 8 5" xfId="3667"/>
    <cellStyle name="常规 3 2 8 5 2" xfId="13087"/>
    <cellStyle name="常规 3 2 8 5 2 2" xfId="31935"/>
    <cellStyle name="常规 3 2 8 5 3" xfId="22511"/>
    <cellStyle name="常规 3 2 8 6" xfId="6803"/>
    <cellStyle name="常规 3 2 8 6 2" xfId="16223"/>
    <cellStyle name="常规 3 2 8 6 2 2" xfId="35071"/>
    <cellStyle name="常规 3 2 8 6 3" xfId="25647"/>
    <cellStyle name="常规 3 2 8 7" xfId="9951"/>
    <cellStyle name="常规 3 2 8 7 2" xfId="28799"/>
    <cellStyle name="常规 3 2 8 8" xfId="19375"/>
    <cellStyle name="常规 3 2 9" xfId="921"/>
    <cellStyle name="常规 3 2 9 2" xfId="4057"/>
    <cellStyle name="常规 3 2 9 2 2" xfId="13477"/>
    <cellStyle name="常规 3 2 9 2 2 2" xfId="32325"/>
    <cellStyle name="常规 3 2 9 2 3" xfId="22901"/>
    <cellStyle name="常规 3 2 9 3" xfId="7193"/>
    <cellStyle name="常规 3 2 9 3 2" xfId="16613"/>
    <cellStyle name="常规 3 2 9 3 2 2" xfId="35461"/>
    <cellStyle name="常规 3 2 9 3 3" xfId="26037"/>
    <cellStyle name="常规 3 2 9 4" xfId="10341"/>
    <cellStyle name="常规 3 2 9 4 2" xfId="29189"/>
    <cellStyle name="常规 3 2 9 5" xfId="19765"/>
    <cellStyle name="常规 3 3" xfId="197"/>
    <cellStyle name="常规 3 3 10" xfId="2553"/>
    <cellStyle name="常规 3 3 10 2" xfId="5689"/>
    <cellStyle name="常规 3 3 10 2 2" xfId="15109"/>
    <cellStyle name="常规 3 3 10 2 2 2" xfId="33957"/>
    <cellStyle name="常规 3 3 10 2 3" xfId="24533"/>
    <cellStyle name="常规 3 3 10 3" xfId="8825"/>
    <cellStyle name="常规 3 3 10 3 2" xfId="18245"/>
    <cellStyle name="常规 3 3 10 3 2 2" xfId="37093"/>
    <cellStyle name="常规 3 3 10 3 3" xfId="27669"/>
    <cellStyle name="常规 3 3 10 4" xfId="11973"/>
    <cellStyle name="常规 3 3 10 4 2" xfId="30821"/>
    <cellStyle name="常规 3 3 10 5" xfId="21397"/>
    <cellStyle name="常规 3 3 11" xfId="3169"/>
    <cellStyle name="常规 3 3 11 2" xfId="12589"/>
    <cellStyle name="常规 3 3 11 2 2" xfId="31437"/>
    <cellStyle name="常规 3 3 11 3" xfId="22013"/>
    <cellStyle name="常规 3 3 12" xfId="6473"/>
    <cellStyle name="常规 3 3 12 2" xfId="15893"/>
    <cellStyle name="常规 3 3 12 2 2" xfId="34741"/>
    <cellStyle name="常规 3 3 12 3" xfId="25317"/>
    <cellStyle name="常规 3 3 13" xfId="9620"/>
    <cellStyle name="常规 3 3 13 2" xfId="28465"/>
    <cellStyle name="常规 3 3 14" xfId="19043"/>
    <cellStyle name="常规 3 3 2" xfId="198"/>
    <cellStyle name="常规 3 3 2 10" xfId="3170"/>
    <cellStyle name="常规 3 3 2 10 2" xfId="12590"/>
    <cellStyle name="常规 3 3 2 10 2 2" xfId="31438"/>
    <cellStyle name="常规 3 3 2 10 3" xfId="22014"/>
    <cellStyle name="常规 3 3 2 11" xfId="6474"/>
    <cellStyle name="常规 3 3 2 11 2" xfId="15894"/>
    <cellStyle name="常规 3 3 2 11 2 2" xfId="34742"/>
    <cellStyle name="常规 3 3 2 11 3" xfId="25318"/>
    <cellStyle name="常规 3 3 2 12" xfId="9621"/>
    <cellStyle name="常规 3 3 2 12 2" xfId="28466"/>
    <cellStyle name="常规 3 3 2 13" xfId="19044"/>
    <cellStyle name="常规 3 3 2 2" xfId="199"/>
    <cellStyle name="常规 3 3 2 2 10" xfId="6475"/>
    <cellStyle name="常规 3 3 2 2 10 2" xfId="15895"/>
    <cellStyle name="常规 3 3 2 2 10 2 2" xfId="34743"/>
    <cellStyle name="常规 3 3 2 2 10 3" xfId="25319"/>
    <cellStyle name="常规 3 3 2 2 11" xfId="9622"/>
    <cellStyle name="常规 3 3 2 2 11 2" xfId="28467"/>
    <cellStyle name="常规 3 3 2 2 12" xfId="19045"/>
    <cellStyle name="常规 3 3 2 2 2" xfId="200"/>
    <cellStyle name="常规 3 3 2 2 2 10" xfId="9623"/>
    <cellStyle name="常规 3 3 2 2 2 10 2" xfId="28468"/>
    <cellStyle name="常规 3 3 2 2 2 11" xfId="19046"/>
    <cellStyle name="常规 3 3 2 2 2 2" xfId="201"/>
    <cellStyle name="常规 3 3 2 2 2 2 10" xfId="19047"/>
    <cellStyle name="常规 3 3 2 2 2 2 2" xfId="202"/>
    <cellStyle name="常规 3 3 2 2 2 2 2 2" xfId="600"/>
    <cellStyle name="常规 3 3 2 2 2 2 2 2 2" xfId="1384"/>
    <cellStyle name="常规 3 3 2 2 2 2 2 2 2 2" xfId="4520"/>
    <cellStyle name="常规 3 3 2 2 2 2 2 2 2 2 2" xfId="13940"/>
    <cellStyle name="常规 3 3 2 2 2 2 2 2 2 2 2 2" xfId="32788"/>
    <cellStyle name="常规 3 3 2 2 2 2 2 2 2 2 3" xfId="23364"/>
    <cellStyle name="常规 3 3 2 2 2 2 2 2 2 3" xfId="7656"/>
    <cellStyle name="常规 3 3 2 2 2 2 2 2 2 3 2" xfId="17076"/>
    <cellStyle name="常规 3 3 2 2 2 2 2 2 2 3 2 2" xfId="35924"/>
    <cellStyle name="常规 3 3 2 2 2 2 2 2 2 3 3" xfId="26500"/>
    <cellStyle name="常规 3 3 2 2 2 2 2 2 2 4" xfId="10804"/>
    <cellStyle name="常规 3 3 2 2 2 2 2 2 2 4 2" xfId="29652"/>
    <cellStyle name="常规 3 3 2 2 2 2 2 2 2 5" xfId="20228"/>
    <cellStyle name="常规 3 3 2 2 2 2 2 2 3" xfId="2168"/>
    <cellStyle name="常规 3 3 2 2 2 2 2 2 3 2" xfId="5304"/>
    <cellStyle name="常规 3 3 2 2 2 2 2 2 3 2 2" xfId="14724"/>
    <cellStyle name="常规 3 3 2 2 2 2 2 2 3 2 2 2" xfId="33572"/>
    <cellStyle name="常规 3 3 2 2 2 2 2 2 3 2 3" xfId="24148"/>
    <cellStyle name="常规 3 3 2 2 2 2 2 2 3 3" xfId="8440"/>
    <cellStyle name="常规 3 3 2 2 2 2 2 2 3 3 2" xfId="17860"/>
    <cellStyle name="常规 3 3 2 2 2 2 2 2 3 3 2 2" xfId="36708"/>
    <cellStyle name="常规 3 3 2 2 2 2 2 2 3 3 3" xfId="27284"/>
    <cellStyle name="常规 3 3 2 2 2 2 2 2 3 4" xfId="11588"/>
    <cellStyle name="常规 3 3 2 2 2 2 2 2 3 4 2" xfId="30436"/>
    <cellStyle name="常规 3 3 2 2 2 2 2 2 3 5" xfId="21012"/>
    <cellStyle name="常规 3 3 2 2 2 2 2 2 4" xfId="2952"/>
    <cellStyle name="常规 3 3 2 2 2 2 2 2 4 2" xfId="6088"/>
    <cellStyle name="常规 3 3 2 2 2 2 2 2 4 2 2" xfId="15508"/>
    <cellStyle name="常规 3 3 2 2 2 2 2 2 4 2 2 2" xfId="34356"/>
    <cellStyle name="常规 3 3 2 2 2 2 2 2 4 2 3" xfId="24932"/>
    <cellStyle name="常规 3 3 2 2 2 2 2 2 4 3" xfId="9224"/>
    <cellStyle name="常规 3 3 2 2 2 2 2 2 4 3 2" xfId="18644"/>
    <cellStyle name="常规 3 3 2 2 2 2 2 2 4 3 2 2" xfId="37492"/>
    <cellStyle name="常规 3 3 2 2 2 2 2 2 4 3 3" xfId="28068"/>
    <cellStyle name="常规 3 3 2 2 2 2 2 2 4 4" xfId="12372"/>
    <cellStyle name="常规 3 3 2 2 2 2 2 2 4 4 2" xfId="31220"/>
    <cellStyle name="常规 3 3 2 2 2 2 2 2 4 5" xfId="21796"/>
    <cellStyle name="常规 3 3 2 2 2 2 2 2 5" xfId="3736"/>
    <cellStyle name="常规 3 3 2 2 2 2 2 2 5 2" xfId="13156"/>
    <cellStyle name="常规 3 3 2 2 2 2 2 2 5 2 2" xfId="32004"/>
    <cellStyle name="常规 3 3 2 2 2 2 2 2 5 3" xfId="22580"/>
    <cellStyle name="常规 3 3 2 2 2 2 2 2 6" xfId="6872"/>
    <cellStyle name="常规 3 3 2 2 2 2 2 2 6 2" xfId="16292"/>
    <cellStyle name="常规 3 3 2 2 2 2 2 2 6 2 2" xfId="35140"/>
    <cellStyle name="常规 3 3 2 2 2 2 2 2 6 3" xfId="25716"/>
    <cellStyle name="常规 3 3 2 2 2 2 2 2 7" xfId="10020"/>
    <cellStyle name="常规 3 3 2 2 2 2 2 2 7 2" xfId="28868"/>
    <cellStyle name="常规 3 3 2 2 2 2 2 2 8" xfId="19444"/>
    <cellStyle name="常规 3 3 2 2 2 2 2 3" xfId="990"/>
    <cellStyle name="常规 3 3 2 2 2 2 2 3 2" xfId="4126"/>
    <cellStyle name="常规 3 3 2 2 2 2 2 3 2 2" xfId="13546"/>
    <cellStyle name="常规 3 3 2 2 2 2 2 3 2 2 2" xfId="32394"/>
    <cellStyle name="常规 3 3 2 2 2 2 2 3 2 3" xfId="22970"/>
    <cellStyle name="常规 3 3 2 2 2 2 2 3 3" xfId="7262"/>
    <cellStyle name="常规 3 3 2 2 2 2 2 3 3 2" xfId="16682"/>
    <cellStyle name="常规 3 3 2 2 2 2 2 3 3 2 2" xfId="35530"/>
    <cellStyle name="常规 3 3 2 2 2 2 2 3 3 3" xfId="26106"/>
    <cellStyle name="常规 3 3 2 2 2 2 2 3 4" xfId="10410"/>
    <cellStyle name="常规 3 3 2 2 2 2 2 3 4 2" xfId="29258"/>
    <cellStyle name="常规 3 3 2 2 2 2 2 3 5" xfId="19834"/>
    <cellStyle name="常规 3 3 2 2 2 2 2 4" xfId="1774"/>
    <cellStyle name="常规 3 3 2 2 2 2 2 4 2" xfId="4910"/>
    <cellStyle name="常规 3 3 2 2 2 2 2 4 2 2" xfId="14330"/>
    <cellStyle name="常规 3 3 2 2 2 2 2 4 2 2 2" xfId="33178"/>
    <cellStyle name="常规 3 3 2 2 2 2 2 4 2 3" xfId="23754"/>
    <cellStyle name="常规 3 3 2 2 2 2 2 4 3" xfId="8046"/>
    <cellStyle name="常规 3 3 2 2 2 2 2 4 3 2" xfId="17466"/>
    <cellStyle name="常规 3 3 2 2 2 2 2 4 3 2 2" xfId="36314"/>
    <cellStyle name="常规 3 3 2 2 2 2 2 4 3 3" xfId="26890"/>
    <cellStyle name="常规 3 3 2 2 2 2 2 4 4" xfId="11194"/>
    <cellStyle name="常规 3 3 2 2 2 2 2 4 4 2" xfId="30042"/>
    <cellStyle name="常规 3 3 2 2 2 2 2 4 5" xfId="20618"/>
    <cellStyle name="常规 3 3 2 2 2 2 2 5" xfId="2558"/>
    <cellStyle name="常规 3 3 2 2 2 2 2 5 2" xfId="5694"/>
    <cellStyle name="常规 3 3 2 2 2 2 2 5 2 2" xfId="15114"/>
    <cellStyle name="常规 3 3 2 2 2 2 2 5 2 2 2" xfId="33962"/>
    <cellStyle name="常规 3 3 2 2 2 2 2 5 2 3" xfId="24538"/>
    <cellStyle name="常规 3 3 2 2 2 2 2 5 3" xfId="8830"/>
    <cellStyle name="常规 3 3 2 2 2 2 2 5 3 2" xfId="18250"/>
    <cellStyle name="常规 3 3 2 2 2 2 2 5 3 2 2" xfId="37098"/>
    <cellStyle name="常规 3 3 2 2 2 2 2 5 3 3" xfId="27674"/>
    <cellStyle name="常规 3 3 2 2 2 2 2 5 4" xfId="11978"/>
    <cellStyle name="常规 3 3 2 2 2 2 2 5 4 2" xfId="30826"/>
    <cellStyle name="常规 3 3 2 2 2 2 2 5 5" xfId="21402"/>
    <cellStyle name="常规 3 3 2 2 2 2 2 6" xfId="3386"/>
    <cellStyle name="常规 3 3 2 2 2 2 2 6 2" xfId="12806"/>
    <cellStyle name="常规 3 3 2 2 2 2 2 6 2 2" xfId="31654"/>
    <cellStyle name="常规 3 3 2 2 2 2 2 6 3" xfId="22230"/>
    <cellStyle name="常规 3 3 2 2 2 2 2 7" xfId="6478"/>
    <cellStyle name="常规 3 3 2 2 2 2 2 7 2" xfId="15898"/>
    <cellStyle name="常规 3 3 2 2 2 2 2 7 2 2" xfId="34746"/>
    <cellStyle name="常规 3 3 2 2 2 2 2 7 3" xfId="25322"/>
    <cellStyle name="常规 3 3 2 2 2 2 2 8" xfId="9625"/>
    <cellStyle name="常规 3 3 2 2 2 2 2 8 2" xfId="28470"/>
    <cellStyle name="常规 3 3 2 2 2 2 2 9" xfId="19048"/>
    <cellStyle name="常规 3 3 2 2 2 2 3" xfId="599"/>
    <cellStyle name="常规 3 3 2 2 2 2 3 2" xfId="1383"/>
    <cellStyle name="常规 3 3 2 2 2 2 3 2 2" xfId="4519"/>
    <cellStyle name="常规 3 3 2 2 2 2 3 2 2 2" xfId="13939"/>
    <cellStyle name="常规 3 3 2 2 2 2 3 2 2 2 2" xfId="32787"/>
    <cellStyle name="常规 3 3 2 2 2 2 3 2 2 3" xfId="23363"/>
    <cellStyle name="常规 3 3 2 2 2 2 3 2 3" xfId="7655"/>
    <cellStyle name="常规 3 3 2 2 2 2 3 2 3 2" xfId="17075"/>
    <cellStyle name="常规 3 3 2 2 2 2 3 2 3 2 2" xfId="35923"/>
    <cellStyle name="常规 3 3 2 2 2 2 3 2 3 3" xfId="26499"/>
    <cellStyle name="常规 3 3 2 2 2 2 3 2 4" xfId="10803"/>
    <cellStyle name="常规 3 3 2 2 2 2 3 2 4 2" xfId="29651"/>
    <cellStyle name="常规 3 3 2 2 2 2 3 2 5" xfId="20227"/>
    <cellStyle name="常规 3 3 2 2 2 2 3 3" xfId="2167"/>
    <cellStyle name="常规 3 3 2 2 2 2 3 3 2" xfId="5303"/>
    <cellStyle name="常规 3 3 2 2 2 2 3 3 2 2" xfId="14723"/>
    <cellStyle name="常规 3 3 2 2 2 2 3 3 2 2 2" xfId="33571"/>
    <cellStyle name="常规 3 3 2 2 2 2 3 3 2 3" xfId="24147"/>
    <cellStyle name="常规 3 3 2 2 2 2 3 3 3" xfId="8439"/>
    <cellStyle name="常规 3 3 2 2 2 2 3 3 3 2" xfId="17859"/>
    <cellStyle name="常规 3 3 2 2 2 2 3 3 3 2 2" xfId="36707"/>
    <cellStyle name="常规 3 3 2 2 2 2 3 3 3 3" xfId="27283"/>
    <cellStyle name="常规 3 3 2 2 2 2 3 3 4" xfId="11587"/>
    <cellStyle name="常规 3 3 2 2 2 2 3 3 4 2" xfId="30435"/>
    <cellStyle name="常规 3 3 2 2 2 2 3 3 5" xfId="21011"/>
    <cellStyle name="常规 3 3 2 2 2 2 3 4" xfId="2951"/>
    <cellStyle name="常规 3 3 2 2 2 2 3 4 2" xfId="6087"/>
    <cellStyle name="常规 3 3 2 2 2 2 3 4 2 2" xfId="15507"/>
    <cellStyle name="常规 3 3 2 2 2 2 3 4 2 2 2" xfId="34355"/>
    <cellStyle name="常规 3 3 2 2 2 2 3 4 2 3" xfId="24931"/>
    <cellStyle name="常规 3 3 2 2 2 2 3 4 3" xfId="9223"/>
    <cellStyle name="常规 3 3 2 2 2 2 3 4 3 2" xfId="18643"/>
    <cellStyle name="常规 3 3 2 2 2 2 3 4 3 2 2" xfId="37491"/>
    <cellStyle name="常规 3 3 2 2 2 2 3 4 3 3" xfId="28067"/>
    <cellStyle name="常规 3 3 2 2 2 2 3 4 4" xfId="12371"/>
    <cellStyle name="常规 3 3 2 2 2 2 3 4 4 2" xfId="31219"/>
    <cellStyle name="常规 3 3 2 2 2 2 3 4 5" xfId="21795"/>
    <cellStyle name="常规 3 3 2 2 2 2 3 5" xfId="3735"/>
    <cellStyle name="常规 3 3 2 2 2 2 3 5 2" xfId="13155"/>
    <cellStyle name="常规 3 3 2 2 2 2 3 5 2 2" xfId="32003"/>
    <cellStyle name="常规 3 3 2 2 2 2 3 5 3" xfId="22579"/>
    <cellStyle name="常规 3 3 2 2 2 2 3 6" xfId="6871"/>
    <cellStyle name="常规 3 3 2 2 2 2 3 6 2" xfId="16291"/>
    <cellStyle name="常规 3 3 2 2 2 2 3 6 2 2" xfId="35139"/>
    <cellStyle name="常规 3 3 2 2 2 2 3 6 3" xfId="25715"/>
    <cellStyle name="常规 3 3 2 2 2 2 3 7" xfId="10019"/>
    <cellStyle name="常规 3 3 2 2 2 2 3 7 2" xfId="28867"/>
    <cellStyle name="常规 3 3 2 2 2 2 3 8" xfId="19443"/>
    <cellStyle name="常规 3 3 2 2 2 2 4" xfId="989"/>
    <cellStyle name="常规 3 3 2 2 2 2 4 2" xfId="4125"/>
    <cellStyle name="常规 3 3 2 2 2 2 4 2 2" xfId="13545"/>
    <cellStyle name="常规 3 3 2 2 2 2 4 2 2 2" xfId="32393"/>
    <cellStyle name="常规 3 3 2 2 2 2 4 2 3" xfId="22969"/>
    <cellStyle name="常规 3 3 2 2 2 2 4 3" xfId="7261"/>
    <cellStyle name="常规 3 3 2 2 2 2 4 3 2" xfId="16681"/>
    <cellStyle name="常规 3 3 2 2 2 2 4 3 2 2" xfId="35529"/>
    <cellStyle name="常规 3 3 2 2 2 2 4 3 3" xfId="26105"/>
    <cellStyle name="常规 3 3 2 2 2 2 4 4" xfId="10409"/>
    <cellStyle name="常规 3 3 2 2 2 2 4 4 2" xfId="29257"/>
    <cellStyle name="常规 3 3 2 2 2 2 4 5" xfId="19833"/>
    <cellStyle name="常规 3 3 2 2 2 2 5" xfId="1773"/>
    <cellStyle name="常规 3 3 2 2 2 2 5 2" xfId="4909"/>
    <cellStyle name="常规 3 3 2 2 2 2 5 2 2" xfId="14329"/>
    <cellStyle name="常规 3 3 2 2 2 2 5 2 2 2" xfId="33177"/>
    <cellStyle name="常规 3 3 2 2 2 2 5 2 3" xfId="23753"/>
    <cellStyle name="常规 3 3 2 2 2 2 5 3" xfId="8045"/>
    <cellStyle name="常规 3 3 2 2 2 2 5 3 2" xfId="17465"/>
    <cellStyle name="常规 3 3 2 2 2 2 5 3 2 2" xfId="36313"/>
    <cellStyle name="常规 3 3 2 2 2 2 5 3 3" xfId="26889"/>
    <cellStyle name="常规 3 3 2 2 2 2 5 4" xfId="11193"/>
    <cellStyle name="常规 3 3 2 2 2 2 5 4 2" xfId="30041"/>
    <cellStyle name="常规 3 3 2 2 2 2 5 5" xfId="20617"/>
    <cellStyle name="常规 3 3 2 2 2 2 6" xfId="2557"/>
    <cellStyle name="常规 3 3 2 2 2 2 6 2" xfId="5693"/>
    <cellStyle name="常规 3 3 2 2 2 2 6 2 2" xfId="15113"/>
    <cellStyle name="常规 3 3 2 2 2 2 6 2 2 2" xfId="33961"/>
    <cellStyle name="常规 3 3 2 2 2 2 6 2 3" xfId="24537"/>
    <cellStyle name="常规 3 3 2 2 2 2 6 3" xfId="8829"/>
    <cellStyle name="常规 3 3 2 2 2 2 6 3 2" xfId="18249"/>
    <cellStyle name="常规 3 3 2 2 2 2 6 3 2 2" xfId="37097"/>
    <cellStyle name="常规 3 3 2 2 2 2 6 3 3" xfId="27673"/>
    <cellStyle name="常规 3 3 2 2 2 2 6 4" xfId="11977"/>
    <cellStyle name="常规 3 3 2 2 2 2 6 4 2" xfId="30825"/>
    <cellStyle name="常规 3 3 2 2 2 2 6 5" xfId="21401"/>
    <cellStyle name="常规 3 3 2 2 2 2 7" xfId="3385"/>
    <cellStyle name="常规 3 3 2 2 2 2 7 2" xfId="12805"/>
    <cellStyle name="常规 3 3 2 2 2 2 7 2 2" xfId="31653"/>
    <cellStyle name="常规 3 3 2 2 2 2 7 3" xfId="22229"/>
    <cellStyle name="常规 3 3 2 2 2 2 8" xfId="6477"/>
    <cellStyle name="常规 3 3 2 2 2 2 8 2" xfId="15897"/>
    <cellStyle name="常规 3 3 2 2 2 2 8 2 2" xfId="34745"/>
    <cellStyle name="常规 3 3 2 2 2 2 8 3" xfId="25321"/>
    <cellStyle name="常规 3 3 2 2 2 2 9" xfId="9624"/>
    <cellStyle name="常规 3 3 2 2 2 2 9 2" xfId="28469"/>
    <cellStyle name="常规 3 3 2 2 2 3" xfId="203"/>
    <cellStyle name="常规 3 3 2 2 2 3 2" xfId="601"/>
    <cellStyle name="常规 3 3 2 2 2 3 2 2" xfId="1385"/>
    <cellStyle name="常规 3 3 2 2 2 3 2 2 2" xfId="4521"/>
    <cellStyle name="常规 3 3 2 2 2 3 2 2 2 2" xfId="13941"/>
    <cellStyle name="常规 3 3 2 2 2 3 2 2 2 2 2" xfId="32789"/>
    <cellStyle name="常规 3 3 2 2 2 3 2 2 2 3" xfId="23365"/>
    <cellStyle name="常规 3 3 2 2 2 3 2 2 3" xfId="7657"/>
    <cellStyle name="常规 3 3 2 2 2 3 2 2 3 2" xfId="17077"/>
    <cellStyle name="常规 3 3 2 2 2 3 2 2 3 2 2" xfId="35925"/>
    <cellStyle name="常规 3 3 2 2 2 3 2 2 3 3" xfId="26501"/>
    <cellStyle name="常规 3 3 2 2 2 3 2 2 4" xfId="10805"/>
    <cellStyle name="常规 3 3 2 2 2 3 2 2 4 2" xfId="29653"/>
    <cellStyle name="常规 3 3 2 2 2 3 2 2 5" xfId="20229"/>
    <cellStyle name="常规 3 3 2 2 2 3 2 3" xfId="2169"/>
    <cellStyle name="常规 3 3 2 2 2 3 2 3 2" xfId="5305"/>
    <cellStyle name="常规 3 3 2 2 2 3 2 3 2 2" xfId="14725"/>
    <cellStyle name="常规 3 3 2 2 2 3 2 3 2 2 2" xfId="33573"/>
    <cellStyle name="常规 3 3 2 2 2 3 2 3 2 3" xfId="24149"/>
    <cellStyle name="常规 3 3 2 2 2 3 2 3 3" xfId="8441"/>
    <cellStyle name="常规 3 3 2 2 2 3 2 3 3 2" xfId="17861"/>
    <cellStyle name="常规 3 3 2 2 2 3 2 3 3 2 2" xfId="36709"/>
    <cellStyle name="常规 3 3 2 2 2 3 2 3 3 3" xfId="27285"/>
    <cellStyle name="常规 3 3 2 2 2 3 2 3 4" xfId="11589"/>
    <cellStyle name="常规 3 3 2 2 2 3 2 3 4 2" xfId="30437"/>
    <cellStyle name="常规 3 3 2 2 2 3 2 3 5" xfId="21013"/>
    <cellStyle name="常规 3 3 2 2 2 3 2 4" xfId="2953"/>
    <cellStyle name="常规 3 3 2 2 2 3 2 4 2" xfId="6089"/>
    <cellStyle name="常规 3 3 2 2 2 3 2 4 2 2" xfId="15509"/>
    <cellStyle name="常规 3 3 2 2 2 3 2 4 2 2 2" xfId="34357"/>
    <cellStyle name="常规 3 3 2 2 2 3 2 4 2 3" xfId="24933"/>
    <cellStyle name="常规 3 3 2 2 2 3 2 4 3" xfId="9225"/>
    <cellStyle name="常规 3 3 2 2 2 3 2 4 3 2" xfId="18645"/>
    <cellStyle name="常规 3 3 2 2 2 3 2 4 3 2 2" xfId="37493"/>
    <cellStyle name="常规 3 3 2 2 2 3 2 4 3 3" xfId="28069"/>
    <cellStyle name="常规 3 3 2 2 2 3 2 4 4" xfId="12373"/>
    <cellStyle name="常规 3 3 2 2 2 3 2 4 4 2" xfId="31221"/>
    <cellStyle name="常规 3 3 2 2 2 3 2 4 5" xfId="21797"/>
    <cellStyle name="常规 3 3 2 2 2 3 2 5" xfId="3737"/>
    <cellStyle name="常规 3 3 2 2 2 3 2 5 2" xfId="13157"/>
    <cellStyle name="常规 3 3 2 2 2 3 2 5 2 2" xfId="32005"/>
    <cellStyle name="常规 3 3 2 2 2 3 2 5 3" xfId="22581"/>
    <cellStyle name="常规 3 3 2 2 2 3 2 6" xfId="6873"/>
    <cellStyle name="常规 3 3 2 2 2 3 2 6 2" xfId="16293"/>
    <cellStyle name="常规 3 3 2 2 2 3 2 6 2 2" xfId="35141"/>
    <cellStyle name="常规 3 3 2 2 2 3 2 6 3" xfId="25717"/>
    <cellStyle name="常规 3 3 2 2 2 3 2 7" xfId="10021"/>
    <cellStyle name="常规 3 3 2 2 2 3 2 7 2" xfId="28869"/>
    <cellStyle name="常规 3 3 2 2 2 3 2 8" xfId="19445"/>
    <cellStyle name="常规 3 3 2 2 2 3 3" xfId="991"/>
    <cellStyle name="常规 3 3 2 2 2 3 3 2" xfId="4127"/>
    <cellStyle name="常规 3 3 2 2 2 3 3 2 2" xfId="13547"/>
    <cellStyle name="常规 3 3 2 2 2 3 3 2 2 2" xfId="32395"/>
    <cellStyle name="常规 3 3 2 2 2 3 3 2 3" xfId="22971"/>
    <cellStyle name="常规 3 3 2 2 2 3 3 3" xfId="7263"/>
    <cellStyle name="常规 3 3 2 2 2 3 3 3 2" xfId="16683"/>
    <cellStyle name="常规 3 3 2 2 2 3 3 3 2 2" xfId="35531"/>
    <cellStyle name="常规 3 3 2 2 2 3 3 3 3" xfId="26107"/>
    <cellStyle name="常规 3 3 2 2 2 3 3 4" xfId="10411"/>
    <cellStyle name="常规 3 3 2 2 2 3 3 4 2" xfId="29259"/>
    <cellStyle name="常规 3 3 2 2 2 3 3 5" xfId="19835"/>
    <cellStyle name="常规 3 3 2 2 2 3 4" xfId="1775"/>
    <cellStyle name="常规 3 3 2 2 2 3 4 2" xfId="4911"/>
    <cellStyle name="常规 3 3 2 2 2 3 4 2 2" xfId="14331"/>
    <cellStyle name="常规 3 3 2 2 2 3 4 2 2 2" xfId="33179"/>
    <cellStyle name="常规 3 3 2 2 2 3 4 2 3" xfId="23755"/>
    <cellStyle name="常规 3 3 2 2 2 3 4 3" xfId="8047"/>
    <cellStyle name="常规 3 3 2 2 2 3 4 3 2" xfId="17467"/>
    <cellStyle name="常规 3 3 2 2 2 3 4 3 2 2" xfId="36315"/>
    <cellStyle name="常规 3 3 2 2 2 3 4 3 3" xfId="26891"/>
    <cellStyle name="常规 3 3 2 2 2 3 4 4" xfId="11195"/>
    <cellStyle name="常规 3 3 2 2 2 3 4 4 2" xfId="30043"/>
    <cellStyle name="常规 3 3 2 2 2 3 4 5" xfId="20619"/>
    <cellStyle name="常规 3 3 2 2 2 3 5" xfId="2559"/>
    <cellStyle name="常规 3 3 2 2 2 3 5 2" xfId="5695"/>
    <cellStyle name="常规 3 3 2 2 2 3 5 2 2" xfId="15115"/>
    <cellStyle name="常规 3 3 2 2 2 3 5 2 2 2" xfId="33963"/>
    <cellStyle name="常规 3 3 2 2 2 3 5 2 3" xfId="24539"/>
    <cellStyle name="常规 3 3 2 2 2 3 5 3" xfId="8831"/>
    <cellStyle name="常规 3 3 2 2 2 3 5 3 2" xfId="18251"/>
    <cellStyle name="常规 3 3 2 2 2 3 5 3 2 2" xfId="37099"/>
    <cellStyle name="常规 3 3 2 2 2 3 5 3 3" xfId="27675"/>
    <cellStyle name="常规 3 3 2 2 2 3 5 4" xfId="11979"/>
    <cellStyle name="常规 3 3 2 2 2 3 5 4 2" xfId="30827"/>
    <cellStyle name="常规 3 3 2 2 2 3 5 5" xfId="21403"/>
    <cellStyle name="常规 3 3 2 2 2 3 6" xfId="3387"/>
    <cellStyle name="常规 3 3 2 2 2 3 6 2" xfId="12807"/>
    <cellStyle name="常规 3 3 2 2 2 3 6 2 2" xfId="31655"/>
    <cellStyle name="常规 3 3 2 2 2 3 6 3" xfId="22231"/>
    <cellStyle name="常规 3 3 2 2 2 3 7" xfId="6479"/>
    <cellStyle name="常规 3 3 2 2 2 3 7 2" xfId="15899"/>
    <cellStyle name="常规 3 3 2 2 2 3 7 2 2" xfId="34747"/>
    <cellStyle name="常规 3 3 2 2 2 3 7 3" xfId="25323"/>
    <cellStyle name="常规 3 3 2 2 2 3 8" xfId="9626"/>
    <cellStyle name="常规 3 3 2 2 2 3 8 2" xfId="28471"/>
    <cellStyle name="常规 3 3 2 2 2 3 9" xfId="19049"/>
    <cellStyle name="常规 3 3 2 2 2 4" xfId="598"/>
    <cellStyle name="常规 3 3 2 2 2 4 2" xfId="1382"/>
    <cellStyle name="常规 3 3 2 2 2 4 2 2" xfId="4518"/>
    <cellStyle name="常规 3 3 2 2 2 4 2 2 2" xfId="13938"/>
    <cellStyle name="常规 3 3 2 2 2 4 2 2 2 2" xfId="32786"/>
    <cellStyle name="常规 3 3 2 2 2 4 2 2 3" xfId="23362"/>
    <cellStyle name="常规 3 3 2 2 2 4 2 3" xfId="7654"/>
    <cellStyle name="常规 3 3 2 2 2 4 2 3 2" xfId="17074"/>
    <cellStyle name="常规 3 3 2 2 2 4 2 3 2 2" xfId="35922"/>
    <cellStyle name="常规 3 3 2 2 2 4 2 3 3" xfId="26498"/>
    <cellStyle name="常规 3 3 2 2 2 4 2 4" xfId="10802"/>
    <cellStyle name="常规 3 3 2 2 2 4 2 4 2" xfId="29650"/>
    <cellStyle name="常规 3 3 2 2 2 4 2 5" xfId="20226"/>
    <cellStyle name="常规 3 3 2 2 2 4 3" xfId="2166"/>
    <cellStyle name="常规 3 3 2 2 2 4 3 2" xfId="5302"/>
    <cellStyle name="常规 3 3 2 2 2 4 3 2 2" xfId="14722"/>
    <cellStyle name="常规 3 3 2 2 2 4 3 2 2 2" xfId="33570"/>
    <cellStyle name="常规 3 3 2 2 2 4 3 2 3" xfId="24146"/>
    <cellStyle name="常规 3 3 2 2 2 4 3 3" xfId="8438"/>
    <cellStyle name="常规 3 3 2 2 2 4 3 3 2" xfId="17858"/>
    <cellStyle name="常规 3 3 2 2 2 4 3 3 2 2" xfId="36706"/>
    <cellStyle name="常规 3 3 2 2 2 4 3 3 3" xfId="27282"/>
    <cellStyle name="常规 3 3 2 2 2 4 3 4" xfId="11586"/>
    <cellStyle name="常规 3 3 2 2 2 4 3 4 2" xfId="30434"/>
    <cellStyle name="常规 3 3 2 2 2 4 3 5" xfId="21010"/>
    <cellStyle name="常规 3 3 2 2 2 4 4" xfId="2950"/>
    <cellStyle name="常规 3 3 2 2 2 4 4 2" xfId="6086"/>
    <cellStyle name="常规 3 3 2 2 2 4 4 2 2" xfId="15506"/>
    <cellStyle name="常规 3 3 2 2 2 4 4 2 2 2" xfId="34354"/>
    <cellStyle name="常规 3 3 2 2 2 4 4 2 3" xfId="24930"/>
    <cellStyle name="常规 3 3 2 2 2 4 4 3" xfId="9222"/>
    <cellStyle name="常规 3 3 2 2 2 4 4 3 2" xfId="18642"/>
    <cellStyle name="常规 3 3 2 2 2 4 4 3 2 2" xfId="37490"/>
    <cellStyle name="常规 3 3 2 2 2 4 4 3 3" xfId="28066"/>
    <cellStyle name="常规 3 3 2 2 2 4 4 4" xfId="12370"/>
    <cellStyle name="常规 3 3 2 2 2 4 4 4 2" xfId="31218"/>
    <cellStyle name="常规 3 3 2 2 2 4 4 5" xfId="21794"/>
    <cellStyle name="常规 3 3 2 2 2 4 5" xfId="3734"/>
    <cellStyle name="常规 3 3 2 2 2 4 5 2" xfId="13154"/>
    <cellStyle name="常规 3 3 2 2 2 4 5 2 2" xfId="32002"/>
    <cellStyle name="常规 3 3 2 2 2 4 5 3" xfId="22578"/>
    <cellStyle name="常规 3 3 2 2 2 4 6" xfId="6870"/>
    <cellStyle name="常规 3 3 2 2 2 4 6 2" xfId="16290"/>
    <cellStyle name="常规 3 3 2 2 2 4 6 2 2" xfId="35138"/>
    <cellStyle name="常规 3 3 2 2 2 4 6 3" xfId="25714"/>
    <cellStyle name="常规 3 3 2 2 2 4 7" xfId="10018"/>
    <cellStyle name="常规 3 3 2 2 2 4 7 2" xfId="28866"/>
    <cellStyle name="常规 3 3 2 2 2 4 8" xfId="19442"/>
    <cellStyle name="常规 3 3 2 2 2 5" xfId="988"/>
    <cellStyle name="常规 3 3 2 2 2 5 2" xfId="4124"/>
    <cellStyle name="常规 3 3 2 2 2 5 2 2" xfId="13544"/>
    <cellStyle name="常规 3 3 2 2 2 5 2 2 2" xfId="32392"/>
    <cellStyle name="常规 3 3 2 2 2 5 2 3" xfId="22968"/>
    <cellStyle name="常规 3 3 2 2 2 5 3" xfId="7260"/>
    <cellStyle name="常规 3 3 2 2 2 5 3 2" xfId="16680"/>
    <cellStyle name="常规 3 3 2 2 2 5 3 2 2" xfId="35528"/>
    <cellStyle name="常规 3 3 2 2 2 5 3 3" xfId="26104"/>
    <cellStyle name="常规 3 3 2 2 2 5 4" xfId="10408"/>
    <cellStyle name="常规 3 3 2 2 2 5 4 2" xfId="29256"/>
    <cellStyle name="常规 3 3 2 2 2 5 5" xfId="19832"/>
    <cellStyle name="常规 3 3 2 2 2 6" xfId="1772"/>
    <cellStyle name="常规 3 3 2 2 2 6 2" xfId="4908"/>
    <cellStyle name="常规 3 3 2 2 2 6 2 2" xfId="14328"/>
    <cellStyle name="常规 3 3 2 2 2 6 2 2 2" xfId="33176"/>
    <cellStyle name="常规 3 3 2 2 2 6 2 3" xfId="23752"/>
    <cellStyle name="常规 3 3 2 2 2 6 3" xfId="8044"/>
    <cellStyle name="常规 3 3 2 2 2 6 3 2" xfId="17464"/>
    <cellStyle name="常规 3 3 2 2 2 6 3 2 2" xfId="36312"/>
    <cellStyle name="常规 3 3 2 2 2 6 3 3" xfId="26888"/>
    <cellStyle name="常规 3 3 2 2 2 6 4" xfId="11192"/>
    <cellStyle name="常规 3 3 2 2 2 6 4 2" xfId="30040"/>
    <cellStyle name="常规 3 3 2 2 2 6 5" xfId="20616"/>
    <cellStyle name="常规 3 3 2 2 2 7" xfId="2556"/>
    <cellStyle name="常规 3 3 2 2 2 7 2" xfId="5692"/>
    <cellStyle name="常规 3 3 2 2 2 7 2 2" xfId="15112"/>
    <cellStyle name="常规 3 3 2 2 2 7 2 2 2" xfId="33960"/>
    <cellStyle name="常规 3 3 2 2 2 7 2 3" xfId="24536"/>
    <cellStyle name="常规 3 3 2 2 2 7 3" xfId="8828"/>
    <cellStyle name="常规 3 3 2 2 2 7 3 2" xfId="18248"/>
    <cellStyle name="常规 3 3 2 2 2 7 3 2 2" xfId="37096"/>
    <cellStyle name="常规 3 3 2 2 2 7 3 3" xfId="27672"/>
    <cellStyle name="常规 3 3 2 2 2 7 4" xfId="11976"/>
    <cellStyle name="常规 3 3 2 2 2 7 4 2" xfId="30824"/>
    <cellStyle name="常规 3 3 2 2 2 7 5" xfId="21400"/>
    <cellStyle name="常规 3 3 2 2 2 8" xfId="3219"/>
    <cellStyle name="常规 3 3 2 2 2 8 2" xfId="12639"/>
    <cellStyle name="常规 3 3 2 2 2 8 2 2" xfId="31487"/>
    <cellStyle name="常规 3 3 2 2 2 8 3" xfId="22063"/>
    <cellStyle name="常规 3 3 2 2 2 9" xfId="6476"/>
    <cellStyle name="常规 3 3 2 2 2 9 2" xfId="15896"/>
    <cellStyle name="常规 3 3 2 2 2 9 2 2" xfId="34744"/>
    <cellStyle name="常规 3 3 2 2 2 9 3" xfId="25320"/>
    <cellStyle name="常规 3 3 2 2 3" xfId="204"/>
    <cellStyle name="常规 3 3 2 2 3 10" xfId="19050"/>
    <cellStyle name="常规 3 3 2 2 3 2" xfId="205"/>
    <cellStyle name="常规 3 3 2 2 3 2 2" xfId="603"/>
    <cellStyle name="常规 3 3 2 2 3 2 2 2" xfId="1387"/>
    <cellStyle name="常规 3 3 2 2 3 2 2 2 2" xfId="4523"/>
    <cellStyle name="常规 3 3 2 2 3 2 2 2 2 2" xfId="13943"/>
    <cellStyle name="常规 3 3 2 2 3 2 2 2 2 2 2" xfId="32791"/>
    <cellStyle name="常规 3 3 2 2 3 2 2 2 2 3" xfId="23367"/>
    <cellStyle name="常规 3 3 2 2 3 2 2 2 3" xfId="7659"/>
    <cellStyle name="常规 3 3 2 2 3 2 2 2 3 2" xfId="17079"/>
    <cellStyle name="常规 3 3 2 2 3 2 2 2 3 2 2" xfId="35927"/>
    <cellStyle name="常规 3 3 2 2 3 2 2 2 3 3" xfId="26503"/>
    <cellStyle name="常规 3 3 2 2 3 2 2 2 4" xfId="10807"/>
    <cellStyle name="常规 3 3 2 2 3 2 2 2 4 2" xfId="29655"/>
    <cellStyle name="常规 3 3 2 2 3 2 2 2 5" xfId="20231"/>
    <cellStyle name="常规 3 3 2 2 3 2 2 3" xfId="2171"/>
    <cellStyle name="常规 3 3 2 2 3 2 2 3 2" xfId="5307"/>
    <cellStyle name="常规 3 3 2 2 3 2 2 3 2 2" xfId="14727"/>
    <cellStyle name="常规 3 3 2 2 3 2 2 3 2 2 2" xfId="33575"/>
    <cellStyle name="常规 3 3 2 2 3 2 2 3 2 3" xfId="24151"/>
    <cellStyle name="常规 3 3 2 2 3 2 2 3 3" xfId="8443"/>
    <cellStyle name="常规 3 3 2 2 3 2 2 3 3 2" xfId="17863"/>
    <cellStyle name="常规 3 3 2 2 3 2 2 3 3 2 2" xfId="36711"/>
    <cellStyle name="常规 3 3 2 2 3 2 2 3 3 3" xfId="27287"/>
    <cellStyle name="常规 3 3 2 2 3 2 2 3 4" xfId="11591"/>
    <cellStyle name="常规 3 3 2 2 3 2 2 3 4 2" xfId="30439"/>
    <cellStyle name="常规 3 3 2 2 3 2 2 3 5" xfId="21015"/>
    <cellStyle name="常规 3 3 2 2 3 2 2 4" xfId="2955"/>
    <cellStyle name="常规 3 3 2 2 3 2 2 4 2" xfId="6091"/>
    <cellStyle name="常规 3 3 2 2 3 2 2 4 2 2" xfId="15511"/>
    <cellStyle name="常规 3 3 2 2 3 2 2 4 2 2 2" xfId="34359"/>
    <cellStyle name="常规 3 3 2 2 3 2 2 4 2 3" xfId="24935"/>
    <cellStyle name="常规 3 3 2 2 3 2 2 4 3" xfId="9227"/>
    <cellStyle name="常规 3 3 2 2 3 2 2 4 3 2" xfId="18647"/>
    <cellStyle name="常规 3 3 2 2 3 2 2 4 3 2 2" xfId="37495"/>
    <cellStyle name="常规 3 3 2 2 3 2 2 4 3 3" xfId="28071"/>
    <cellStyle name="常规 3 3 2 2 3 2 2 4 4" xfId="12375"/>
    <cellStyle name="常规 3 3 2 2 3 2 2 4 4 2" xfId="31223"/>
    <cellStyle name="常规 3 3 2 2 3 2 2 4 5" xfId="21799"/>
    <cellStyle name="常规 3 3 2 2 3 2 2 5" xfId="3739"/>
    <cellStyle name="常规 3 3 2 2 3 2 2 5 2" xfId="13159"/>
    <cellStyle name="常规 3 3 2 2 3 2 2 5 2 2" xfId="32007"/>
    <cellStyle name="常规 3 3 2 2 3 2 2 5 3" xfId="22583"/>
    <cellStyle name="常规 3 3 2 2 3 2 2 6" xfId="6875"/>
    <cellStyle name="常规 3 3 2 2 3 2 2 6 2" xfId="16295"/>
    <cellStyle name="常规 3 3 2 2 3 2 2 6 2 2" xfId="35143"/>
    <cellStyle name="常规 3 3 2 2 3 2 2 6 3" xfId="25719"/>
    <cellStyle name="常规 3 3 2 2 3 2 2 7" xfId="10023"/>
    <cellStyle name="常规 3 3 2 2 3 2 2 7 2" xfId="28871"/>
    <cellStyle name="常规 3 3 2 2 3 2 2 8" xfId="19447"/>
    <cellStyle name="常规 3 3 2 2 3 2 3" xfId="993"/>
    <cellStyle name="常规 3 3 2 2 3 2 3 2" xfId="4129"/>
    <cellStyle name="常规 3 3 2 2 3 2 3 2 2" xfId="13549"/>
    <cellStyle name="常规 3 3 2 2 3 2 3 2 2 2" xfId="32397"/>
    <cellStyle name="常规 3 3 2 2 3 2 3 2 3" xfId="22973"/>
    <cellStyle name="常规 3 3 2 2 3 2 3 3" xfId="7265"/>
    <cellStyle name="常规 3 3 2 2 3 2 3 3 2" xfId="16685"/>
    <cellStyle name="常规 3 3 2 2 3 2 3 3 2 2" xfId="35533"/>
    <cellStyle name="常规 3 3 2 2 3 2 3 3 3" xfId="26109"/>
    <cellStyle name="常规 3 3 2 2 3 2 3 4" xfId="10413"/>
    <cellStyle name="常规 3 3 2 2 3 2 3 4 2" xfId="29261"/>
    <cellStyle name="常规 3 3 2 2 3 2 3 5" xfId="19837"/>
    <cellStyle name="常规 3 3 2 2 3 2 4" xfId="1777"/>
    <cellStyle name="常规 3 3 2 2 3 2 4 2" xfId="4913"/>
    <cellStyle name="常规 3 3 2 2 3 2 4 2 2" xfId="14333"/>
    <cellStyle name="常规 3 3 2 2 3 2 4 2 2 2" xfId="33181"/>
    <cellStyle name="常规 3 3 2 2 3 2 4 2 3" xfId="23757"/>
    <cellStyle name="常规 3 3 2 2 3 2 4 3" xfId="8049"/>
    <cellStyle name="常规 3 3 2 2 3 2 4 3 2" xfId="17469"/>
    <cellStyle name="常规 3 3 2 2 3 2 4 3 2 2" xfId="36317"/>
    <cellStyle name="常规 3 3 2 2 3 2 4 3 3" xfId="26893"/>
    <cellStyle name="常规 3 3 2 2 3 2 4 4" xfId="11197"/>
    <cellStyle name="常规 3 3 2 2 3 2 4 4 2" xfId="30045"/>
    <cellStyle name="常规 3 3 2 2 3 2 4 5" xfId="20621"/>
    <cellStyle name="常规 3 3 2 2 3 2 5" xfId="2561"/>
    <cellStyle name="常规 3 3 2 2 3 2 5 2" xfId="5697"/>
    <cellStyle name="常规 3 3 2 2 3 2 5 2 2" xfId="15117"/>
    <cellStyle name="常规 3 3 2 2 3 2 5 2 2 2" xfId="33965"/>
    <cellStyle name="常规 3 3 2 2 3 2 5 2 3" xfId="24541"/>
    <cellStyle name="常规 3 3 2 2 3 2 5 3" xfId="8833"/>
    <cellStyle name="常规 3 3 2 2 3 2 5 3 2" xfId="18253"/>
    <cellStyle name="常规 3 3 2 2 3 2 5 3 2 2" xfId="37101"/>
    <cellStyle name="常规 3 3 2 2 3 2 5 3 3" xfId="27677"/>
    <cellStyle name="常规 3 3 2 2 3 2 5 4" xfId="11981"/>
    <cellStyle name="常规 3 3 2 2 3 2 5 4 2" xfId="30829"/>
    <cellStyle name="常规 3 3 2 2 3 2 5 5" xfId="21405"/>
    <cellStyle name="常规 3 3 2 2 3 2 6" xfId="3389"/>
    <cellStyle name="常规 3 3 2 2 3 2 6 2" xfId="12809"/>
    <cellStyle name="常规 3 3 2 2 3 2 6 2 2" xfId="31657"/>
    <cellStyle name="常规 3 3 2 2 3 2 6 3" xfId="22233"/>
    <cellStyle name="常规 3 3 2 2 3 2 7" xfId="6481"/>
    <cellStyle name="常规 3 3 2 2 3 2 7 2" xfId="15901"/>
    <cellStyle name="常规 3 3 2 2 3 2 7 2 2" xfId="34749"/>
    <cellStyle name="常规 3 3 2 2 3 2 7 3" xfId="25325"/>
    <cellStyle name="常规 3 3 2 2 3 2 8" xfId="9628"/>
    <cellStyle name="常规 3 3 2 2 3 2 8 2" xfId="28473"/>
    <cellStyle name="常规 3 3 2 2 3 2 9" xfId="19051"/>
    <cellStyle name="常规 3 3 2 2 3 3" xfId="602"/>
    <cellStyle name="常规 3 3 2 2 3 3 2" xfId="1386"/>
    <cellStyle name="常规 3 3 2 2 3 3 2 2" xfId="4522"/>
    <cellStyle name="常规 3 3 2 2 3 3 2 2 2" xfId="13942"/>
    <cellStyle name="常规 3 3 2 2 3 3 2 2 2 2" xfId="32790"/>
    <cellStyle name="常规 3 3 2 2 3 3 2 2 3" xfId="23366"/>
    <cellStyle name="常规 3 3 2 2 3 3 2 3" xfId="7658"/>
    <cellStyle name="常规 3 3 2 2 3 3 2 3 2" xfId="17078"/>
    <cellStyle name="常规 3 3 2 2 3 3 2 3 2 2" xfId="35926"/>
    <cellStyle name="常规 3 3 2 2 3 3 2 3 3" xfId="26502"/>
    <cellStyle name="常规 3 3 2 2 3 3 2 4" xfId="10806"/>
    <cellStyle name="常规 3 3 2 2 3 3 2 4 2" xfId="29654"/>
    <cellStyle name="常规 3 3 2 2 3 3 2 5" xfId="20230"/>
    <cellStyle name="常规 3 3 2 2 3 3 3" xfId="2170"/>
    <cellStyle name="常规 3 3 2 2 3 3 3 2" xfId="5306"/>
    <cellStyle name="常规 3 3 2 2 3 3 3 2 2" xfId="14726"/>
    <cellStyle name="常规 3 3 2 2 3 3 3 2 2 2" xfId="33574"/>
    <cellStyle name="常规 3 3 2 2 3 3 3 2 3" xfId="24150"/>
    <cellStyle name="常规 3 3 2 2 3 3 3 3" xfId="8442"/>
    <cellStyle name="常规 3 3 2 2 3 3 3 3 2" xfId="17862"/>
    <cellStyle name="常规 3 3 2 2 3 3 3 3 2 2" xfId="36710"/>
    <cellStyle name="常规 3 3 2 2 3 3 3 3 3" xfId="27286"/>
    <cellStyle name="常规 3 3 2 2 3 3 3 4" xfId="11590"/>
    <cellStyle name="常规 3 3 2 2 3 3 3 4 2" xfId="30438"/>
    <cellStyle name="常规 3 3 2 2 3 3 3 5" xfId="21014"/>
    <cellStyle name="常规 3 3 2 2 3 3 4" xfId="2954"/>
    <cellStyle name="常规 3 3 2 2 3 3 4 2" xfId="6090"/>
    <cellStyle name="常规 3 3 2 2 3 3 4 2 2" xfId="15510"/>
    <cellStyle name="常规 3 3 2 2 3 3 4 2 2 2" xfId="34358"/>
    <cellStyle name="常规 3 3 2 2 3 3 4 2 3" xfId="24934"/>
    <cellStyle name="常规 3 3 2 2 3 3 4 3" xfId="9226"/>
    <cellStyle name="常规 3 3 2 2 3 3 4 3 2" xfId="18646"/>
    <cellStyle name="常规 3 3 2 2 3 3 4 3 2 2" xfId="37494"/>
    <cellStyle name="常规 3 3 2 2 3 3 4 3 3" xfId="28070"/>
    <cellStyle name="常规 3 3 2 2 3 3 4 4" xfId="12374"/>
    <cellStyle name="常规 3 3 2 2 3 3 4 4 2" xfId="31222"/>
    <cellStyle name="常规 3 3 2 2 3 3 4 5" xfId="21798"/>
    <cellStyle name="常规 3 3 2 2 3 3 5" xfId="3738"/>
    <cellStyle name="常规 3 3 2 2 3 3 5 2" xfId="13158"/>
    <cellStyle name="常规 3 3 2 2 3 3 5 2 2" xfId="32006"/>
    <cellStyle name="常规 3 3 2 2 3 3 5 3" xfId="22582"/>
    <cellStyle name="常规 3 3 2 2 3 3 6" xfId="6874"/>
    <cellStyle name="常规 3 3 2 2 3 3 6 2" xfId="16294"/>
    <cellStyle name="常规 3 3 2 2 3 3 6 2 2" xfId="35142"/>
    <cellStyle name="常规 3 3 2 2 3 3 6 3" xfId="25718"/>
    <cellStyle name="常规 3 3 2 2 3 3 7" xfId="10022"/>
    <cellStyle name="常规 3 3 2 2 3 3 7 2" xfId="28870"/>
    <cellStyle name="常规 3 3 2 2 3 3 8" xfId="19446"/>
    <cellStyle name="常规 3 3 2 2 3 4" xfId="992"/>
    <cellStyle name="常规 3 3 2 2 3 4 2" xfId="4128"/>
    <cellStyle name="常规 3 3 2 2 3 4 2 2" xfId="13548"/>
    <cellStyle name="常规 3 3 2 2 3 4 2 2 2" xfId="32396"/>
    <cellStyle name="常规 3 3 2 2 3 4 2 3" xfId="22972"/>
    <cellStyle name="常规 3 3 2 2 3 4 3" xfId="7264"/>
    <cellStyle name="常规 3 3 2 2 3 4 3 2" xfId="16684"/>
    <cellStyle name="常规 3 3 2 2 3 4 3 2 2" xfId="35532"/>
    <cellStyle name="常规 3 3 2 2 3 4 3 3" xfId="26108"/>
    <cellStyle name="常规 3 3 2 2 3 4 4" xfId="10412"/>
    <cellStyle name="常规 3 3 2 2 3 4 4 2" xfId="29260"/>
    <cellStyle name="常规 3 3 2 2 3 4 5" xfId="19836"/>
    <cellStyle name="常规 3 3 2 2 3 5" xfId="1776"/>
    <cellStyle name="常规 3 3 2 2 3 5 2" xfId="4912"/>
    <cellStyle name="常规 3 3 2 2 3 5 2 2" xfId="14332"/>
    <cellStyle name="常规 3 3 2 2 3 5 2 2 2" xfId="33180"/>
    <cellStyle name="常规 3 3 2 2 3 5 2 3" xfId="23756"/>
    <cellStyle name="常规 3 3 2 2 3 5 3" xfId="8048"/>
    <cellStyle name="常规 3 3 2 2 3 5 3 2" xfId="17468"/>
    <cellStyle name="常规 3 3 2 2 3 5 3 2 2" xfId="36316"/>
    <cellStyle name="常规 3 3 2 2 3 5 3 3" xfId="26892"/>
    <cellStyle name="常规 3 3 2 2 3 5 4" xfId="11196"/>
    <cellStyle name="常规 3 3 2 2 3 5 4 2" xfId="30044"/>
    <cellStyle name="常规 3 3 2 2 3 5 5" xfId="20620"/>
    <cellStyle name="常规 3 3 2 2 3 6" xfId="2560"/>
    <cellStyle name="常规 3 3 2 2 3 6 2" xfId="5696"/>
    <cellStyle name="常规 3 3 2 2 3 6 2 2" xfId="15116"/>
    <cellStyle name="常规 3 3 2 2 3 6 2 2 2" xfId="33964"/>
    <cellStyle name="常规 3 3 2 2 3 6 2 3" xfId="24540"/>
    <cellStyle name="常规 3 3 2 2 3 6 3" xfId="8832"/>
    <cellStyle name="常规 3 3 2 2 3 6 3 2" xfId="18252"/>
    <cellStyle name="常规 3 3 2 2 3 6 3 2 2" xfId="37100"/>
    <cellStyle name="常规 3 3 2 2 3 6 3 3" xfId="27676"/>
    <cellStyle name="常规 3 3 2 2 3 6 4" xfId="11980"/>
    <cellStyle name="常规 3 3 2 2 3 6 4 2" xfId="30828"/>
    <cellStyle name="常规 3 3 2 2 3 6 5" xfId="21404"/>
    <cellStyle name="常规 3 3 2 2 3 7" xfId="3388"/>
    <cellStyle name="常规 3 3 2 2 3 7 2" xfId="12808"/>
    <cellStyle name="常规 3 3 2 2 3 7 2 2" xfId="31656"/>
    <cellStyle name="常规 3 3 2 2 3 7 3" xfId="22232"/>
    <cellStyle name="常规 3 3 2 2 3 8" xfId="6480"/>
    <cellStyle name="常规 3 3 2 2 3 8 2" xfId="15900"/>
    <cellStyle name="常规 3 3 2 2 3 8 2 2" xfId="34748"/>
    <cellStyle name="常规 3 3 2 2 3 8 3" xfId="25324"/>
    <cellStyle name="常规 3 3 2 2 3 9" xfId="9627"/>
    <cellStyle name="常规 3 3 2 2 3 9 2" xfId="28472"/>
    <cellStyle name="常规 3 3 2 2 4" xfId="206"/>
    <cellStyle name="常规 3 3 2 2 4 2" xfId="604"/>
    <cellStyle name="常规 3 3 2 2 4 2 2" xfId="1388"/>
    <cellStyle name="常规 3 3 2 2 4 2 2 2" xfId="4524"/>
    <cellStyle name="常规 3 3 2 2 4 2 2 2 2" xfId="13944"/>
    <cellStyle name="常规 3 3 2 2 4 2 2 2 2 2" xfId="32792"/>
    <cellStyle name="常规 3 3 2 2 4 2 2 2 3" xfId="23368"/>
    <cellStyle name="常规 3 3 2 2 4 2 2 3" xfId="7660"/>
    <cellStyle name="常规 3 3 2 2 4 2 2 3 2" xfId="17080"/>
    <cellStyle name="常规 3 3 2 2 4 2 2 3 2 2" xfId="35928"/>
    <cellStyle name="常规 3 3 2 2 4 2 2 3 3" xfId="26504"/>
    <cellStyle name="常规 3 3 2 2 4 2 2 4" xfId="10808"/>
    <cellStyle name="常规 3 3 2 2 4 2 2 4 2" xfId="29656"/>
    <cellStyle name="常规 3 3 2 2 4 2 2 5" xfId="20232"/>
    <cellStyle name="常规 3 3 2 2 4 2 3" xfId="2172"/>
    <cellStyle name="常规 3 3 2 2 4 2 3 2" xfId="5308"/>
    <cellStyle name="常规 3 3 2 2 4 2 3 2 2" xfId="14728"/>
    <cellStyle name="常规 3 3 2 2 4 2 3 2 2 2" xfId="33576"/>
    <cellStyle name="常规 3 3 2 2 4 2 3 2 3" xfId="24152"/>
    <cellStyle name="常规 3 3 2 2 4 2 3 3" xfId="8444"/>
    <cellStyle name="常规 3 3 2 2 4 2 3 3 2" xfId="17864"/>
    <cellStyle name="常规 3 3 2 2 4 2 3 3 2 2" xfId="36712"/>
    <cellStyle name="常规 3 3 2 2 4 2 3 3 3" xfId="27288"/>
    <cellStyle name="常规 3 3 2 2 4 2 3 4" xfId="11592"/>
    <cellStyle name="常规 3 3 2 2 4 2 3 4 2" xfId="30440"/>
    <cellStyle name="常规 3 3 2 2 4 2 3 5" xfId="21016"/>
    <cellStyle name="常规 3 3 2 2 4 2 4" xfId="2956"/>
    <cellStyle name="常规 3 3 2 2 4 2 4 2" xfId="6092"/>
    <cellStyle name="常规 3 3 2 2 4 2 4 2 2" xfId="15512"/>
    <cellStyle name="常规 3 3 2 2 4 2 4 2 2 2" xfId="34360"/>
    <cellStyle name="常规 3 3 2 2 4 2 4 2 3" xfId="24936"/>
    <cellStyle name="常规 3 3 2 2 4 2 4 3" xfId="9228"/>
    <cellStyle name="常规 3 3 2 2 4 2 4 3 2" xfId="18648"/>
    <cellStyle name="常规 3 3 2 2 4 2 4 3 2 2" xfId="37496"/>
    <cellStyle name="常规 3 3 2 2 4 2 4 3 3" xfId="28072"/>
    <cellStyle name="常规 3 3 2 2 4 2 4 4" xfId="12376"/>
    <cellStyle name="常规 3 3 2 2 4 2 4 4 2" xfId="31224"/>
    <cellStyle name="常规 3 3 2 2 4 2 4 5" xfId="21800"/>
    <cellStyle name="常规 3 3 2 2 4 2 5" xfId="3740"/>
    <cellStyle name="常规 3 3 2 2 4 2 5 2" xfId="13160"/>
    <cellStyle name="常规 3 3 2 2 4 2 5 2 2" xfId="32008"/>
    <cellStyle name="常规 3 3 2 2 4 2 5 3" xfId="22584"/>
    <cellStyle name="常规 3 3 2 2 4 2 6" xfId="6876"/>
    <cellStyle name="常规 3 3 2 2 4 2 6 2" xfId="16296"/>
    <cellStyle name="常规 3 3 2 2 4 2 6 2 2" xfId="35144"/>
    <cellStyle name="常规 3 3 2 2 4 2 6 3" xfId="25720"/>
    <cellStyle name="常规 3 3 2 2 4 2 7" xfId="10024"/>
    <cellStyle name="常规 3 3 2 2 4 2 7 2" xfId="28872"/>
    <cellStyle name="常规 3 3 2 2 4 2 8" xfId="19448"/>
    <cellStyle name="常规 3 3 2 2 4 3" xfId="994"/>
    <cellStyle name="常规 3 3 2 2 4 3 2" xfId="4130"/>
    <cellStyle name="常规 3 3 2 2 4 3 2 2" xfId="13550"/>
    <cellStyle name="常规 3 3 2 2 4 3 2 2 2" xfId="32398"/>
    <cellStyle name="常规 3 3 2 2 4 3 2 3" xfId="22974"/>
    <cellStyle name="常规 3 3 2 2 4 3 3" xfId="7266"/>
    <cellStyle name="常规 3 3 2 2 4 3 3 2" xfId="16686"/>
    <cellStyle name="常规 3 3 2 2 4 3 3 2 2" xfId="35534"/>
    <cellStyle name="常规 3 3 2 2 4 3 3 3" xfId="26110"/>
    <cellStyle name="常规 3 3 2 2 4 3 4" xfId="10414"/>
    <cellStyle name="常规 3 3 2 2 4 3 4 2" xfId="29262"/>
    <cellStyle name="常规 3 3 2 2 4 3 5" xfId="19838"/>
    <cellStyle name="常规 3 3 2 2 4 4" xfId="1778"/>
    <cellStyle name="常规 3 3 2 2 4 4 2" xfId="4914"/>
    <cellStyle name="常规 3 3 2 2 4 4 2 2" xfId="14334"/>
    <cellStyle name="常规 3 3 2 2 4 4 2 2 2" xfId="33182"/>
    <cellStyle name="常规 3 3 2 2 4 4 2 3" xfId="23758"/>
    <cellStyle name="常规 3 3 2 2 4 4 3" xfId="8050"/>
    <cellStyle name="常规 3 3 2 2 4 4 3 2" xfId="17470"/>
    <cellStyle name="常规 3 3 2 2 4 4 3 2 2" xfId="36318"/>
    <cellStyle name="常规 3 3 2 2 4 4 3 3" xfId="26894"/>
    <cellStyle name="常规 3 3 2 2 4 4 4" xfId="11198"/>
    <cellStyle name="常规 3 3 2 2 4 4 4 2" xfId="30046"/>
    <cellStyle name="常规 3 3 2 2 4 4 5" xfId="20622"/>
    <cellStyle name="常规 3 3 2 2 4 5" xfId="2562"/>
    <cellStyle name="常规 3 3 2 2 4 5 2" xfId="5698"/>
    <cellStyle name="常规 3 3 2 2 4 5 2 2" xfId="15118"/>
    <cellStyle name="常规 3 3 2 2 4 5 2 2 2" xfId="33966"/>
    <cellStyle name="常规 3 3 2 2 4 5 2 3" xfId="24542"/>
    <cellStyle name="常规 3 3 2 2 4 5 3" xfId="8834"/>
    <cellStyle name="常规 3 3 2 2 4 5 3 2" xfId="18254"/>
    <cellStyle name="常规 3 3 2 2 4 5 3 2 2" xfId="37102"/>
    <cellStyle name="常规 3 3 2 2 4 5 3 3" xfId="27678"/>
    <cellStyle name="常规 3 3 2 2 4 5 4" xfId="11982"/>
    <cellStyle name="常规 3 3 2 2 4 5 4 2" xfId="30830"/>
    <cellStyle name="常规 3 3 2 2 4 5 5" xfId="21406"/>
    <cellStyle name="常规 3 3 2 2 4 6" xfId="3390"/>
    <cellStyle name="常规 3 3 2 2 4 6 2" xfId="12810"/>
    <cellStyle name="常规 3 3 2 2 4 6 2 2" xfId="31658"/>
    <cellStyle name="常规 3 3 2 2 4 6 3" xfId="22234"/>
    <cellStyle name="常规 3 3 2 2 4 7" xfId="6482"/>
    <cellStyle name="常规 3 3 2 2 4 7 2" xfId="15902"/>
    <cellStyle name="常规 3 3 2 2 4 7 2 2" xfId="34750"/>
    <cellStyle name="常规 3 3 2 2 4 7 3" xfId="25326"/>
    <cellStyle name="常规 3 3 2 2 4 8" xfId="9629"/>
    <cellStyle name="常规 3 3 2 2 4 8 2" xfId="28474"/>
    <cellStyle name="常规 3 3 2 2 4 9" xfId="19052"/>
    <cellStyle name="常规 3 3 2 2 5" xfId="597"/>
    <cellStyle name="常规 3 3 2 2 5 2" xfId="1381"/>
    <cellStyle name="常规 3 3 2 2 5 2 2" xfId="4517"/>
    <cellStyle name="常规 3 3 2 2 5 2 2 2" xfId="13937"/>
    <cellStyle name="常规 3 3 2 2 5 2 2 2 2" xfId="32785"/>
    <cellStyle name="常规 3 3 2 2 5 2 2 3" xfId="23361"/>
    <cellStyle name="常规 3 3 2 2 5 2 3" xfId="7653"/>
    <cellStyle name="常规 3 3 2 2 5 2 3 2" xfId="17073"/>
    <cellStyle name="常规 3 3 2 2 5 2 3 2 2" xfId="35921"/>
    <cellStyle name="常规 3 3 2 2 5 2 3 3" xfId="26497"/>
    <cellStyle name="常规 3 3 2 2 5 2 4" xfId="10801"/>
    <cellStyle name="常规 3 3 2 2 5 2 4 2" xfId="29649"/>
    <cellStyle name="常规 3 3 2 2 5 2 5" xfId="20225"/>
    <cellStyle name="常规 3 3 2 2 5 3" xfId="2165"/>
    <cellStyle name="常规 3 3 2 2 5 3 2" xfId="5301"/>
    <cellStyle name="常规 3 3 2 2 5 3 2 2" xfId="14721"/>
    <cellStyle name="常规 3 3 2 2 5 3 2 2 2" xfId="33569"/>
    <cellStyle name="常规 3 3 2 2 5 3 2 3" xfId="24145"/>
    <cellStyle name="常规 3 3 2 2 5 3 3" xfId="8437"/>
    <cellStyle name="常规 3 3 2 2 5 3 3 2" xfId="17857"/>
    <cellStyle name="常规 3 3 2 2 5 3 3 2 2" xfId="36705"/>
    <cellStyle name="常规 3 3 2 2 5 3 3 3" xfId="27281"/>
    <cellStyle name="常规 3 3 2 2 5 3 4" xfId="11585"/>
    <cellStyle name="常规 3 3 2 2 5 3 4 2" xfId="30433"/>
    <cellStyle name="常规 3 3 2 2 5 3 5" xfId="21009"/>
    <cellStyle name="常规 3 3 2 2 5 4" xfId="2949"/>
    <cellStyle name="常规 3 3 2 2 5 4 2" xfId="6085"/>
    <cellStyle name="常规 3 3 2 2 5 4 2 2" xfId="15505"/>
    <cellStyle name="常规 3 3 2 2 5 4 2 2 2" xfId="34353"/>
    <cellStyle name="常规 3 3 2 2 5 4 2 3" xfId="24929"/>
    <cellStyle name="常规 3 3 2 2 5 4 3" xfId="9221"/>
    <cellStyle name="常规 3 3 2 2 5 4 3 2" xfId="18641"/>
    <cellStyle name="常规 3 3 2 2 5 4 3 2 2" xfId="37489"/>
    <cellStyle name="常规 3 3 2 2 5 4 3 3" xfId="28065"/>
    <cellStyle name="常规 3 3 2 2 5 4 4" xfId="12369"/>
    <cellStyle name="常规 3 3 2 2 5 4 4 2" xfId="31217"/>
    <cellStyle name="常规 3 3 2 2 5 4 5" xfId="21793"/>
    <cellStyle name="常规 3 3 2 2 5 5" xfId="3733"/>
    <cellStyle name="常规 3 3 2 2 5 5 2" xfId="13153"/>
    <cellStyle name="常规 3 3 2 2 5 5 2 2" xfId="32001"/>
    <cellStyle name="常规 3 3 2 2 5 5 3" xfId="22577"/>
    <cellStyle name="常规 3 3 2 2 5 6" xfId="6869"/>
    <cellStyle name="常规 3 3 2 2 5 6 2" xfId="16289"/>
    <cellStyle name="常规 3 3 2 2 5 6 2 2" xfId="35137"/>
    <cellStyle name="常规 3 3 2 2 5 6 3" xfId="25713"/>
    <cellStyle name="常规 3 3 2 2 5 7" xfId="10017"/>
    <cellStyle name="常规 3 3 2 2 5 7 2" xfId="28865"/>
    <cellStyle name="常规 3 3 2 2 5 8" xfId="19441"/>
    <cellStyle name="常规 3 3 2 2 6" xfId="987"/>
    <cellStyle name="常规 3 3 2 2 6 2" xfId="4123"/>
    <cellStyle name="常规 3 3 2 2 6 2 2" xfId="13543"/>
    <cellStyle name="常规 3 3 2 2 6 2 2 2" xfId="32391"/>
    <cellStyle name="常规 3 3 2 2 6 2 3" xfId="22967"/>
    <cellStyle name="常规 3 3 2 2 6 3" xfId="7259"/>
    <cellStyle name="常规 3 3 2 2 6 3 2" xfId="16679"/>
    <cellStyle name="常规 3 3 2 2 6 3 2 2" xfId="35527"/>
    <cellStyle name="常规 3 3 2 2 6 3 3" xfId="26103"/>
    <cellStyle name="常规 3 3 2 2 6 4" xfId="10407"/>
    <cellStyle name="常规 3 3 2 2 6 4 2" xfId="29255"/>
    <cellStyle name="常规 3 3 2 2 6 5" xfId="19831"/>
    <cellStyle name="常规 3 3 2 2 7" xfId="1771"/>
    <cellStyle name="常规 3 3 2 2 7 2" xfId="4907"/>
    <cellStyle name="常规 3 3 2 2 7 2 2" xfId="14327"/>
    <cellStyle name="常规 3 3 2 2 7 2 2 2" xfId="33175"/>
    <cellStyle name="常规 3 3 2 2 7 2 3" xfId="23751"/>
    <cellStyle name="常规 3 3 2 2 7 3" xfId="8043"/>
    <cellStyle name="常规 3 3 2 2 7 3 2" xfId="17463"/>
    <cellStyle name="常规 3 3 2 2 7 3 2 2" xfId="36311"/>
    <cellStyle name="常规 3 3 2 2 7 3 3" xfId="26887"/>
    <cellStyle name="常规 3 3 2 2 7 4" xfId="11191"/>
    <cellStyle name="常规 3 3 2 2 7 4 2" xfId="30039"/>
    <cellStyle name="常规 3 3 2 2 7 5" xfId="20615"/>
    <cellStyle name="常规 3 3 2 2 8" xfId="2555"/>
    <cellStyle name="常规 3 3 2 2 8 2" xfId="5691"/>
    <cellStyle name="常规 3 3 2 2 8 2 2" xfId="15111"/>
    <cellStyle name="常规 3 3 2 2 8 2 2 2" xfId="33959"/>
    <cellStyle name="常规 3 3 2 2 8 2 3" xfId="24535"/>
    <cellStyle name="常规 3 3 2 2 8 3" xfId="8827"/>
    <cellStyle name="常规 3 3 2 2 8 3 2" xfId="18247"/>
    <cellStyle name="常规 3 3 2 2 8 3 2 2" xfId="37095"/>
    <cellStyle name="常规 3 3 2 2 8 3 3" xfId="27671"/>
    <cellStyle name="常规 3 3 2 2 8 4" xfId="11975"/>
    <cellStyle name="常规 3 3 2 2 8 4 2" xfId="30823"/>
    <cellStyle name="常规 3 3 2 2 8 5" xfId="21399"/>
    <cellStyle name="常规 3 3 2 2 9" xfId="3171"/>
    <cellStyle name="常规 3 3 2 2 9 2" xfId="12591"/>
    <cellStyle name="常规 3 3 2 2 9 2 2" xfId="31439"/>
    <cellStyle name="常规 3 3 2 2 9 3" xfId="22015"/>
    <cellStyle name="常规 3 3 2 3" xfId="207"/>
    <cellStyle name="常规 3 3 2 3 10" xfId="9630"/>
    <cellStyle name="常规 3 3 2 3 10 2" xfId="28475"/>
    <cellStyle name="常规 3 3 2 3 11" xfId="19053"/>
    <cellStyle name="常规 3 3 2 3 2" xfId="208"/>
    <cellStyle name="常规 3 3 2 3 2 10" xfId="19054"/>
    <cellStyle name="常规 3 3 2 3 2 2" xfId="209"/>
    <cellStyle name="常规 3 3 2 3 2 2 2" xfId="607"/>
    <cellStyle name="常规 3 3 2 3 2 2 2 2" xfId="1391"/>
    <cellStyle name="常规 3 3 2 3 2 2 2 2 2" xfId="4527"/>
    <cellStyle name="常规 3 3 2 3 2 2 2 2 2 2" xfId="13947"/>
    <cellStyle name="常规 3 3 2 3 2 2 2 2 2 2 2" xfId="32795"/>
    <cellStyle name="常规 3 3 2 3 2 2 2 2 2 3" xfId="23371"/>
    <cellStyle name="常规 3 3 2 3 2 2 2 2 3" xfId="7663"/>
    <cellStyle name="常规 3 3 2 3 2 2 2 2 3 2" xfId="17083"/>
    <cellStyle name="常规 3 3 2 3 2 2 2 2 3 2 2" xfId="35931"/>
    <cellStyle name="常规 3 3 2 3 2 2 2 2 3 3" xfId="26507"/>
    <cellStyle name="常规 3 3 2 3 2 2 2 2 4" xfId="10811"/>
    <cellStyle name="常规 3 3 2 3 2 2 2 2 4 2" xfId="29659"/>
    <cellStyle name="常规 3 3 2 3 2 2 2 2 5" xfId="20235"/>
    <cellStyle name="常规 3 3 2 3 2 2 2 3" xfId="2175"/>
    <cellStyle name="常规 3 3 2 3 2 2 2 3 2" xfId="5311"/>
    <cellStyle name="常规 3 3 2 3 2 2 2 3 2 2" xfId="14731"/>
    <cellStyle name="常规 3 3 2 3 2 2 2 3 2 2 2" xfId="33579"/>
    <cellStyle name="常规 3 3 2 3 2 2 2 3 2 3" xfId="24155"/>
    <cellStyle name="常规 3 3 2 3 2 2 2 3 3" xfId="8447"/>
    <cellStyle name="常规 3 3 2 3 2 2 2 3 3 2" xfId="17867"/>
    <cellStyle name="常规 3 3 2 3 2 2 2 3 3 2 2" xfId="36715"/>
    <cellStyle name="常规 3 3 2 3 2 2 2 3 3 3" xfId="27291"/>
    <cellStyle name="常规 3 3 2 3 2 2 2 3 4" xfId="11595"/>
    <cellStyle name="常规 3 3 2 3 2 2 2 3 4 2" xfId="30443"/>
    <cellStyle name="常规 3 3 2 3 2 2 2 3 5" xfId="21019"/>
    <cellStyle name="常规 3 3 2 3 2 2 2 4" xfId="2959"/>
    <cellStyle name="常规 3 3 2 3 2 2 2 4 2" xfId="6095"/>
    <cellStyle name="常规 3 3 2 3 2 2 2 4 2 2" xfId="15515"/>
    <cellStyle name="常规 3 3 2 3 2 2 2 4 2 2 2" xfId="34363"/>
    <cellStyle name="常规 3 3 2 3 2 2 2 4 2 3" xfId="24939"/>
    <cellStyle name="常规 3 3 2 3 2 2 2 4 3" xfId="9231"/>
    <cellStyle name="常规 3 3 2 3 2 2 2 4 3 2" xfId="18651"/>
    <cellStyle name="常规 3 3 2 3 2 2 2 4 3 2 2" xfId="37499"/>
    <cellStyle name="常规 3 3 2 3 2 2 2 4 3 3" xfId="28075"/>
    <cellStyle name="常规 3 3 2 3 2 2 2 4 4" xfId="12379"/>
    <cellStyle name="常规 3 3 2 3 2 2 2 4 4 2" xfId="31227"/>
    <cellStyle name="常规 3 3 2 3 2 2 2 4 5" xfId="21803"/>
    <cellStyle name="常规 3 3 2 3 2 2 2 5" xfId="3743"/>
    <cellStyle name="常规 3 3 2 3 2 2 2 5 2" xfId="13163"/>
    <cellStyle name="常规 3 3 2 3 2 2 2 5 2 2" xfId="32011"/>
    <cellStyle name="常规 3 3 2 3 2 2 2 5 3" xfId="22587"/>
    <cellStyle name="常规 3 3 2 3 2 2 2 6" xfId="6879"/>
    <cellStyle name="常规 3 3 2 3 2 2 2 6 2" xfId="16299"/>
    <cellStyle name="常规 3 3 2 3 2 2 2 6 2 2" xfId="35147"/>
    <cellStyle name="常规 3 3 2 3 2 2 2 6 3" xfId="25723"/>
    <cellStyle name="常规 3 3 2 3 2 2 2 7" xfId="10027"/>
    <cellStyle name="常规 3 3 2 3 2 2 2 7 2" xfId="28875"/>
    <cellStyle name="常规 3 3 2 3 2 2 2 8" xfId="19451"/>
    <cellStyle name="常规 3 3 2 3 2 2 3" xfId="997"/>
    <cellStyle name="常规 3 3 2 3 2 2 3 2" xfId="4133"/>
    <cellStyle name="常规 3 3 2 3 2 2 3 2 2" xfId="13553"/>
    <cellStyle name="常规 3 3 2 3 2 2 3 2 2 2" xfId="32401"/>
    <cellStyle name="常规 3 3 2 3 2 2 3 2 3" xfId="22977"/>
    <cellStyle name="常规 3 3 2 3 2 2 3 3" xfId="7269"/>
    <cellStyle name="常规 3 3 2 3 2 2 3 3 2" xfId="16689"/>
    <cellStyle name="常规 3 3 2 3 2 2 3 3 2 2" xfId="35537"/>
    <cellStyle name="常规 3 3 2 3 2 2 3 3 3" xfId="26113"/>
    <cellStyle name="常规 3 3 2 3 2 2 3 4" xfId="10417"/>
    <cellStyle name="常规 3 3 2 3 2 2 3 4 2" xfId="29265"/>
    <cellStyle name="常规 3 3 2 3 2 2 3 5" xfId="19841"/>
    <cellStyle name="常规 3 3 2 3 2 2 4" xfId="1781"/>
    <cellStyle name="常规 3 3 2 3 2 2 4 2" xfId="4917"/>
    <cellStyle name="常规 3 3 2 3 2 2 4 2 2" xfId="14337"/>
    <cellStyle name="常规 3 3 2 3 2 2 4 2 2 2" xfId="33185"/>
    <cellStyle name="常规 3 3 2 3 2 2 4 2 3" xfId="23761"/>
    <cellStyle name="常规 3 3 2 3 2 2 4 3" xfId="8053"/>
    <cellStyle name="常规 3 3 2 3 2 2 4 3 2" xfId="17473"/>
    <cellStyle name="常规 3 3 2 3 2 2 4 3 2 2" xfId="36321"/>
    <cellStyle name="常规 3 3 2 3 2 2 4 3 3" xfId="26897"/>
    <cellStyle name="常规 3 3 2 3 2 2 4 4" xfId="11201"/>
    <cellStyle name="常规 3 3 2 3 2 2 4 4 2" xfId="30049"/>
    <cellStyle name="常规 3 3 2 3 2 2 4 5" xfId="20625"/>
    <cellStyle name="常规 3 3 2 3 2 2 5" xfId="2565"/>
    <cellStyle name="常规 3 3 2 3 2 2 5 2" xfId="5701"/>
    <cellStyle name="常规 3 3 2 3 2 2 5 2 2" xfId="15121"/>
    <cellStyle name="常规 3 3 2 3 2 2 5 2 2 2" xfId="33969"/>
    <cellStyle name="常规 3 3 2 3 2 2 5 2 3" xfId="24545"/>
    <cellStyle name="常规 3 3 2 3 2 2 5 3" xfId="8837"/>
    <cellStyle name="常规 3 3 2 3 2 2 5 3 2" xfId="18257"/>
    <cellStyle name="常规 3 3 2 3 2 2 5 3 2 2" xfId="37105"/>
    <cellStyle name="常规 3 3 2 3 2 2 5 3 3" xfId="27681"/>
    <cellStyle name="常规 3 3 2 3 2 2 5 4" xfId="11985"/>
    <cellStyle name="常规 3 3 2 3 2 2 5 4 2" xfId="30833"/>
    <cellStyle name="常规 3 3 2 3 2 2 5 5" xfId="21409"/>
    <cellStyle name="常规 3 3 2 3 2 2 6" xfId="3392"/>
    <cellStyle name="常规 3 3 2 3 2 2 6 2" xfId="12812"/>
    <cellStyle name="常规 3 3 2 3 2 2 6 2 2" xfId="31660"/>
    <cellStyle name="常规 3 3 2 3 2 2 6 3" xfId="22236"/>
    <cellStyle name="常规 3 3 2 3 2 2 7" xfId="6485"/>
    <cellStyle name="常规 3 3 2 3 2 2 7 2" xfId="15905"/>
    <cellStyle name="常规 3 3 2 3 2 2 7 2 2" xfId="34753"/>
    <cellStyle name="常规 3 3 2 3 2 2 7 3" xfId="25329"/>
    <cellStyle name="常规 3 3 2 3 2 2 8" xfId="9632"/>
    <cellStyle name="常规 3 3 2 3 2 2 8 2" xfId="28477"/>
    <cellStyle name="常规 3 3 2 3 2 2 9" xfId="19055"/>
    <cellStyle name="常规 3 3 2 3 2 3" xfId="606"/>
    <cellStyle name="常规 3 3 2 3 2 3 2" xfId="1390"/>
    <cellStyle name="常规 3 3 2 3 2 3 2 2" xfId="4526"/>
    <cellStyle name="常规 3 3 2 3 2 3 2 2 2" xfId="13946"/>
    <cellStyle name="常规 3 3 2 3 2 3 2 2 2 2" xfId="32794"/>
    <cellStyle name="常规 3 3 2 3 2 3 2 2 3" xfId="23370"/>
    <cellStyle name="常规 3 3 2 3 2 3 2 3" xfId="7662"/>
    <cellStyle name="常规 3 3 2 3 2 3 2 3 2" xfId="17082"/>
    <cellStyle name="常规 3 3 2 3 2 3 2 3 2 2" xfId="35930"/>
    <cellStyle name="常规 3 3 2 3 2 3 2 3 3" xfId="26506"/>
    <cellStyle name="常规 3 3 2 3 2 3 2 4" xfId="10810"/>
    <cellStyle name="常规 3 3 2 3 2 3 2 4 2" xfId="29658"/>
    <cellStyle name="常规 3 3 2 3 2 3 2 5" xfId="20234"/>
    <cellStyle name="常规 3 3 2 3 2 3 3" xfId="2174"/>
    <cellStyle name="常规 3 3 2 3 2 3 3 2" xfId="5310"/>
    <cellStyle name="常规 3 3 2 3 2 3 3 2 2" xfId="14730"/>
    <cellStyle name="常规 3 3 2 3 2 3 3 2 2 2" xfId="33578"/>
    <cellStyle name="常规 3 3 2 3 2 3 3 2 3" xfId="24154"/>
    <cellStyle name="常规 3 3 2 3 2 3 3 3" xfId="8446"/>
    <cellStyle name="常规 3 3 2 3 2 3 3 3 2" xfId="17866"/>
    <cellStyle name="常规 3 3 2 3 2 3 3 3 2 2" xfId="36714"/>
    <cellStyle name="常规 3 3 2 3 2 3 3 3 3" xfId="27290"/>
    <cellStyle name="常规 3 3 2 3 2 3 3 4" xfId="11594"/>
    <cellStyle name="常规 3 3 2 3 2 3 3 4 2" xfId="30442"/>
    <cellStyle name="常规 3 3 2 3 2 3 3 5" xfId="21018"/>
    <cellStyle name="常规 3 3 2 3 2 3 4" xfId="2958"/>
    <cellStyle name="常规 3 3 2 3 2 3 4 2" xfId="6094"/>
    <cellStyle name="常规 3 3 2 3 2 3 4 2 2" xfId="15514"/>
    <cellStyle name="常规 3 3 2 3 2 3 4 2 2 2" xfId="34362"/>
    <cellStyle name="常规 3 3 2 3 2 3 4 2 3" xfId="24938"/>
    <cellStyle name="常规 3 3 2 3 2 3 4 3" xfId="9230"/>
    <cellStyle name="常规 3 3 2 3 2 3 4 3 2" xfId="18650"/>
    <cellStyle name="常规 3 3 2 3 2 3 4 3 2 2" xfId="37498"/>
    <cellStyle name="常规 3 3 2 3 2 3 4 3 3" xfId="28074"/>
    <cellStyle name="常规 3 3 2 3 2 3 4 4" xfId="12378"/>
    <cellStyle name="常规 3 3 2 3 2 3 4 4 2" xfId="31226"/>
    <cellStyle name="常规 3 3 2 3 2 3 4 5" xfId="21802"/>
    <cellStyle name="常规 3 3 2 3 2 3 5" xfId="3742"/>
    <cellStyle name="常规 3 3 2 3 2 3 5 2" xfId="13162"/>
    <cellStyle name="常规 3 3 2 3 2 3 5 2 2" xfId="32010"/>
    <cellStyle name="常规 3 3 2 3 2 3 5 3" xfId="22586"/>
    <cellStyle name="常规 3 3 2 3 2 3 6" xfId="6878"/>
    <cellStyle name="常规 3 3 2 3 2 3 6 2" xfId="16298"/>
    <cellStyle name="常规 3 3 2 3 2 3 6 2 2" xfId="35146"/>
    <cellStyle name="常规 3 3 2 3 2 3 6 3" xfId="25722"/>
    <cellStyle name="常规 3 3 2 3 2 3 7" xfId="10026"/>
    <cellStyle name="常规 3 3 2 3 2 3 7 2" xfId="28874"/>
    <cellStyle name="常规 3 3 2 3 2 3 8" xfId="19450"/>
    <cellStyle name="常规 3 3 2 3 2 4" xfId="996"/>
    <cellStyle name="常规 3 3 2 3 2 4 2" xfId="4132"/>
    <cellStyle name="常规 3 3 2 3 2 4 2 2" xfId="13552"/>
    <cellStyle name="常规 3 3 2 3 2 4 2 2 2" xfId="32400"/>
    <cellStyle name="常规 3 3 2 3 2 4 2 3" xfId="22976"/>
    <cellStyle name="常规 3 3 2 3 2 4 3" xfId="7268"/>
    <cellStyle name="常规 3 3 2 3 2 4 3 2" xfId="16688"/>
    <cellStyle name="常规 3 3 2 3 2 4 3 2 2" xfId="35536"/>
    <cellStyle name="常规 3 3 2 3 2 4 3 3" xfId="26112"/>
    <cellStyle name="常规 3 3 2 3 2 4 4" xfId="10416"/>
    <cellStyle name="常规 3 3 2 3 2 4 4 2" xfId="29264"/>
    <cellStyle name="常规 3 3 2 3 2 4 5" xfId="19840"/>
    <cellStyle name="常规 3 3 2 3 2 5" xfId="1780"/>
    <cellStyle name="常规 3 3 2 3 2 5 2" xfId="4916"/>
    <cellStyle name="常规 3 3 2 3 2 5 2 2" xfId="14336"/>
    <cellStyle name="常规 3 3 2 3 2 5 2 2 2" xfId="33184"/>
    <cellStyle name="常规 3 3 2 3 2 5 2 3" xfId="23760"/>
    <cellStyle name="常规 3 3 2 3 2 5 3" xfId="8052"/>
    <cellStyle name="常规 3 3 2 3 2 5 3 2" xfId="17472"/>
    <cellStyle name="常规 3 3 2 3 2 5 3 2 2" xfId="36320"/>
    <cellStyle name="常规 3 3 2 3 2 5 3 3" xfId="26896"/>
    <cellStyle name="常规 3 3 2 3 2 5 4" xfId="11200"/>
    <cellStyle name="常规 3 3 2 3 2 5 4 2" xfId="30048"/>
    <cellStyle name="常规 3 3 2 3 2 5 5" xfId="20624"/>
    <cellStyle name="常规 3 3 2 3 2 6" xfId="2564"/>
    <cellStyle name="常规 3 3 2 3 2 6 2" xfId="5700"/>
    <cellStyle name="常规 3 3 2 3 2 6 2 2" xfId="15120"/>
    <cellStyle name="常规 3 3 2 3 2 6 2 2 2" xfId="33968"/>
    <cellStyle name="常规 3 3 2 3 2 6 2 3" xfId="24544"/>
    <cellStyle name="常规 3 3 2 3 2 6 3" xfId="8836"/>
    <cellStyle name="常规 3 3 2 3 2 6 3 2" xfId="18256"/>
    <cellStyle name="常规 3 3 2 3 2 6 3 2 2" xfId="37104"/>
    <cellStyle name="常规 3 3 2 3 2 6 3 3" xfId="27680"/>
    <cellStyle name="常规 3 3 2 3 2 6 4" xfId="11984"/>
    <cellStyle name="常规 3 3 2 3 2 6 4 2" xfId="30832"/>
    <cellStyle name="常规 3 3 2 3 2 6 5" xfId="21408"/>
    <cellStyle name="常规 3 3 2 3 2 7" xfId="3391"/>
    <cellStyle name="常规 3 3 2 3 2 7 2" xfId="12811"/>
    <cellStyle name="常规 3 3 2 3 2 7 2 2" xfId="31659"/>
    <cellStyle name="常规 3 3 2 3 2 7 3" xfId="22235"/>
    <cellStyle name="常规 3 3 2 3 2 8" xfId="6484"/>
    <cellStyle name="常规 3 3 2 3 2 8 2" xfId="15904"/>
    <cellStyle name="常规 3 3 2 3 2 8 2 2" xfId="34752"/>
    <cellStyle name="常规 3 3 2 3 2 8 3" xfId="25328"/>
    <cellStyle name="常规 3 3 2 3 2 9" xfId="9631"/>
    <cellStyle name="常规 3 3 2 3 2 9 2" xfId="28476"/>
    <cellStyle name="常规 3 3 2 3 3" xfId="210"/>
    <cellStyle name="常规 3 3 2 3 3 2" xfId="608"/>
    <cellStyle name="常规 3 3 2 3 3 2 2" xfId="1392"/>
    <cellStyle name="常规 3 3 2 3 3 2 2 2" xfId="4528"/>
    <cellStyle name="常规 3 3 2 3 3 2 2 2 2" xfId="13948"/>
    <cellStyle name="常规 3 3 2 3 3 2 2 2 2 2" xfId="32796"/>
    <cellStyle name="常规 3 3 2 3 3 2 2 2 3" xfId="23372"/>
    <cellStyle name="常规 3 3 2 3 3 2 2 3" xfId="7664"/>
    <cellStyle name="常规 3 3 2 3 3 2 2 3 2" xfId="17084"/>
    <cellStyle name="常规 3 3 2 3 3 2 2 3 2 2" xfId="35932"/>
    <cellStyle name="常规 3 3 2 3 3 2 2 3 3" xfId="26508"/>
    <cellStyle name="常规 3 3 2 3 3 2 2 4" xfId="10812"/>
    <cellStyle name="常规 3 3 2 3 3 2 2 4 2" xfId="29660"/>
    <cellStyle name="常规 3 3 2 3 3 2 2 5" xfId="20236"/>
    <cellStyle name="常规 3 3 2 3 3 2 3" xfId="2176"/>
    <cellStyle name="常规 3 3 2 3 3 2 3 2" xfId="5312"/>
    <cellStyle name="常规 3 3 2 3 3 2 3 2 2" xfId="14732"/>
    <cellStyle name="常规 3 3 2 3 3 2 3 2 2 2" xfId="33580"/>
    <cellStyle name="常规 3 3 2 3 3 2 3 2 3" xfId="24156"/>
    <cellStyle name="常规 3 3 2 3 3 2 3 3" xfId="8448"/>
    <cellStyle name="常规 3 3 2 3 3 2 3 3 2" xfId="17868"/>
    <cellStyle name="常规 3 3 2 3 3 2 3 3 2 2" xfId="36716"/>
    <cellStyle name="常规 3 3 2 3 3 2 3 3 3" xfId="27292"/>
    <cellStyle name="常规 3 3 2 3 3 2 3 4" xfId="11596"/>
    <cellStyle name="常规 3 3 2 3 3 2 3 4 2" xfId="30444"/>
    <cellStyle name="常规 3 3 2 3 3 2 3 5" xfId="21020"/>
    <cellStyle name="常规 3 3 2 3 3 2 4" xfId="2960"/>
    <cellStyle name="常规 3 3 2 3 3 2 4 2" xfId="6096"/>
    <cellStyle name="常规 3 3 2 3 3 2 4 2 2" xfId="15516"/>
    <cellStyle name="常规 3 3 2 3 3 2 4 2 2 2" xfId="34364"/>
    <cellStyle name="常规 3 3 2 3 3 2 4 2 3" xfId="24940"/>
    <cellStyle name="常规 3 3 2 3 3 2 4 3" xfId="9232"/>
    <cellStyle name="常规 3 3 2 3 3 2 4 3 2" xfId="18652"/>
    <cellStyle name="常规 3 3 2 3 3 2 4 3 2 2" xfId="37500"/>
    <cellStyle name="常规 3 3 2 3 3 2 4 3 3" xfId="28076"/>
    <cellStyle name="常规 3 3 2 3 3 2 4 4" xfId="12380"/>
    <cellStyle name="常规 3 3 2 3 3 2 4 4 2" xfId="31228"/>
    <cellStyle name="常规 3 3 2 3 3 2 4 5" xfId="21804"/>
    <cellStyle name="常规 3 3 2 3 3 2 5" xfId="3744"/>
    <cellStyle name="常规 3 3 2 3 3 2 5 2" xfId="13164"/>
    <cellStyle name="常规 3 3 2 3 3 2 5 2 2" xfId="32012"/>
    <cellStyle name="常规 3 3 2 3 3 2 5 3" xfId="22588"/>
    <cellStyle name="常规 3 3 2 3 3 2 6" xfId="6880"/>
    <cellStyle name="常规 3 3 2 3 3 2 6 2" xfId="16300"/>
    <cellStyle name="常规 3 3 2 3 3 2 6 2 2" xfId="35148"/>
    <cellStyle name="常规 3 3 2 3 3 2 6 3" xfId="25724"/>
    <cellStyle name="常规 3 3 2 3 3 2 7" xfId="10028"/>
    <cellStyle name="常规 3 3 2 3 3 2 7 2" xfId="28876"/>
    <cellStyle name="常规 3 3 2 3 3 2 8" xfId="19452"/>
    <cellStyle name="常规 3 3 2 3 3 3" xfId="998"/>
    <cellStyle name="常规 3 3 2 3 3 3 2" xfId="4134"/>
    <cellStyle name="常规 3 3 2 3 3 3 2 2" xfId="13554"/>
    <cellStyle name="常规 3 3 2 3 3 3 2 2 2" xfId="32402"/>
    <cellStyle name="常规 3 3 2 3 3 3 2 3" xfId="22978"/>
    <cellStyle name="常规 3 3 2 3 3 3 3" xfId="7270"/>
    <cellStyle name="常规 3 3 2 3 3 3 3 2" xfId="16690"/>
    <cellStyle name="常规 3 3 2 3 3 3 3 2 2" xfId="35538"/>
    <cellStyle name="常规 3 3 2 3 3 3 3 3" xfId="26114"/>
    <cellStyle name="常规 3 3 2 3 3 3 4" xfId="10418"/>
    <cellStyle name="常规 3 3 2 3 3 3 4 2" xfId="29266"/>
    <cellStyle name="常规 3 3 2 3 3 3 5" xfId="19842"/>
    <cellStyle name="常规 3 3 2 3 3 4" xfId="1782"/>
    <cellStyle name="常规 3 3 2 3 3 4 2" xfId="4918"/>
    <cellStyle name="常规 3 3 2 3 3 4 2 2" xfId="14338"/>
    <cellStyle name="常规 3 3 2 3 3 4 2 2 2" xfId="33186"/>
    <cellStyle name="常规 3 3 2 3 3 4 2 3" xfId="23762"/>
    <cellStyle name="常规 3 3 2 3 3 4 3" xfId="8054"/>
    <cellStyle name="常规 3 3 2 3 3 4 3 2" xfId="17474"/>
    <cellStyle name="常规 3 3 2 3 3 4 3 2 2" xfId="36322"/>
    <cellStyle name="常规 3 3 2 3 3 4 3 3" xfId="26898"/>
    <cellStyle name="常规 3 3 2 3 3 4 4" xfId="11202"/>
    <cellStyle name="常规 3 3 2 3 3 4 4 2" xfId="30050"/>
    <cellStyle name="常规 3 3 2 3 3 4 5" xfId="20626"/>
    <cellStyle name="常规 3 3 2 3 3 5" xfId="2566"/>
    <cellStyle name="常规 3 3 2 3 3 5 2" xfId="5702"/>
    <cellStyle name="常规 3 3 2 3 3 5 2 2" xfId="15122"/>
    <cellStyle name="常规 3 3 2 3 3 5 2 2 2" xfId="33970"/>
    <cellStyle name="常规 3 3 2 3 3 5 2 3" xfId="24546"/>
    <cellStyle name="常规 3 3 2 3 3 5 3" xfId="8838"/>
    <cellStyle name="常规 3 3 2 3 3 5 3 2" xfId="18258"/>
    <cellStyle name="常规 3 3 2 3 3 5 3 2 2" xfId="37106"/>
    <cellStyle name="常规 3 3 2 3 3 5 3 3" xfId="27682"/>
    <cellStyle name="常规 3 3 2 3 3 5 4" xfId="11986"/>
    <cellStyle name="常规 3 3 2 3 3 5 4 2" xfId="30834"/>
    <cellStyle name="常规 3 3 2 3 3 5 5" xfId="21410"/>
    <cellStyle name="常规 3 3 2 3 3 6" xfId="3393"/>
    <cellStyle name="常规 3 3 2 3 3 6 2" xfId="12813"/>
    <cellStyle name="常规 3 3 2 3 3 6 2 2" xfId="31661"/>
    <cellStyle name="常规 3 3 2 3 3 6 3" xfId="22237"/>
    <cellStyle name="常规 3 3 2 3 3 7" xfId="6486"/>
    <cellStyle name="常规 3 3 2 3 3 7 2" xfId="15906"/>
    <cellStyle name="常规 3 3 2 3 3 7 2 2" xfId="34754"/>
    <cellStyle name="常规 3 3 2 3 3 7 3" xfId="25330"/>
    <cellStyle name="常规 3 3 2 3 3 8" xfId="9633"/>
    <cellStyle name="常规 3 3 2 3 3 8 2" xfId="28478"/>
    <cellStyle name="常规 3 3 2 3 3 9" xfId="19056"/>
    <cellStyle name="常规 3 3 2 3 4" xfId="605"/>
    <cellStyle name="常规 3 3 2 3 4 2" xfId="1389"/>
    <cellStyle name="常规 3 3 2 3 4 2 2" xfId="4525"/>
    <cellStyle name="常规 3 3 2 3 4 2 2 2" xfId="13945"/>
    <cellStyle name="常规 3 3 2 3 4 2 2 2 2" xfId="32793"/>
    <cellStyle name="常规 3 3 2 3 4 2 2 3" xfId="23369"/>
    <cellStyle name="常规 3 3 2 3 4 2 3" xfId="7661"/>
    <cellStyle name="常规 3 3 2 3 4 2 3 2" xfId="17081"/>
    <cellStyle name="常规 3 3 2 3 4 2 3 2 2" xfId="35929"/>
    <cellStyle name="常规 3 3 2 3 4 2 3 3" xfId="26505"/>
    <cellStyle name="常规 3 3 2 3 4 2 4" xfId="10809"/>
    <cellStyle name="常规 3 3 2 3 4 2 4 2" xfId="29657"/>
    <cellStyle name="常规 3 3 2 3 4 2 5" xfId="20233"/>
    <cellStyle name="常规 3 3 2 3 4 3" xfId="2173"/>
    <cellStyle name="常规 3 3 2 3 4 3 2" xfId="5309"/>
    <cellStyle name="常规 3 3 2 3 4 3 2 2" xfId="14729"/>
    <cellStyle name="常规 3 3 2 3 4 3 2 2 2" xfId="33577"/>
    <cellStyle name="常规 3 3 2 3 4 3 2 3" xfId="24153"/>
    <cellStyle name="常规 3 3 2 3 4 3 3" xfId="8445"/>
    <cellStyle name="常规 3 3 2 3 4 3 3 2" xfId="17865"/>
    <cellStyle name="常规 3 3 2 3 4 3 3 2 2" xfId="36713"/>
    <cellStyle name="常规 3 3 2 3 4 3 3 3" xfId="27289"/>
    <cellStyle name="常规 3 3 2 3 4 3 4" xfId="11593"/>
    <cellStyle name="常规 3 3 2 3 4 3 4 2" xfId="30441"/>
    <cellStyle name="常规 3 3 2 3 4 3 5" xfId="21017"/>
    <cellStyle name="常规 3 3 2 3 4 4" xfId="2957"/>
    <cellStyle name="常规 3 3 2 3 4 4 2" xfId="6093"/>
    <cellStyle name="常规 3 3 2 3 4 4 2 2" xfId="15513"/>
    <cellStyle name="常规 3 3 2 3 4 4 2 2 2" xfId="34361"/>
    <cellStyle name="常规 3 3 2 3 4 4 2 3" xfId="24937"/>
    <cellStyle name="常规 3 3 2 3 4 4 3" xfId="9229"/>
    <cellStyle name="常规 3 3 2 3 4 4 3 2" xfId="18649"/>
    <cellStyle name="常规 3 3 2 3 4 4 3 2 2" xfId="37497"/>
    <cellStyle name="常规 3 3 2 3 4 4 3 3" xfId="28073"/>
    <cellStyle name="常规 3 3 2 3 4 4 4" xfId="12377"/>
    <cellStyle name="常规 3 3 2 3 4 4 4 2" xfId="31225"/>
    <cellStyle name="常规 3 3 2 3 4 4 5" xfId="21801"/>
    <cellStyle name="常规 3 3 2 3 4 5" xfId="3741"/>
    <cellStyle name="常规 3 3 2 3 4 5 2" xfId="13161"/>
    <cellStyle name="常规 3 3 2 3 4 5 2 2" xfId="32009"/>
    <cellStyle name="常规 3 3 2 3 4 5 3" xfId="22585"/>
    <cellStyle name="常规 3 3 2 3 4 6" xfId="6877"/>
    <cellStyle name="常规 3 3 2 3 4 6 2" xfId="16297"/>
    <cellStyle name="常规 3 3 2 3 4 6 2 2" xfId="35145"/>
    <cellStyle name="常规 3 3 2 3 4 6 3" xfId="25721"/>
    <cellStyle name="常规 3 3 2 3 4 7" xfId="10025"/>
    <cellStyle name="常规 3 3 2 3 4 7 2" xfId="28873"/>
    <cellStyle name="常规 3 3 2 3 4 8" xfId="19449"/>
    <cellStyle name="常规 3 3 2 3 5" xfId="995"/>
    <cellStyle name="常规 3 3 2 3 5 2" xfId="4131"/>
    <cellStyle name="常规 3 3 2 3 5 2 2" xfId="13551"/>
    <cellStyle name="常规 3 3 2 3 5 2 2 2" xfId="32399"/>
    <cellStyle name="常规 3 3 2 3 5 2 3" xfId="22975"/>
    <cellStyle name="常规 3 3 2 3 5 3" xfId="7267"/>
    <cellStyle name="常规 3 3 2 3 5 3 2" xfId="16687"/>
    <cellStyle name="常规 3 3 2 3 5 3 2 2" xfId="35535"/>
    <cellStyle name="常规 3 3 2 3 5 3 3" xfId="26111"/>
    <cellStyle name="常规 3 3 2 3 5 4" xfId="10415"/>
    <cellStyle name="常规 3 3 2 3 5 4 2" xfId="29263"/>
    <cellStyle name="常规 3 3 2 3 5 5" xfId="19839"/>
    <cellStyle name="常规 3 3 2 3 6" xfId="1779"/>
    <cellStyle name="常规 3 3 2 3 6 2" xfId="4915"/>
    <cellStyle name="常规 3 3 2 3 6 2 2" xfId="14335"/>
    <cellStyle name="常规 3 3 2 3 6 2 2 2" xfId="33183"/>
    <cellStyle name="常规 3 3 2 3 6 2 3" xfId="23759"/>
    <cellStyle name="常规 3 3 2 3 6 3" xfId="8051"/>
    <cellStyle name="常规 3 3 2 3 6 3 2" xfId="17471"/>
    <cellStyle name="常规 3 3 2 3 6 3 2 2" xfId="36319"/>
    <cellStyle name="常规 3 3 2 3 6 3 3" xfId="26895"/>
    <cellStyle name="常规 3 3 2 3 6 4" xfId="11199"/>
    <cellStyle name="常规 3 3 2 3 6 4 2" xfId="30047"/>
    <cellStyle name="常规 3 3 2 3 6 5" xfId="20623"/>
    <cellStyle name="常规 3 3 2 3 7" xfId="2563"/>
    <cellStyle name="常规 3 3 2 3 7 2" xfId="5699"/>
    <cellStyle name="常规 3 3 2 3 7 2 2" xfId="15119"/>
    <cellStyle name="常规 3 3 2 3 7 2 2 2" xfId="33967"/>
    <cellStyle name="常规 3 3 2 3 7 2 3" xfId="24543"/>
    <cellStyle name="常规 3 3 2 3 7 3" xfId="8835"/>
    <cellStyle name="常规 3 3 2 3 7 3 2" xfId="18255"/>
    <cellStyle name="常规 3 3 2 3 7 3 2 2" xfId="37103"/>
    <cellStyle name="常规 3 3 2 3 7 3 3" xfId="27679"/>
    <cellStyle name="常规 3 3 2 3 7 4" xfId="11983"/>
    <cellStyle name="常规 3 3 2 3 7 4 2" xfId="30831"/>
    <cellStyle name="常规 3 3 2 3 7 5" xfId="21407"/>
    <cellStyle name="常规 3 3 2 3 8" xfId="3218"/>
    <cellStyle name="常规 3 3 2 3 8 2" xfId="12638"/>
    <cellStyle name="常规 3 3 2 3 8 2 2" xfId="31486"/>
    <cellStyle name="常规 3 3 2 3 8 3" xfId="22062"/>
    <cellStyle name="常规 3 3 2 3 9" xfId="6483"/>
    <cellStyle name="常规 3 3 2 3 9 2" xfId="15903"/>
    <cellStyle name="常规 3 3 2 3 9 2 2" xfId="34751"/>
    <cellStyle name="常规 3 3 2 3 9 3" xfId="25327"/>
    <cellStyle name="常规 3 3 2 4" xfId="211"/>
    <cellStyle name="常规 3 3 2 4 10" xfId="19057"/>
    <cellStyle name="常规 3 3 2 4 2" xfId="212"/>
    <cellStyle name="常规 3 3 2 4 2 2" xfId="610"/>
    <cellStyle name="常规 3 3 2 4 2 2 2" xfId="1394"/>
    <cellStyle name="常规 3 3 2 4 2 2 2 2" xfId="4530"/>
    <cellStyle name="常规 3 3 2 4 2 2 2 2 2" xfId="13950"/>
    <cellStyle name="常规 3 3 2 4 2 2 2 2 2 2" xfId="32798"/>
    <cellStyle name="常规 3 3 2 4 2 2 2 2 3" xfId="23374"/>
    <cellStyle name="常规 3 3 2 4 2 2 2 3" xfId="7666"/>
    <cellStyle name="常规 3 3 2 4 2 2 2 3 2" xfId="17086"/>
    <cellStyle name="常规 3 3 2 4 2 2 2 3 2 2" xfId="35934"/>
    <cellStyle name="常规 3 3 2 4 2 2 2 3 3" xfId="26510"/>
    <cellStyle name="常规 3 3 2 4 2 2 2 4" xfId="10814"/>
    <cellStyle name="常规 3 3 2 4 2 2 2 4 2" xfId="29662"/>
    <cellStyle name="常规 3 3 2 4 2 2 2 5" xfId="20238"/>
    <cellStyle name="常规 3 3 2 4 2 2 3" xfId="2178"/>
    <cellStyle name="常规 3 3 2 4 2 2 3 2" xfId="5314"/>
    <cellStyle name="常规 3 3 2 4 2 2 3 2 2" xfId="14734"/>
    <cellStyle name="常规 3 3 2 4 2 2 3 2 2 2" xfId="33582"/>
    <cellStyle name="常规 3 3 2 4 2 2 3 2 3" xfId="24158"/>
    <cellStyle name="常规 3 3 2 4 2 2 3 3" xfId="8450"/>
    <cellStyle name="常规 3 3 2 4 2 2 3 3 2" xfId="17870"/>
    <cellStyle name="常规 3 3 2 4 2 2 3 3 2 2" xfId="36718"/>
    <cellStyle name="常规 3 3 2 4 2 2 3 3 3" xfId="27294"/>
    <cellStyle name="常规 3 3 2 4 2 2 3 4" xfId="11598"/>
    <cellStyle name="常规 3 3 2 4 2 2 3 4 2" xfId="30446"/>
    <cellStyle name="常规 3 3 2 4 2 2 3 5" xfId="21022"/>
    <cellStyle name="常规 3 3 2 4 2 2 4" xfId="2962"/>
    <cellStyle name="常规 3 3 2 4 2 2 4 2" xfId="6098"/>
    <cellStyle name="常规 3 3 2 4 2 2 4 2 2" xfId="15518"/>
    <cellStyle name="常规 3 3 2 4 2 2 4 2 2 2" xfId="34366"/>
    <cellStyle name="常规 3 3 2 4 2 2 4 2 3" xfId="24942"/>
    <cellStyle name="常规 3 3 2 4 2 2 4 3" xfId="9234"/>
    <cellStyle name="常规 3 3 2 4 2 2 4 3 2" xfId="18654"/>
    <cellStyle name="常规 3 3 2 4 2 2 4 3 2 2" xfId="37502"/>
    <cellStyle name="常规 3 3 2 4 2 2 4 3 3" xfId="28078"/>
    <cellStyle name="常规 3 3 2 4 2 2 4 4" xfId="12382"/>
    <cellStyle name="常规 3 3 2 4 2 2 4 4 2" xfId="31230"/>
    <cellStyle name="常规 3 3 2 4 2 2 4 5" xfId="21806"/>
    <cellStyle name="常规 3 3 2 4 2 2 5" xfId="3746"/>
    <cellStyle name="常规 3 3 2 4 2 2 5 2" xfId="13166"/>
    <cellStyle name="常规 3 3 2 4 2 2 5 2 2" xfId="32014"/>
    <cellStyle name="常规 3 3 2 4 2 2 5 3" xfId="22590"/>
    <cellStyle name="常规 3 3 2 4 2 2 6" xfId="6882"/>
    <cellStyle name="常规 3 3 2 4 2 2 6 2" xfId="16302"/>
    <cellStyle name="常规 3 3 2 4 2 2 6 2 2" xfId="35150"/>
    <cellStyle name="常规 3 3 2 4 2 2 6 3" xfId="25726"/>
    <cellStyle name="常规 3 3 2 4 2 2 7" xfId="10030"/>
    <cellStyle name="常规 3 3 2 4 2 2 7 2" xfId="28878"/>
    <cellStyle name="常规 3 3 2 4 2 2 8" xfId="19454"/>
    <cellStyle name="常规 3 3 2 4 2 3" xfId="1000"/>
    <cellStyle name="常规 3 3 2 4 2 3 2" xfId="4136"/>
    <cellStyle name="常规 3 3 2 4 2 3 2 2" xfId="13556"/>
    <cellStyle name="常规 3 3 2 4 2 3 2 2 2" xfId="32404"/>
    <cellStyle name="常规 3 3 2 4 2 3 2 3" xfId="22980"/>
    <cellStyle name="常规 3 3 2 4 2 3 3" xfId="7272"/>
    <cellStyle name="常规 3 3 2 4 2 3 3 2" xfId="16692"/>
    <cellStyle name="常规 3 3 2 4 2 3 3 2 2" xfId="35540"/>
    <cellStyle name="常规 3 3 2 4 2 3 3 3" xfId="26116"/>
    <cellStyle name="常规 3 3 2 4 2 3 4" xfId="10420"/>
    <cellStyle name="常规 3 3 2 4 2 3 4 2" xfId="29268"/>
    <cellStyle name="常规 3 3 2 4 2 3 5" xfId="19844"/>
    <cellStyle name="常规 3 3 2 4 2 4" xfId="1784"/>
    <cellStyle name="常规 3 3 2 4 2 4 2" xfId="4920"/>
    <cellStyle name="常规 3 3 2 4 2 4 2 2" xfId="14340"/>
    <cellStyle name="常规 3 3 2 4 2 4 2 2 2" xfId="33188"/>
    <cellStyle name="常规 3 3 2 4 2 4 2 3" xfId="23764"/>
    <cellStyle name="常规 3 3 2 4 2 4 3" xfId="8056"/>
    <cellStyle name="常规 3 3 2 4 2 4 3 2" xfId="17476"/>
    <cellStyle name="常规 3 3 2 4 2 4 3 2 2" xfId="36324"/>
    <cellStyle name="常规 3 3 2 4 2 4 3 3" xfId="26900"/>
    <cellStyle name="常规 3 3 2 4 2 4 4" xfId="11204"/>
    <cellStyle name="常规 3 3 2 4 2 4 4 2" xfId="30052"/>
    <cellStyle name="常规 3 3 2 4 2 4 5" xfId="20628"/>
    <cellStyle name="常规 3 3 2 4 2 5" xfId="2568"/>
    <cellStyle name="常规 3 3 2 4 2 5 2" xfId="5704"/>
    <cellStyle name="常规 3 3 2 4 2 5 2 2" xfId="15124"/>
    <cellStyle name="常规 3 3 2 4 2 5 2 2 2" xfId="33972"/>
    <cellStyle name="常规 3 3 2 4 2 5 2 3" xfId="24548"/>
    <cellStyle name="常规 3 3 2 4 2 5 3" xfId="8840"/>
    <cellStyle name="常规 3 3 2 4 2 5 3 2" xfId="18260"/>
    <cellStyle name="常规 3 3 2 4 2 5 3 2 2" xfId="37108"/>
    <cellStyle name="常规 3 3 2 4 2 5 3 3" xfId="27684"/>
    <cellStyle name="常规 3 3 2 4 2 5 4" xfId="11988"/>
    <cellStyle name="常规 3 3 2 4 2 5 4 2" xfId="30836"/>
    <cellStyle name="常规 3 3 2 4 2 5 5" xfId="21412"/>
    <cellStyle name="常规 3 3 2 4 2 6" xfId="3395"/>
    <cellStyle name="常规 3 3 2 4 2 6 2" xfId="12815"/>
    <cellStyle name="常规 3 3 2 4 2 6 2 2" xfId="31663"/>
    <cellStyle name="常规 3 3 2 4 2 6 3" xfId="22239"/>
    <cellStyle name="常规 3 3 2 4 2 7" xfId="6488"/>
    <cellStyle name="常规 3 3 2 4 2 7 2" xfId="15908"/>
    <cellStyle name="常规 3 3 2 4 2 7 2 2" xfId="34756"/>
    <cellStyle name="常规 3 3 2 4 2 7 3" xfId="25332"/>
    <cellStyle name="常规 3 3 2 4 2 8" xfId="9635"/>
    <cellStyle name="常规 3 3 2 4 2 8 2" xfId="28480"/>
    <cellStyle name="常规 3 3 2 4 2 9" xfId="19058"/>
    <cellStyle name="常规 3 3 2 4 3" xfId="609"/>
    <cellStyle name="常规 3 3 2 4 3 2" xfId="1393"/>
    <cellStyle name="常规 3 3 2 4 3 2 2" xfId="4529"/>
    <cellStyle name="常规 3 3 2 4 3 2 2 2" xfId="13949"/>
    <cellStyle name="常规 3 3 2 4 3 2 2 2 2" xfId="32797"/>
    <cellStyle name="常规 3 3 2 4 3 2 2 3" xfId="23373"/>
    <cellStyle name="常规 3 3 2 4 3 2 3" xfId="7665"/>
    <cellStyle name="常规 3 3 2 4 3 2 3 2" xfId="17085"/>
    <cellStyle name="常规 3 3 2 4 3 2 3 2 2" xfId="35933"/>
    <cellStyle name="常规 3 3 2 4 3 2 3 3" xfId="26509"/>
    <cellStyle name="常规 3 3 2 4 3 2 4" xfId="10813"/>
    <cellStyle name="常规 3 3 2 4 3 2 4 2" xfId="29661"/>
    <cellStyle name="常规 3 3 2 4 3 2 5" xfId="20237"/>
    <cellStyle name="常规 3 3 2 4 3 3" xfId="2177"/>
    <cellStyle name="常规 3 3 2 4 3 3 2" xfId="5313"/>
    <cellStyle name="常规 3 3 2 4 3 3 2 2" xfId="14733"/>
    <cellStyle name="常规 3 3 2 4 3 3 2 2 2" xfId="33581"/>
    <cellStyle name="常规 3 3 2 4 3 3 2 3" xfId="24157"/>
    <cellStyle name="常规 3 3 2 4 3 3 3" xfId="8449"/>
    <cellStyle name="常规 3 3 2 4 3 3 3 2" xfId="17869"/>
    <cellStyle name="常规 3 3 2 4 3 3 3 2 2" xfId="36717"/>
    <cellStyle name="常规 3 3 2 4 3 3 3 3" xfId="27293"/>
    <cellStyle name="常规 3 3 2 4 3 3 4" xfId="11597"/>
    <cellStyle name="常规 3 3 2 4 3 3 4 2" xfId="30445"/>
    <cellStyle name="常规 3 3 2 4 3 3 5" xfId="21021"/>
    <cellStyle name="常规 3 3 2 4 3 4" xfId="2961"/>
    <cellStyle name="常规 3 3 2 4 3 4 2" xfId="6097"/>
    <cellStyle name="常规 3 3 2 4 3 4 2 2" xfId="15517"/>
    <cellStyle name="常规 3 3 2 4 3 4 2 2 2" xfId="34365"/>
    <cellStyle name="常规 3 3 2 4 3 4 2 3" xfId="24941"/>
    <cellStyle name="常规 3 3 2 4 3 4 3" xfId="9233"/>
    <cellStyle name="常规 3 3 2 4 3 4 3 2" xfId="18653"/>
    <cellStyle name="常规 3 3 2 4 3 4 3 2 2" xfId="37501"/>
    <cellStyle name="常规 3 3 2 4 3 4 3 3" xfId="28077"/>
    <cellStyle name="常规 3 3 2 4 3 4 4" xfId="12381"/>
    <cellStyle name="常规 3 3 2 4 3 4 4 2" xfId="31229"/>
    <cellStyle name="常规 3 3 2 4 3 4 5" xfId="21805"/>
    <cellStyle name="常规 3 3 2 4 3 5" xfId="3745"/>
    <cellStyle name="常规 3 3 2 4 3 5 2" xfId="13165"/>
    <cellStyle name="常规 3 3 2 4 3 5 2 2" xfId="32013"/>
    <cellStyle name="常规 3 3 2 4 3 5 3" xfId="22589"/>
    <cellStyle name="常规 3 3 2 4 3 6" xfId="6881"/>
    <cellStyle name="常规 3 3 2 4 3 6 2" xfId="16301"/>
    <cellStyle name="常规 3 3 2 4 3 6 2 2" xfId="35149"/>
    <cellStyle name="常规 3 3 2 4 3 6 3" xfId="25725"/>
    <cellStyle name="常规 3 3 2 4 3 7" xfId="10029"/>
    <cellStyle name="常规 3 3 2 4 3 7 2" xfId="28877"/>
    <cellStyle name="常规 3 3 2 4 3 8" xfId="19453"/>
    <cellStyle name="常规 3 3 2 4 4" xfId="999"/>
    <cellStyle name="常规 3 3 2 4 4 2" xfId="4135"/>
    <cellStyle name="常规 3 3 2 4 4 2 2" xfId="13555"/>
    <cellStyle name="常规 3 3 2 4 4 2 2 2" xfId="32403"/>
    <cellStyle name="常规 3 3 2 4 4 2 3" xfId="22979"/>
    <cellStyle name="常规 3 3 2 4 4 3" xfId="7271"/>
    <cellStyle name="常规 3 3 2 4 4 3 2" xfId="16691"/>
    <cellStyle name="常规 3 3 2 4 4 3 2 2" xfId="35539"/>
    <cellStyle name="常规 3 3 2 4 4 3 3" xfId="26115"/>
    <cellStyle name="常规 3 3 2 4 4 4" xfId="10419"/>
    <cellStyle name="常规 3 3 2 4 4 4 2" xfId="29267"/>
    <cellStyle name="常规 3 3 2 4 4 5" xfId="19843"/>
    <cellStyle name="常规 3 3 2 4 5" xfId="1783"/>
    <cellStyle name="常规 3 3 2 4 5 2" xfId="4919"/>
    <cellStyle name="常规 3 3 2 4 5 2 2" xfId="14339"/>
    <cellStyle name="常规 3 3 2 4 5 2 2 2" xfId="33187"/>
    <cellStyle name="常规 3 3 2 4 5 2 3" xfId="23763"/>
    <cellStyle name="常规 3 3 2 4 5 3" xfId="8055"/>
    <cellStyle name="常规 3 3 2 4 5 3 2" xfId="17475"/>
    <cellStyle name="常规 3 3 2 4 5 3 2 2" xfId="36323"/>
    <cellStyle name="常规 3 3 2 4 5 3 3" xfId="26899"/>
    <cellStyle name="常规 3 3 2 4 5 4" xfId="11203"/>
    <cellStyle name="常规 3 3 2 4 5 4 2" xfId="30051"/>
    <cellStyle name="常规 3 3 2 4 5 5" xfId="20627"/>
    <cellStyle name="常规 3 3 2 4 6" xfId="2567"/>
    <cellStyle name="常规 3 3 2 4 6 2" xfId="5703"/>
    <cellStyle name="常规 3 3 2 4 6 2 2" xfId="15123"/>
    <cellStyle name="常规 3 3 2 4 6 2 2 2" xfId="33971"/>
    <cellStyle name="常规 3 3 2 4 6 2 3" xfId="24547"/>
    <cellStyle name="常规 3 3 2 4 6 3" xfId="8839"/>
    <cellStyle name="常规 3 3 2 4 6 3 2" xfId="18259"/>
    <cellStyle name="常规 3 3 2 4 6 3 2 2" xfId="37107"/>
    <cellStyle name="常规 3 3 2 4 6 3 3" xfId="27683"/>
    <cellStyle name="常规 3 3 2 4 6 4" xfId="11987"/>
    <cellStyle name="常规 3 3 2 4 6 4 2" xfId="30835"/>
    <cellStyle name="常规 3 3 2 4 6 5" xfId="21411"/>
    <cellStyle name="常规 3 3 2 4 7" xfId="3394"/>
    <cellStyle name="常规 3 3 2 4 7 2" xfId="12814"/>
    <cellStyle name="常规 3 3 2 4 7 2 2" xfId="31662"/>
    <cellStyle name="常规 3 3 2 4 7 3" xfId="22238"/>
    <cellStyle name="常规 3 3 2 4 8" xfId="6487"/>
    <cellStyle name="常规 3 3 2 4 8 2" xfId="15907"/>
    <cellStyle name="常规 3 3 2 4 8 2 2" xfId="34755"/>
    <cellStyle name="常规 3 3 2 4 8 3" xfId="25331"/>
    <cellStyle name="常规 3 3 2 4 9" xfId="9634"/>
    <cellStyle name="常规 3 3 2 4 9 2" xfId="28479"/>
    <cellStyle name="常规 3 3 2 5" xfId="213"/>
    <cellStyle name="常规 3 3 2 5 2" xfId="611"/>
    <cellStyle name="常规 3 3 2 5 2 2" xfId="1395"/>
    <cellStyle name="常规 3 3 2 5 2 2 2" xfId="4531"/>
    <cellStyle name="常规 3 3 2 5 2 2 2 2" xfId="13951"/>
    <cellStyle name="常规 3 3 2 5 2 2 2 2 2" xfId="32799"/>
    <cellStyle name="常规 3 3 2 5 2 2 2 3" xfId="23375"/>
    <cellStyle name="常规 3 3 2 5 2 2 3" xfId="7667"/>
    <cellStyle name="常规 3 3 2 5 2 2 3 2" xfId="17087"/>
    <cellStyle name="常规 3 3 2 5 2 2 3 2 2" xfId="35935"/>
    <cellStyle name="常规 3 3 2 5 2 2 3 3" xfId="26511"/>
    <cellStyle name="常规 3 3 2 5 2 2 4" xfId="10815"/>
    <cellStyle name="常规 3 3 2 5 2 2 4 2" xfId="29663"/>
    <cellStyle name="常规 3 3 2 5 2 2 5" xfId="20239"/>
    <cellStyle name="常规 3 3 2 5 2 3" xfId="2179"/>
    <cellStyle name="常规 3 3 2 5 2 3 2" xfId="5315"/>
    <cellStyle name="常规 3 3 2 5 2 3 2 2" xfId="14735"/>
    <cellStyle name="常规 3 3 2 5 2 3 2 2 2" xfId="33583"/>
    <cellStyle name="常规 3 3 2 5 2 3 2 3" xfId="24159"/>
    <cellStyle name="常规 3 3 2 5 2 3 3" xfId="8451"/>
    <cellStyle name="常规 3 3 2 5 2 3 3 2" xfId="17871"/>
    <cellStyle name="常规 3 3 2 5 2 3 3 2 2" xfId="36719"/>
    <cellStyle name="常规 3 3 2 5 2 3 3 3" xfId="27295"/>
    <cellStyle name="常规 3 3 2 5 2 3 4" xfId="11599"/>
    <cellStyle name="常规 3 3 2 5 2 3 4 2" xfId="30447"/>
    <cellStyle name="常规 3 3 2 5 2 3 5" xfId="21023"/>
    <cellStyle name="常规 3 3 2 5 2 4" xfId="2963"/>
    <cellStyle name="常规 3 3 2 5 2 4 2" xfId="6099"/>
    <cellStyle name="常规 3 3 2 5 2 4 2 2" xfId="15519"/>
    <cellStyle name="常规 3 3 2 5 2 4 2 2 2" xfId="34367"/>
    <cellStyle name="常规 3 3 2 5 2 4 2 3" xfId="24943"/>
    <cellStyle name="常规 3 3 2 5 2 4 3" xfId="9235"/>
    <cellStyle name="常规 3 3 2 5 2 4 3 2" xfId="18655"/>
    <cellStyle name="常规 3 3 2 5 2 4 3 2 2" xfId="37503"/>
    <cellStyle name="常规 3 3 2 5 2 4 3 3" xfId="28079"/>
    <cellStyle name="常规 3 3 2 5 2 4 4" xfId="12383"/>
    <cellStyle name="常规 3 3 2 5 2 4 4 2" xfId="31231"/>
    <cellStyle name="常规 3 3 2 5 2 4 5" xfId="21807"/>
    <cellStyle name="常规 3 3 2 5 2 5" xfId="3747"/>
    <cellStyle name="常规 3 3 2 5 2 5 2" xfId="13167"/>
    <cellStyle name="常规 3 3 2 5 2 5 2 2" xfId="32015"/>
    <cellStyle name="常规 3 3 2 5 2 5 3" xfId="22591"/>
    <cellStyle name="常规 3 3 2 5 2 6" xfId="6883"/>
    <cellStyle name="常规 3 3 2 5 2 6 2" xfId="16303"/>
    <cellStyle name="常规 3 3 2 5 2 6 2 2" xfId="35151"/>
    <cellStyle name="常规 3 3 2 5 2 6 3" xfId="25727"/>
    <cellStyle name="常规 3 3 2 5 2 7" xfId="10031"/>
    <cellStyle name="常规 3 3 2 5 2 7 2" xfId="28879"/>
    <cellStyle name="常规 3 3 2 5 2 8" xfId="19455"/>
    <cellStyle name="常规 3 3 2 5 3" xfId="1001"/>
    <cellStyle name="常规 3 3 2 5 3 2" xfId="4137"/>
    <cellStyle name="常规 3 3 2 5 3 2 2" xfId="13557"/>
    <cellStyle name="常规 3 3 2 5 3 2 2 2" xfId="32405"/>
    <cellStyle name="常规 3 3 2 5 3 2 3" xfId="22981"/>
    <cellStyle name="常规 3 3 2 5 3 3" xfId="7273"/>
    <cellStyle name="常规 3 3 2 5 3 3 2" xfId="16693"/>
    <cellStyle name="常规 3 3 2 5 3 3 2 2" xfId="35541"/>
    <cellStyle name="常规 3 3 2 5 3 3 3" xfId="26117"/>
    <cellStyle name="常规 3 3 2 5 3 4" xfId="10421"/>
    <cellStyle name="常规 3 3 2 5 3 4 2" xfId="29269"/>
    <cellStyle name="常规 3 3 2 5 3 5" xfId="19845"/>
    <cellStyle name="常规 3 3 2 5 4" xfId="1785"/>
    <cellStyle name="常规 3 3 2 5 4 2" xfId="4921"/>
    <cellStyle name="常规 3 3 2 5 4 2 2" xfId="14341"/>
    <cellStyle name="常规 3 3 2 5 4 2 2 2" xfId="33189"/>
    <cellStyle name="常规 3 3 2 5 4 2 3" xfId="23765"/>
    <cellStyle name="常规 3 3 2 5 4 3" xfId="8057"/>
    <cellStyle name="常规 3 3 2 5 4 3 2" xfId="17477"/>
    <cellStyle name="常规 3 3 2 5 4 3 2 2" xfId="36325"/>
    <cellStyle name="常规 3 3 2 5 4 3 3" xfId="26901"/>
    <cellStyle name="常规 3 3 2 5 4 4" xfId="11205"/>
    <cellStyle name="常规 3 3 2 5 4 4 2" xfId="30053"/>
    <cellStyle name="常规 3 3 2 5 4 5" xfId="20629"/>
    <cellStyle name="常规 3 3 2 5 5" xfId="2569"/>
    <cellStyle name="常规 3 3 2 5 5 2" xfId="5705"/>
    <cellStyle name="常规 3 3 2 5 5 2 2" xfId="15125"/>
    <cellStyle name="常规 3 3 2 5 5 2 2 2" xfId="33973"/>
    <cellStyle name="常规 3 3 2 5 5 2 3" xfId="24549"/>
    <cellStyle name="常规 3 3 2 5 5 3" xfId="8841"/>
    <cellStyle name="常规 3 3 2 5 5 3 2" xfId="18261"/>
    <cellStyle name="常规 3 3 2 5 5 3 2 2" xfId="37109"/>
    <cellStyle name="常规 3 3 2 5 5 3 3" xfId="27685"/>
    <cellStyle name="常规 3 3 2 5 5 4" xfId="11989"/>
    <cellStyle name="常规 3 3 2 5 5 4 2" xfId="30837"/>
    <cellStyle name="常规 3 3 2 5 5 5" xfId="21413"/>
    <cellStyle name="常规 3 3 2 5 6" xfId="3396"/>
    <cellStyle name="常规 3 3 2 5 6 2" xfId="12816"/>
    <cellStyle name="常规 3 3 2 5 6 2 2" xfId="31664"/>
    <cellStyle name="常规 3 3 2 5 6 3" xfId="22240"/>
    <cellStyle name="常规 3 3 2 5 7" xfId="6489"/>
    <cellStyle name="常规 3 3 2 5 7 2" xfId="15909"/>
    <cellStyle name="常规 3 3 2 5 7 2 2" xfId="34757"/>
    <cellStyle name="常规 3 3 2 5 7 3" xfId="25333"/>
    <cellStyle name="常规 3 3 2 5 8" xfId="9636"/>
    <cellStyle name="常规 3 3 2 5 8 2" xfId="28481"/>
    <cellStyle name="常规 3 3 2 5 9" xfId="19059"/>
    <cellStyle name="常规 3 3 2 6" xfId="596"/>
    <cellStyle name="常规 3 3 2 6 2" xfId="1380"/>
    <cellStyle name="常规 3 3 2 6 2 2" xfId="4516"/>
    <cellStyle name="常规 3 3 2 6 2 2 2" xfId="13936"/>
    <cellStyle name="常规 3 3 2 6 2 2 2 2" xfId="32784"/>
    <cellStyle name="常规 3 3 2 6 2 2 3" xfId="23360"/>
    <cellStyle name="常规 3 3 2 6 2 3" xfId="7652"/>
    <cellStyle name="常规 3 3 2 6 2 3 2" xfId="17072"/>
    <cellStyle name="常规 3 3 2 6 2 3 2 2" xfId="35920"/>
    <cellStyle name="常规 3 3 2 6 2 3 3" xfId="26496"/>
    <cellStyle name="常规 3 3 2 6 2 4" xfId="10800"/>
    <cellStyle name="常规 3 3 2 6 2 4 2" xfId="29648"/>
    <cellStyle name="常规 3 3 2 6 2 5" xfId="20224"/>
    <cellStyle name="常规 3 3 2 6 3" xfId="2164"/>
    <cellStyle name="常规 3 3 2 6 3 2" xfId="5300"/>
    <cellStyle name="常规 3 3 2 6 3 2 2" xfId="14720"/>
    <cellStyle name="常规 3 3 2 6 3 2 2 2" xfId="33568"/>
    <cellStyle name="常规 3 3 2 6 3 2 3" xfId="24144"/>
    <cellStyle name="常规 3 3 2 6 3 3" xfId="8436"/>
    <cellStyle name="常规 3 3 2 6 3 3 2" xfId="17856"/>
    <cellStyle name="常规 3 3 2 6 3 3 2 2" xfId="36704"/>
    <cellStyle name="常规 3 3 2 6 3 3 3" xfId="27280"/>
    <cellStyle name="常规 3 3 2 6 3 4" xfId="11584"/>
    <cellStyle name="常规 3 3 2 6 3 4 2" xfId="30432"/>
    <cellStyle name="常规 3 3 2 6 3 5" xfId="21008"/>
    <cellStyle name="常规 3 3 2 6 4" xfId="2948"/>
    <cellStyle name="常规 3 3 2 6 4 2" xfId="6084"/>
    <cellStyle name="常规 3 3 2 6 4 2 2" xfId="15504"/>
    <cellStyle name="常规 3 3 2 6 4 2 2 2" xfId="34352"/>
    <cellStyle name="常规 3 3 2 6 4 2 3" xfId="24928"/>
    <cellStyle name="常规 3 3 2 6 4 3" xfId="9220"/>
    <cellStyle name="常规 3 3 2 6 4 3 2" xfId="18640"/>
    <cellStyle name="常规 3 3 2 6 4 3 2 2" xfId="37488"/>
    <cellStyle name="常规 3 3 2 6 4 3 3" xfId="28064"/>
    <cellStyle name="常规 3 3 2 6 4 4" xfId="12368"/>
    <cellStyle name="常规 3 3 2 6 4 4 2" xfId="31216"/>
    <cellStyle name="常规 3 3 2 6 4 5" xfId="21792"/>
    <cellStyle name="常规 3 3 2 6 5" xfId="3732"/>
    <cellStyle name="常规 3 3 2 6 5 2" xfId="13152"/>
    <cellStyle name="常规 3 3 2 6 5 2 2" xfId="32000"/>
    <cellStyle name="常规 3 3 2 6 5 3" xfId="22576"/>
    <cellStyle name="常规 3 3 2 6 6" xfId="6868"/>
    <cellStyle name="常规 3 3 2 6 6 2" xfId="16288"/>
    <cellStyle name="常规 3 3 2 6 6 2 2" xfId="35136"/>
    <cellStyle name="常规 3 3 2 6 6 3" xfId="25712"/>
    <cellStyle name="常规 3 3 2 6 7" xfId="10016"/>
    <cellStyle name="常规 3 3 2 6 7 2" xfId="28864"/>
    <cellStyle name="常规 3 3 2 6 8" xfId="19440"/>
    <cellStyle name="常规 3 3 2 7" xfId="986"/>
    <cellStyle name="常规 3 3 2 7 2" xfId="4122"/>
    <cellStyle name="常规 3 3 2 7 2 2" xfId="13542"/>
    <cellStyle name="常规 3 3 2 7 2 2 2" xfId="32390"/>
    <cellStyle name="常规 3 3 2 7 2 3" xfId="22966"/>
    <cellStyle name="常规 3 3 2 7 3" xfId="7258"/>
    <cellStyle name="常规 3 3 2 7 3 2" xfId="16678"/>
    <cellStyle name="常规 3 3 2 7 3 2 2" xfId="35526"/>
    <cellStyle name="常规 3 3 2 7 3 3" xfId="26102"/>
    <cellStyle name="常规 3 3 2 7 4" xfId="10406"/>
    <cellStyle name="常规 3 3 2 7 4 2" xfId="29254"/>
    <cellStyle name="常规 3 3 2 7 5" xfId="19830"/>
    <cellStyle name="常规 3 3 2 8" xfId="1770"/>
    <cellStyle name="常规 3 3 2 8 2" xfId="4906"/>
    <cellStyle name="常规 3 3 2 8 2 2" xfId="14326"/>
    <cellStyle name="常规 3 3 2 8 2 2 2" xfId="33174"/>
    <cellStyle name="常规 3 3 2 8 2 3" xfId="23750"/>
    <cellStyle name="常规 3 3 2 8 3" xfId="8042"/>
    <cellStyle name="常规 3 3 2 8 3 2" xfId="17462"/>
    <cellStyle name="常规 3 3 2 8 3 2 2" xfId="36310"/>
    <cellStyle name="常规 3 3 2 8 3 3" xfId="26886"/>
    <cellStyle name="常规 3 3 2 8 4" xfId="11190"/>
    <cellStyle name="常规 3 3 2 8 4 2" xfId="30038"/>
    <cellStyle name="常规 3 3 2 8 5" xfId="20614"/>
    <cellStyle name="常规 3 3 2 9" xfId="2554"/>
    <cellStyle name="常规 3 3 2 9 2" xfId="5690"/>
    <cellStyle name="常规 3 3 2 9 2 2" xfId="15110"/>
    <cellStyle name="常规 3 3 2 9 2 2 2" xfId="33958"/>
    <cellStyle name="常规 3 3 2 9 2 3" xfId="24534"/>
    <cellStyle name="常规 3 3 2 9 3" xfId="8826"/>
    <cellStyle name="常规 3 3 2 9 3 2" xfId="18246"/>
    <cellStyle name="常规 3 3 2 9 3 2 2" xfId="37094"/>
    <cellStyle name="常规 3 3 2 9 3 3" xfId="27670"/>
    <cellStyle name="常规 3 3 2 9 4" xfId="11974"/>
    <cellStyle name="常规 3 3 2 9 4 2" xfId="30822"/>
    <cellStyle name="常规 3 3 2 9 5" xfId="21398"/>
    <cellStyle name="常规 3 3 3" xfId="214"/>
    <cellStyle name="常规 3 3 3 10" xfId="6490"/>
    <cellStyle name="常规 3 3 3 10 2" xfId="15910"/>
    <cellStyle name="常规 3 3 3 10 2 2" xfId="34758"/>
    <cellStyle name="常规 3 3 3 10 3" xfId="25334"/>
    <cellStyle name="常规 3 3 3 11" xfId="9637"/>
    <cellStyle name="常规 3 3 3 11 2" xfId="28482"/>
    <cellStyle name="常规 3 3 3 12" xfId="19060"/>
    <cellStyle name="常规 3 3 3 2" xfId="215"/>
    <cellStyle name="常规 3 3 3 2 10" xfId="9638"/>
    <cellStyle name="常规 3 3 3 2 10 2" xfId="28483"/>
    <cellStyle name="常规 3 3 3 2 11" xfId="19061"/>
    <cellStyle name="常规 3 3 3 2 2" xfId="216"/>
    <cellStyle name="常规 3 3 3 2 2 10" xfId="19062"/>
    <cellStyle name="常规 3 3 3 2 2 2" xfId="217"/>
    <cellStyle name="常规 3 3 3 2 2 2 2" xfId="615"/>
    <cellStyle name="常规 3 3 3 2 2 2 2 2" xfId="1399"/>
    <cellStyle name="常规 3 3 3 2 2 2 2 2 2" xfId="4535"/>
    <cellStyle name="常规 3 3 3 2 2 2 2 2 2 2" xfId="13955"/>
    <cellStyle name="常规 3 3 3 2 2 2 2 2 2 2 2" xfId="32803"/>
    <cellStyle name="常规 3 3 3 2 2 2 2 2 2 3" xfId="23379"/>
    <cellStyle name="常规 3 3 3 2 2 2 2 2 3" xfId="7671"/>
    <cellStyle name="常规 3 3 3 2 2 2 2 2 3 2" xfId="17091"/>
    <cellStyle name="常规 3 3 3 2 2 2 2 2 3 2 2" xfId="35939"/>
    <cellStyle name="常规 3 3 3 2 2 2 2 2 3 3" xfId="26515"/>
    <cellStyle name="常规 3 3 3 2 2 2 2 2 4" xfId="10819"/>
    <cellStyle name="常规 3 3 3 2 2 2 2 2 4 2" xfId="29667"/>
    <cellStyle name="常规 3 3 3 2 2 2 2 2 5" xfId="20243"/>
    <cellStyle name="常规 3 3 3 2 2 2 2 3" xfId="2183"/>
    <cellStyle name="常规 3 3 3 2 2 2 2 3 2" xfId="5319"/>
    <cellStyle name="常规 3 3 3 2 2 2 2 3 2 2" xfId="14739"/>
    <cellStyle name="常规 3 3 3 2 2 2 2 3 2 2 2" xfId="33587"/>
    <cellStyle name="常规 3 3 3 2 2 2 2 3 2 3" xfId="24163"/>
    <cellStyle name="常规 3 3 3 2 2 2 2 3 3" xfId="8455"/>
    <cellStyle name="常规 3 3 3 2 2 2 2 3 3 2" xfId="17875"/>
    <cellStyle name="常规 3 3 3 2 2 2 2 3 3 2 2" xfId="36723"/>
    <cellStyle name="常规 3 3 3 2 2 2 2 3 3 3" xfId="27299"/>
    <cellStyle name="常规 3 3 3 2 2 2 2 3 4" xfId="11603"/>
    <cellStyle name="常规 3 3 3 2 2 2 2 3 4 2" xfId="30451"/>
    <cellStyle name="常规 3 3 3 2 2 2 2 3 5" xfId="21027"/>
    <cellStyle name="常规 3 3 3 2 2 2 2 4" xfId="2967"/>
    <cellStyle name="常规 3 3 3 2 2 2 2 4 2" xfId="6103"/>
    <cellStyle name="常规 3 3 3 2 2 2 2 4 2 2" xfId="15523"/>
    <cellStyle name="常规 3 3 3 2 2 2 2 4 2 2 2" xfId="34371"/>
    <cellStyle name="常规 3 3 3 2 2 2 2 4 2 3" xfId="24947"/>
    <cellStyle name="常规 3 3 3 2 2 2 2 4 3" xfId="9239"/>
    <cellStyle name="常规 3 3 3 2 2 2 2 4 3 2" xfId="18659"/>
    <cellStyle name="常规 3 3 3 2 2 2 2 4 3 2 2" xfId="37507"/>
    <cellStyle name="常规 3 3 3 2 2 2 2 4 3 3" xfId="28083"/>
    <cellStyle name="常规 3 3 3 2 2 2 2 4 4" xfId="12387"/>
    <cellStyle name="常规 3 3 3 2 2 2 2 4 4 2" xfId="31235"/>
    <cellStyle name="常规 3 3 3 2 2 2 2 4 5" xfId="21811"/>
    <cellStyle name="常规 3 3 3 2 2 2 2 5" xfId="3751"/>
    <cellStyle name="常规 3 3 3 2 2 2 2 5 2" xfId="13171"/>
    <cellStyle name="常规 3 3 3 2 2 2 2 5 2 2" xfId="32019"/>
    <cellStyle name="常规 3 3 3 2 2 2 2 5 3" xfId="22595"/>
    <cellStyle name="常规 3 3 3 2 2 2 2 6" xfId="6887"/>
    <cellStyle name="常规 3 3 3 2 2 2 2 6 2" xfId="16307"/>
    <cellStyle name="常规 3 3 3 2 2 2 2 6 2 2" xfId="35155"/>
    <cellStyle name="常规 3 3 3 2 2 2 2 6 3" xfId="25731"/>
    <cellStyle name="常规 3 3 3 2 2 2 2 7" xfId="10035"/>
    <cellStyle name="常规 3 3 3 2 2 2 2 7 2" xfId="28883"/>
    <cellStyle name="常规 3 3 3 2 2 2 2 8" xfId="19459"/>
    <cellStyle name="常规 3 3 3 2 2 2 3" xfId="1005"/>
    <cellStyle name="常规 3 3 3 2 2 2 3 2" xfId="4141"/>
    <cellStyle name="常规 3 3 3 2 2 2 3 2 2" xfId="13561"/>
    <cellStyle name="常规 3 3 3 2 2 2 3 2 2 2" xfId="32409"/>
    <cellStyle name="常规 3 3 3 2 2 2 3 2 3" xfId="22985"/>
    <cellStyle name="常规 3 3 3 2 2 2 3 3" xfId="7277"/>
    <cellStyle name="常规 3 3 3 2 2 2 3 3 2" xfId="16697"/>
    <cellStyle name="常规 3 3 3 2 2 2 3 3 2 2" xfId="35545"/>
    <cellStyle name="常规 3 3 3 2 2 2 3 3 3" xfId="26121"/>
    <cellStyle name="常规 3 3 3 2 2 2 3 4" xfId="10425"/>
    <cellStyle name="常规 3 3 3 2 2 2 3 4 2" xfId="29273"/>
    <cellStyle name="常规 3 3 3 2 2 2 3 5" xfId="19849"/>
    <cellStyle name="常规 3 3 3 2 2 2 4" xfId="1789"/>
    <cellStyle name="常规 3 3 3 2 2 2 4 2" xfId="4925"/>
    <cellStyle name="常规 3 3 3 2 2 2 4 2 2" xfId="14345"/>
    <cellStyle name="常规 3 3 3 2 2 2 4 2 2 2" xfId="33193"/>
    <cellStyle name="常规 3 3 3 2 2 2 4 2 3" xfId="23769"/>
    <cellStyle name="常规 3 3 3 2 2 2 4 3" xfId="8061"/>
    <cellStyle name="常规 3 3 3 2 2 2 4 3 2" xfId="17481"/>
    <cellStyle name="常规 3 3 3 2 2 2 4 3 2 2" xfId="36329"/>
    <cellStyle name="常规 3 3 3 2 2 2 4 3 3" xfId="26905"/>
    <cellStyle name="常规 3 3 3 2 2 2 4 4" xfId="11209"/>
    <cellStyle name="常规 3 3 3 2 2 2 4 4 2" xfId="30057"/>
    <cellStyle name="常规 3 3 3 2 2 2 4 5" xfId="20633"/>
    <cellStyle name="常规 3 3 3 2 2 2 5" xfId="2573"/>
    <cellStyle name="常规 3 3 3 2 2 2 5 2" xfId="5709"/>
    <cellStyle name="常规 3 3 3 2 2 2 5 2 2" xfId="15129"/>
    <cellStyle name="常规 3 3 3 2 2 2 5 2 2 2" xfId="33977"/>
    <cellStyle name="常规 3 3 3 2 2 2 5 2 3" xfId="24553"/>
    <cellStyle name="常规 3 3 3 2 2 2 5 3" xfId="8845"/>
    <cellStyle name="常规 3 3 3 2 2 2 5 3 2" xfId="18265"/>
    <cellStyle name="常规 3 3 3 2 2 2 5 3 2 2" xfId="37113"/>
    <cellStyle name="常规 3 3 3 2 2 2 5 3 3" xfId="27689"/>
    <cellStyle name="常规 3 3 3 2 2 2 5 4" xfId="11993"/>
    <cellStyle name="常规 3 3 3 2 2 2 5 4 2" xfId="30841"/>
    <cellStyle name="常规 3 3 3 2 2 2 5 5" xfId="21417"/>
    <cellStyle name="常规 3 3 3 2 2 2 6" xfId="3398"/>
    <cellStyle name="常规 3 3 3 2 2 2 6 2" xfId="12818"/>
    <cellStyle name="常规 3 3 3 2 2 2 6 2 2" xfId="31666"/>
    <cellStyle name="常规 3 3 3 2 2 2 6 3" xfId="22242"/>
    <cellStyle name="常规 3 3 3 2 2 2 7" xfId="6493"/>
    <cellStyle name="常规 3 3 3 2 2 2 7 2" xfId="15913"/>
    <cellStyle name="常规 3 3 3 2 2 2 7 2 2" xfId="34761"/>
    <cellStyle name="常规 3 3 3 2 2 2 7 3" xfId="25337"/>
    <cellStyle name="常规 3 3 3 2 2 2 8" xfId="9640"/>
    <cellStyle name="常规 3 3 3 2 2 2 8 2" xfId="28485"/>
    <cellStyle name="常规 3 3 3 2 2 2 9" xfId="19063"/>
    <cellStyle name="常规 3 3 3 2 2 3" xfId="614"/>
    <cellStyle name="常规 3 3 3 2 2 3 2" xfId="1398"/>
    <cellStyle name="常规 3 3 3 2 2 3 2 2" xfId="4534"/>
    <cellStyle name="常规 3 3 3 2 2 3 2 2 2" xfId="13954"/>
    <cellStyle name="常规 3 3 3 2 2 3 2 2 2 2" xfId="32802"/>
    <cellStyle name="常规 3 3 3 2 2 3 2 2 3" xfId="23378"/>
    <cellStyle name="常规 3 3 3 2 2 3 2 3" xfId="7670"/>
    <cellStyle name="常规 3 3 3 2 2 3 2 3 2" xfId="17090"/>
    <cellStyle name="常规 3 3 3 2 2 3 2 3 2 2" xfId="35938"/>
    <cellStyle name="常规 3 3 3 2 2 3 2 3 3" xfId="26514"/>
    <cellStyle name="常规 3 3 3 2 2 3 2 4" xfId="10818"/>
    <cellStyle name="常规 3 3 3 2 2 3 2 4 2" xfId="29666"/>
    <cellStyle name="常规 3 3 3 2 2 3 2 5" xfId="20242"/>
    <cellStyle name="常规 3 3 3 2 2 3 3" xfId="2182"/>
    <cellStyle name="常规 3 3 3 2 2 3 3 2" xfId="5318"/>
    <cellStyle name="常规 3 3 3 2 2 3 3 2 2" xfId="14738"/>
    <cellStyle name="常规 3 3 3 2 2 3 3 2 2 2" xfId="33586"/>
    <cellStyle name="常规 3 3 3 2 2 3 3 2 3" xfId="24162"/>
    <cellStyle name="常规 3 3 3 2 2 3 3 3" xfId="8454"/>
    <cellStyle name="常规 3 3 3 2 2 3 3 3 2" xfId="17874"/>
    <cellStyle name="常规 3 3 3 2 2 3 3 3 2 2" xfId="36722"/>
    <cellStyle name="常规 3 3 3 2 2 3 3 3 3" xfId="27298"/>
    <cellStyle name="常规 3 3 3 2 2 3 3 4" xfId="11602"/>
    <cellStyle name="常规 3 3 3 2 2 3 3 4 2" xfId="30450"/>
    <cellStyle name="常规 3 3 3 2 2 3 3 5" xfId="21026"/>
    <cellStyle name="常规 3 3 3 2 2 3 4" xfId="2966"/>
    <cellStyle name="常规 3 3 3 2 2 3 4 2" xfId="6102"/>
    <cellStyle name="常规 3 3 3 2 2 3 4 2 2" xfId="15522"/>
    <cellStyle name="常规 3 3 3 2 2 3 4 2 2 2" xfId="34370"/>
    <cellStyle name="常规 3 3 3 2 2 3 4 2 3" xfId="24946"/>
    <cellStyle name="常规 3 3 3 2 2 3 4 3" xfId="9238"/>
    <cellStyle name="常规 3 3 3 2 2 3 4 3 2" xfId="18658"/>
    <cellStyle name="常规 3 3 3 2 2 3 4 3 2 2" xfId="37506"/>
    <cellStyle name="常规 3 3 3 2 2 3 4 3 3" xfId="28082"/>
    <cellStyle name="常规 3 3 3 2 2 3 4 4" xfId="12386"/>
    <cellStyle name="常规 3 3 3 2 2 3 4 4 2" xfId="31234"/>
    <cellStyle name="常规 3 3 3 2 2 3 4 5" xfId="21810"/>
    <cellStyle name="常规 3 3 3 2 2 3 5" xfId="3750"/>
    <cellStyle name="常规 3 3 3 2 2 3 5 2" xfId="13170"/>
    <cellStyle name="常规 3 3 3 2 2 3 5 2 2" xfId="32018"/>
    <cellStyle name="常规 3 3 3 2 2 3 5 3" xfId="22594"/>
    <cellStyle name="常规 3 3 3 2 2 3 6" xfId="6886"/>
    <cellStyle name="常规 3 3 3 2 2 3 6 2" xfId="16306"/>
    <cellStyle name="常规 3 3 3 2 2 3 6 2 2" xfId="35154"/>
    <cellStyle name="常规 3 3 3 2 2 3 6 3" xfId="25730"/>
    <cellStyle name="常规 3 3 3 2 2 3 7" xfId="10034"/>
    <cellStyle name="常规 3 3 3 2 2 3 7 2" xfId="28882"/>
    <cellStyle name="常规 3 3 3 2 2 3 8" xfId="19458"/>
    <cellStyle name="常规 3 3 3 2 2 4" xfId="1004"/>
    <cellStyle name="常规 3 3 3 2 2 4 2" xfId="4140"/>
    <cellStyle name="常规 3 3 3 2 2 4 2 2" xfId="13560"/>
    <cellStyle name="常规 3 3 3 2 2 4 2 2 2" xfId="32408"/>
    <cellStyle name="常规 3 3 3 2 2 4 2 3" xfId="22984"/>
    <cellStyle name="常规 3 3 3 2 2 4 3" xfId="7276"/>
    <cellStyle name="常规 3 3 3 2 2 4 3 2" xfId="16696"/>
    <cellStyle name="常规 3 3 3 2 2 4 3 2 2" xfId="35544"/>
    <cellStyle name="常规 3 3 3 2 2 4 3 3" xfId="26120"/>
    <cellStyle name="常规 3 3 3 2 2 4 4" xfId="10424"/>
    <cellStyle name="常规 3 3 3 2 2 4 4 2" xfId="29272"/>
    <cellStyle name="常规 3 3 3 2 2 4 5" xfId="19848"/>
    <cellStyle name="常规 3 3 3 2 2 5" xfId="1788"/>
    <cellStyle name="常规 3 3 3 2 2 5 2" xfId="4924"/>
    <cellStyle name="常规 3 3 3 2 2 5 2 2" xfId="14344"/>
    <cellStyle name="常规 3 3 3 2 2 5 2 2 2" xfId="33192"/>
    <cellStyle name="常规 3 3 3 2 2 5 2 3" xfId="23768"/>
    <cellStyle name="常规 3 3 3 2 2 5 3" xfId="8060"/>
    <cellStyle name="常规 3 3 3 2 2 5 3 2" xfId="17480"/>
    <cellStyle name="常规 3 3 3 2 2 5 3 2 2" xfId="36328"/>
    <cellStyle name="常规 3 3 3 2 2 5 3 3" xfId="26904"/>
    <cellStyle name="常规 3 3 3 2 2 5 4" xfId="11208"/>
    <cellStyle name="常规 3 3 3 2 2 5 4 2" xfId="30056"/>
    <cellStyle name="常规 3 3 3 2 2 5 5" xfId="20632"/>
    <cellStyle name="常规 3 3 3 2 2 6" xfId="2572"/>
    <cellStyle name="常规 3 3 3 2 2 6 2" xfId="5708"/>
    <cellStyle name="常规 3 3 3 2 2 6 2 2" xfId="15128"/>
    <cellStyle name="常规 3 3 3 2 2 6 2 2 2" xfId="33976"/>
    <cellStyle name="常规 3 3 3 2 2 6 2 3" xfId="24552"/>
    <cellStyle name="常规 3 3 3 2 2 6 3" xfId="8844"/>
    <cellStyle name="常规 3 3 3 2 2 6 3 2" xfId="18264"/>
    <cellStyle name="常规 3 3 3 2 2 6 3 2 2" xfId="37112"/>
    <cellStyle name="常规 3 3 3 2 2 6 3 3" xfId="27688"/>
    <cellStyle name="常规 3 3 3 2 2 6 4" xfId="11992"/>
    <cellStyle name="常规 3 3 3 2 2 6 4 2" xfId="30840"/>
    <cellStyle name="常规 3 3 3 2 2 6 5" xfId="21416"/>
    <cellStyle name="常规 3 3 3 2 2 7" xfId="3397"/>
    <cellStyle name="常规 3 3 3 2 2 7 2" xfId="12817"/>
    <cellStyle name="常规 3 3 3 2 2 7 2 2" xfId="31665"/>
    <cellStyle name="常规 3 3 3 2 2 7 3" xfId="22241"/>
    <cellStyle name="常规 3 3 3 2 2 8" xfId="6492"/>
    <cellStyle name="常规 3 3 3 2 2 8 2" xfId="15912"/>
    <cellStyle name="常规 3 3 3 2 2 8 2 2" xfId="34760"/>
    <cellStyle name="常规 3 3 3 2 2 8 3" xfId="25336"/>
    <cellStyle name="常规 3 3 3 2 2 9" xfId="9639"/>
    <cellStyle name="常规 3 3 3 2 2 9 2" xfId="28484"/>
    <cellStyle name="常规 3 3 3 2 3" xfId="218"/>
    <cellStyle name="常规 3 3 3 2 3 2" xfId="616"/>
    <cellStyle name="常规 3 3 3 2 3 2 2" xfId="1400"/>
    <cellStyle name="常规 3 3 3 2 3 2 2 2" xfId="4536"/>
    <cellStyle name="常规 3 3 3 2 3 2 2 2 2" xfId="13956"/>
    <cellStyle name="常规 3 3 3 2 3 2 2 2 2 2" xfId="32804"/>
    <cellStyle name="常规 3 3 3 2 3 2 2 2 3" xfId="23380"/>
    <cellStyle name="常规 3 3 3 2 3 2 2 3" xfId="7672"/>
    <cellStyle name="常规 3 3 3 2 3 2 2 3 2" xfId="17092"/>
    <cellStyle name="常规 3 3 3 2 3 2 2 3 2 2" xfId="35940"/>
    <cellStyle name="常规 3 3 3 2 3 2 2 3 3" xfId="26516"/>
    <cellStyle name="常规 3 3 3 2 3 2 2 4" xfId="10820"/>
    <cellStyle name="常规 3 3 3 2 3 2 2 4 2" xfId="29668"/>
    <cellStyle name="常规 3 3 3 2 3 2 2 5" xfId="20244"/>
    <cellStyle name="常规 3 3 3 2 3 2 3" xfId="2184"/>
    <cellStyle name="常规 3 3 3 2 3 2 3 2" xfId="5320"/>
    <cellStyle name="常规 3 3 3 2 3 2 3 2 2" xfId="14740"/>
    <cellStyle name="常规 3 3 3 2 3 2 3 2 2 2" xfId="33588"/>
    <cellStyle name="常规 3 3 3 2 3 2 3 2 3" xfId="24164"/>
    <cellStyle name="常规 3 3 3 2 3 2 3 3" xfId="8456"/>
    <cellStyle name="常规 3 3 3 2 3 2 3 3 2" xfId="17876"/>
    <cellStyle name="常规 3 3 3 2 3 2 3 3 2 2" xfId="36724"/>
    <cellStyle name="常规 3 3 3 2 3 2 3 3 3" xfId="27300"/>
    <cellStyle name="常规 3 3 3 2 3 2 3 4" xfId="11604"/>
    <cellStyle name="常规 3 3 3 2 3 2 3 4 2" xfId="30452"/>
    <cellStyle name="常规 3 3 3 2 3 2 3 5" xfId="21028"/>
    <cellStyle name="常规 3 3 3 2 3 2 4" xfId="2968"/>
    <cellStyle name="常规 3 3 3 2 3 2 4 2" xfId="6104"/>
    <cellStyle name="常规 3 3 3 2 3 2 4 2 2" xfId="15524"/>
    <cellStyle name="常规 3 3 3 2 3 2 4 2 2 2" xfId="34372"/>
    <cellStyle name="常规 3 3 3 2 3 2 4 2 3" xfId="24948"/>
    <cellStyle name="常规 3 3 3 2 3 2 4 3" xfId="9240"/>
    <cellStyle name="常规 3 3 3 2 3 2 4 3 2" xfId="18660"/>
    <cellStyle name="常规 3 3 3 2 3 2 4 3 2 2" xfId="37508"/>
    <cellStyle name="常规 3 3 3 2 3 2 4 3 3" xfId="28084"/>
    <cellStyle name="常规 3 3 3 2 3 2 4 4" xfId="12388"/>
    <cellStyle name="常规 3 3 3 2 3 2 4 4 2" xfId="31236"/>
    <cellStyle name="常规 3 3 3 2 3 2 4 5" xfId="21812"/>
    <cellStyle name="常规 3 3 3 2 3 2 5" xfId="3752"/>
    <cellStyle name="常规 3 3 3 2 3 2 5 2" xfId="13172"/>
    <cellStyle name="常规 3 3 3 2 3 2 5 2 2" xfId="32020"/>
    <cellStyle name="常规 3 3 3 2 3 2 5 3" xfId="22596"/>
    <cellStyle name="常规 3 3 3 2 3 2 6" xfId="6888"/>
    <cellStyle name="常规 3 3 3 2 3 2 6 2" xfId="16308"/>
    <cellStyle name="常规 3 3 3 2 3 2 6 2 2" xfId="35156"/>
    <cellStyle name="常规 3 3 3 2 3 2 6 3" xfId="25732"/>
    <cellStyle name="常规 3 3 3 2 3 2 7" xfId="10036"/>
    <cellStyle name="常规 3 3 3 2 3 2 7 2" xfId="28884"/>
    <cellStyle name="常规 3 3 3 2 3 2 8" xfId="19460"/>
    <cellStyle name="常规 3 3 3 2 3 3" xfId="1006"/>
    <cellStyle name="常规 3 3 3 2 3 3 2" xfId="4142"/>
    <cellStyle name="常规 3 3 3 2 3 3 2 2" xfId="13562"/>
    <cellStyle name="常规 3 3 3 2 3 3 2 2 2" xfId="32410"/>
    <cellStyle name="常规 3 3 3 2 3 3 2 3" xfId="22986"/>
    <cellStyle name="常规 3 3 3 2 3 3 3" xfId="7278"/>
    <cellStyle name="常规 3 3 3 2 3 3 3 2" xfId="16698"/>
    <cellStyle name="常规 3 3 3 2 3 3 3 2 2" xfId="35546"/>
    <cellStyle name="常规 3 3 3 2 3 3 3 3" xfId="26122"/>
    <cellStyle name="常规 3 3 3 2 3 3 4" xfId="10426"/>
    <cellStyle name="常规 3 3 3 2 3 3 4 2" xfId="29274"/>
    <cellStyle name="常规 3 3 3 2 3 3 5" xfId="19850"/>
    <cellStyle name="常规 3 3 3 2 3 4" xfId="1790"/>
    <cellStyle name="常规 3 3 3 2 3 4 2" xfId="4926"/>
    <cellStyle name="常规 3 3 3 2 3 4 2 2" xfId="14346"/>
    <cellStyle name="常规 3 3 3 2 3 4 2 2 2" xfId="33194"/>
    <cellStyle name="常规 3 3 3 2 3 4 2 3" xfId="23770"/>
    <cellStyle name="常规 3 3 3 2 3 4 3" xfId="8062"/>
    <cellStyle name="常规 3 3 3 2 3 4 3 2" xfId="17482"/>
    <cellStyle name="常规 3 3 3 2 3 4 3 2 2" xfId="36330"/>
    <cellStyle name="常规 3 3 3 2 3 4 3 3" xfId="26906"/>
    <cellStyle name="常规 3 3 3 2 3 4 4" xfId="11210"/>
    <cellStyle name="常规 3 3 3 2 3 4 4 2" xfId="30058"/>
    <cellStyle name="常规 3 3 3 2 3 4 5" xfId="20634"/>
    <cellStyle name="常规 3 3 3 2 3 5" xfId="2574"/>
    <cellStyle name="常规 3 3 3 2 3 5 2" xfId="5710"/>
    <cellStyle name="常规 3 3 3 2 3 5 2 2" xfId="15130"/>
    <cellStyle name="常规 3 3 3 2 3 5 2 2 2" xfId="33978"/>
    <cellStyle name="常规 3 3 3 2 3 5 2 3" xfId="24554"/>
    <cellStyle name="常规 3 3 3 2 3 5 3" xfId="8846"/>
    <cellStyle name="常规 3 3 3 2 3 5 3 2" xfId="18266"/>
    <cellStyle name="常规 3 3 3 2 3 5 3 2 2" xfId="37114"/>
    <cellStyle name="常规 3 3 3 2 3 5 3 3" xfId="27690"/>
    <cellStyle name="常规 3 3 3 2 3 5 4" xfId="11994"/>
    <cellStyle name="常规 3 3 3 2 3 5 4 2" xfId="30842"/>
    <cellStyle name="常规 3 3 3 2 3 5 5" xfId="21418"/>
    <cellStyle name="常规 3 3 3 2 3 6" xfId="3399"/>
    <cellStyle name="常规 3 3 3 2 3 6 2" xfId="12819"/>
    <cellStyle name="常规 3 3 3 2 3 6 2 2" xfId="31667"/>
    <cellStyle name="常规 3 3 3 2 3 6 3" xfId="22243"/>
    <cellStyle name="常规 3 3 3 2 3 7" xfId="6494"/>
    <cellStyle name="常规 3 3 3 2 3 7 2" xfId="15914"/>
    <cellStyle name="常规 3 3 3 2 3 7 2 2" xfId="34762"/>
    <cellStyle name="常规 3 3 3 2 3 7 3" xfId="25338"/>
    <cellStyle name="常规 3 3 3 2 3 8" xfId="9641"/>
    <cellStyle name="常规 3 3 3 2 3 8 2" xfId="28486"/>
    <cellStyle name="常规 3 3 3 2 3 9" xfId="19064"/>
    <cellStyle name="常规 3 3 3 2 4" xfId="613"/>
    <cellStyle name="常规 3 3 3 2 4 2" xfId="1397"/>
    <cellStyle name="常规 3 3 3 2 4 2 2" xfId="4533"/>
    <cellStyle name="常规 3 3 3 2 4 2 2 2" xfId="13953"/>
    <cellStyle name="常规 3 3 3 2 4 2 2 2 2" xfId="32801"/>
    <cellStyle name="常规 3 3 3 2 4 2 2 3" xfId="23377"/>
    <cellStyle name="常规 3 3 3 2 4 2 3" xfId="7669"/>
    <cellStyle name="常规 3 3 3 2 4 2 3 2" xfId="17089"/>
    <cellStyle name="常规 3 3 3 2 4 2 3 2 2" xfId="35937"/>
    <cellStyle name="常规 3 3 3 2 4 2 3 3" xfId="26513"/>
    <cellStyle name="常规 3 3 3 2 4 2 4" xfId="10817"/>
    <cellStyle name="常规 3 3 3 2 4 2 4 2" xfId="29665"/>
    <cellStyle name="常规 3 3 3 2 4 2 5" xfId="20241"/>
    <cellStyle name="常规 3 3 3 2 4 3" xfId="2181"/>
    <cellStyle name="常规 3 3 3 2 4 3 2" xfId="5317"/>
    <cellStyle name="常规 3 3 3 2 4 3 2 2" xfId="14737"/>
    <cellStyle name="常规 3 3 3 2 4 3 2 2 2" xfId="33585"/>
    <cellStyle name="常规 3 3 3 2 4 3 2 3" xfId="24161"/>
    <cellStyle name="常规 3 3 3 2 4 3 3" xfId="8453"/>
    <cellStyle name="常规 3 3 3 2 4 3 3 2" xfId="17873"/>
    <cellStyle name="常规 3 3 3 2 4 3 3 2 2" xfId="36721"/>
    <cellStyle name="常规 3 3 3 2 4 3 3 3" xfId="27297"/>
    <cellStyle name="常规 3 3 3 2 4 3 4" xfId="11601"/>
    <cellStyle name="常规 3 3 3 2 4 3 4 2" xfId="30449"/>
    <cellStyle name="常规 3 3 3 2 4 3 5" xfId="21025"/>
    <cellStyle name="常规 3 3 3 2 4 4" xfId="2965"/>
    <cellStyle name="常规 3 3 3 2 4 4 2" xfId="6101"/>
    <cellStyle name="常规 3 3 3 2 4 4 2 2" xfId="15521"/>
    <cellStyle name="常规 3 3 3 2 4 4 2 2 2" xfId="34369"/>
    <cellStyle name="常规 3 3 3 2 4 4 2 3" xfId="24945"/>
    <cellStyle name="常规 3 3 3 2 4 4 3" xfId="9237"/>
    <cellStyle name="常规 3 3 3 2 4 4 3 2" xfId="18657"/>
    <cellStyle name="常规 3 3 3 2 4 4 3 2 2" xfId="37505"/>
    <cellStyle name="常规 3 3 3 2 4 4 3 3" xfId="28081"/>
    <cellStyle name="常规 3 3 3 2 4 4 4" xfId="12385"/>
    <cellStyle name="常规 3 3 3 2 4 4 4 2" xfId="31233"/>
    <cellStyle name="常规 3 3 3 2 4 4 5" xfId="21809"/>
    <cellStyle name="常规 3 3 3 2 4 5" xfId="3749"/>
    <cellStyle name="常规 3 3 3 2 4 5 2" xfId="13169"/>
    <cellStyle name="常规 3 3 3 2 4 5 2 2" xfId="32017"/>
    <cellStyle name="常规 3 3 3 2 4 5 3" xfId="22593"/>
    <cellStyle name="常规 3 3 3 2 4 6" xfId="6885"/>
    <cellStyle name="常规 3 3 3 2 4 6 2" xfId="16305"/>
    <cellStyle name="常规 3 3 3 2 4 6 2 2" xfId="35153"/>
    <cellStyle name="常规 3 3 3 2 4 6 3" xfId="25729"/>
    <cellStyle name="常规 3 3 3 2 4 7" xfId="10033"/>
    <cellStyle name="常规 3 3 3 2 4 7 2" xfId="28881"/>
    <cellStyle name="常规 3 3 3 2 4 8" xfId="19457"/>
    <cellStyle name="常规 3 3 3 2 5" xfId="1003"/>
    <cellStyle name="常规 3 3 3 2 5 2" xfId="4139"/>
    <cellStyle name="常规 3 3 3 2 5 2 2" xfId="13559"/>
    <cellStyle name="常规 3 3 3 2 5 2 2 2" xfId="32407"/>
    <cellStyle name="常规 3 3 3 2 5 2 3" xfId="22983"/>
    <cellStyle name="常规 3 3 3 2 5 3" xfId="7275"/>
    <cellStyle name="常规 3 3 3 2 5 3 2" xfId="16695"/>
    <cellStyle name="常规 3 3 3 2 5 3 2 2" xfId="35543"/>
    <cellStyle name="常规 3 3 3 2 5 3 3" xfId="26119"/>
    <cellStyle name="常规 3 3 3 2 5 4" xfId="10423"/>
    <cellStyle name="常规 3 3 3 2 5 4 2" xfId="29271"/>
    <cellStyle name="常规 3 3 3 2 5 5" xfId="19847"/>
    <cellStyle name="常规 3 3 3 2 6" xfId="1787"/>
    <cellStyle name="常规 3 3 3 2 6 2" xfId="4923"/>
    <cellStyle name="常规 3 3 3 2 6 2 2" xfId="14343"/>
    <cellStyle name="常规 3 3 3 2 6 2 2 2" xfId="33191"/>
    <cellStyle name="常规 3 3 3 2 6 2 3" xfId="23767"/>
    <cellStyle name="常规 3 3 3 2 6 3" xfId="8059"/>
    <cellStyle name="常规 3 3 3 2 6 3 2" xfId="17479"/>
    <cellStyle name="常规 3 3 3 2 6 3 2 2" xfId="36327"/>
    <cellStyle name="常规 3 3 3 2 6 3 3" xfId="26903"/>
    <cellStyle name="常规 3 3 3 2 6 4" xfId="11207"/>
    <cellStyle name="常规 3 3 3 2 6 4 2" xfId="30055"/>
    <cellStyle name="常规 3 3 3 2 6 5" xfId="20631"/>
    <cellStyle name="常规 3 3 3 2 7" xfId="2571"/>
    <cellStyle name="常规 3 3 3 2 7 2" xfId="5707"/>
    <cellStyle name="常规 3 3 3 2 7 2 2" xfId="15127"/>
    <cellStyle name="常规 3 3 3 2 7 2 2 2" xfId="33975"/>
    <cellStyle name="常规 3 3 3 2 7 2 3" xfId="24551"/>
    <cellStyle name="常规 3 3 3 2 7 3" xfId="8843"/>
    <cellStyle name="常规 3 3 3 2 7 3 2" xfId="18263"/>
    <cellStyle name="常规 3 3 3 2 7 3 2 2" xfId="37111"/>
    <cellStyle name="常规 3 3 3 2 7 3 3" xfId="27687"/>
    <cellStyle name="常规 3 3 3 2 7 4" xfId="11991"/>
    <cellStyle name="常规 3 3 3 2 7 4 2" xfId="30839"/>
    <cellStyle name="常规 3 3 3 2 7 5" xfId="21415"/>
    <cellStyle name="常规 3 3 3 2 8" xfId="3220"/>
    <cellStyle name="常规 3 3 3 2 8 2" xfId="12640"/>
    <cellStyle name="常规 3 3 3 2 8 2 2" xfId="31488"/>
    <cellStyle name="常规 3 3 3 2 8 3" xfId="22064"/>
    <cellStyle name="常规 3 3 3 2 9" xfId="6491"/>
    <cellStyle name="常规 3 3 3 2 9 2" xfId="15911"/>
    <cellStyle name="常规 3 3 3 2 9 2 2" xfId="34759"/>
    <cellStyle name="常规 3 3 3 2 9 3" xfId="25335"/>
    <cellStyle name="常规 3 3 3 3" xfId="219"/>
    <cellStyle name="常规 3 3 3 3 10" xfId="19065"/>
    <cellStyle name="常规 3 3 3 3 2" xfId="220"/>
    <cellStyle name="常规 3 3 3 3 2 2" xfId="618"/>
    <cellStyle name="常规 3 3 3 3 2 2 2" xfId="1402"/>
    <cellStyle name="常规 3 3 3 3 2 2 2 2" xfId="4538"/>
    <cellStyle name="常规 3 3 3 3 2 2 2 2 2" xfId="13958"/>
    <cellStyle name="常规 3 3 3 3 2 2 2 2 2 2" xfId="32806"/>
    <cellStyle name="常规 3 3 3 3 2 2 2 2 3" xfId="23382"/>
    <cellStyle name="常规 3 3 3 3 2 2 2 3" xfId="7674"/>
    <cellStyle name="常规 3 3 3 3 2 2 2 3 2" xfId="17094"/>
    <cellStyle name="常规 3 3 3 3 2 2 2 3 2 2" xfId="35942"/>
    <cellStyle name="常规 3 3 3 3 2 2 2 3 3" xfId="26518"/>
    <cellStyle name="常规 3 3 3 3 2 2 2 4" xfId="10822"/>
    <cellStyle name="常规 3 3 3 3 2 2 2 4 2" xfId="29670"/>
    <cellStyle name="常规 3 3 3 3 2 2 2 5" xfId="20246"/>
    <cellStyle name="常规 3 3 3 3 2 2 3" xfId="2186"/>
    <cellStyle name="常规 3 3 3 3 2 2 3 2" xfId="5322"/>
    <cellStyle name="常规 3 3 3 3 2 2 3 2 2" xfId="14742"/>
    <cellStyle name="常规 3 3 3 3 2 2 3 2 2 2" xfId="33590"/>
    <cellStyle name="常规 3 3 3 3 2 2 3 2 3" xfId="24166"/>
    <cellStyle name="常规 3 3 3 3 2 2 3 3" xfId="8458"/>
    <cellStyle name="常规 3 3 3 3 2 2 3 3 2" xfId="17878"/>
    <cellStyle name="常规 3 3 3 3 2 2 3 3 2 2" xfId="36726"/>
    <cellStyle name="常规 3 3 3 3 2 2 3 3 3" xfId="27302"/>
    <cellStyle name="常规 3 3 3 3 2 2 3 4" xfId="11606"/>
    <cellStyle name="常规 3 3 3 3 2 2 3 4 2" xfId="30454"/>
    <cellStyle name="常规 3 3 3 3 2 2 3 5" xfId="21030"/>
    <cellStyle name="常规 3 3 3 3 2 2 4" xfId="2970"/>
    <cellStyle name="常规 3 3 3 3 2 2 4 2" xfId="6106"/>
    <cellStyle name="常规 3 3 3 3 2 2 4 2 2" xfId="15526"/>
    <cellStyle name="常规 3 3 3 3 2 2 4 2 2 2" xfId="34374"/>
    <cellStyle name="常规 3 3 3 3 2 2 4 2 3" xfId="24950"/>
    <cellStyle name="常规 3 3 3 3 2 2 4 3" xfId="9242"/>
    <cellStyle name="常规 3 3 3 3 2 2 4 3 2" xfId="18662"/>
    <cellStyle name="常规 3 3 3 3 2 2 4 3 2 2" xfId="37510"/>
    <cellStyle name="常规 3 3 3 3 2 2 4 3 3" xfId="28086"/>
    <cellStyle name="常规 3 3 3 3 2 2 4 4" xfId="12390"/>
    <cellStyle name="常规 3 3 3 3 2 2 4 4 2" xfId="31238"/>
    <cellStyle name="常规 3 3 3 3 2 2 4 5" xfId="21814"/>
    <cellStyle name="常规 3 3 3 3 2 2 5" xfId="3754"/>
    <cellStyle name="常规 3 3 3 3 2 2 5 2" xfId="13174"/>
    <cellStyle name="常规 3 3 3 3 2 2 5 2 2" xfId="32022"/>
    <cellStyle name="常规 3 3 3 3 2 2 5 3" xfId="22598"/>
    <cellStyle name="常规 3 3 3 3 2 2 6" xfId="6890"/>
    <cellStyle name="常规 3 3 3 3 2 2 6 2" xfId="16310"/>
    <cellStyle name="常规 3 3 3 3 2 2 6 2 2" xfId="35158"/>
    <cellStyle name="常规 3 3 3 3 2 2 6 3" xfId="25734"/>
    <cellStyle name="常规 3 3 3 3 2 2 7" xfId="10038"/>
    <cellStyle name="常规 3 3 3 3 2 2 7 2" xfId="28886"/>
    <cellStyle name="常规 3 3 3 3 2 2 8" xfId="19462"/>
    <cellStyle name="常规 3 3 3 3 2 3" xfId="1008"/>
    <cellStyle name="常规 3 3 3 3 2 3 2" xfId="4144"/>
    <cellStyle name="常规 3 3 3 3 2 3 2 2" xfId="13564"/>
    <cellStyle name="常规 3 3 3 3 2 3 2 2 2" xfId="32412"/>
    <cellStyle name="常规 3 3 3 3 2 3 2 3" xfId="22988"/>
    <cellStyle name="常规 3 3 3 3 2 3 3" xfId="7280"/>
    <cellStyle name="常规 3 3 3 3 2 3 3 2" xfId="16700"/>
    <cellStyle name="常规 3 3 3 3 2 3 3 2 2" xfId="35548"/>
    <cellStyle name="常规 3 3 3 3 2 3 3 3" xfId="26124"/>
    <cellStyle name="常规 3 3 3 3 2 3 4" xfId="10428"/>
    <cellStyle name="常规 3 3 3 3 2 3 4 2" xfId="29276"/>
    <cellStyle name="常规 3 3 3 3 2 3 5" xfId="19852"/>
    <cellStyle name="常规 3 3 3 3 2 4" xfId="1792"/>
    <cellStyle name="常规 3 3 3 3 2 4 2" xfId="4928"/>
    <cellStyle name="常规 3 3 3 3 2 4 2 2" xfId="14348"/>
    <cellStyle name="常规 3 3 3 3 2 4 2 2 2" xfId="33196"/>
    <cellStyle name="常规 3 3 3 3 2 4 2 3" xfId="23772"/>
    <cellStyle name="常规 3 3 3 3 2 4 3" xfId="8064"/>
    <cellStyle name="常规 3 3 3 3 2 4 3 2" xfId="17484"/>
    <cellStyle name="常规 3 3 3 3 2 4 3 2 2" xfId="36332"/>
    <cellStyle name="常规 3 3 3 3 2 4 3 3" xfId="26908"/>
    <cellStyle name="常规 3 3 3 3 2 4 4" xfId="11212"/>
    <cellStyle name="常规 3 3 3 3 2 4 4 2" xfId="30060"/>
    <cellStyle name="常规 3 3 3 3 2 4 5" xfId="20636"/>
    <cellStyle name="常规 3 3 3 3 2 5" xfId="2576"/>
    <cellStyle name="常规 3 3 3 3 2 5 2" xfId="5712"/>
    <cellStyle name="常规 3 3 3 3 2 5 2 2" xfId="15132"/>
    <cellStyle name="常规 3 3 3 3 2 5 2 2 2" xfId="33980"/>
    <cellStyle name="常规 3 3 3 3 2 5 2 3" xfId="24556"/>
    <cellStyle name="常规 3 3 3 3 2 5 3" xfId="8848"/>
    <cellStyle name="常规 3 3 3 3 2 5 3 2" xfId="18268"/>
    <cellStyle name="常规 3 3 3 3 2 5 3 2 2" xfId="37116"/>
    <cellStyle name="常规 3 3 3 3 2 5 3 3" xfId="27692"/>
    <cellStyle name="常规 3 3 3 3 2 5 4" xfId="11996"/>
    <cellStyle name="常规 3 3 3 3 2 5 4 2" xfId="30844"/>
    <cellStyle name="常规 3 3 3 3 2 5 5" xfId="21420"/>
    <cellStyle name="常规 3 3 3 3 2 6" xfId="3401"/>
    <cellStyle name="常规 3 3 3 3 2 6 2" xfId="12821"/>
    <cellStyle name="常规 3 3 3 3 2 6 2 2" xfId="31669"/>
    <cellStyle name="常规 3 3 3 3 2 6 3" xfId="22245"/>
    <cellStyle name="常规 3 3 3 3 2 7" xfId="6496"/>
    <cellStyle name="常规 3 3 3 3 2 7 2" xfId="15916"/>
    <cellStyle name="常规 3 3 3 3 2 7 2 2" xfId="34764"/>
    <cellStyle name="常规 3 3 3 3 2 7 3" xfId="25340"/>
    <cellStyle name="常规 3 3 3 3 2 8" xfId="9643"/>
    <cellStyle name="常规 3 3 3 3 2 8 2" xfId="28488"/>
    <cellStyle name="常规 3 3 3 3 2 9" xfId="19066"/>
    <cellStyle name="常规 3 3 3 3 3" xfId="617"/>
    <cellStyle name="常规 3 3 3 3 3 2" xfId="1401"/>
    <cellStyle name="常规 3 3 3 3 3 2 2" xfId="4537"/>
    <cellStyle name="常规 3 3 3 3 3 2 2 2" xfId="13957"/>
    <cellStyle name="常规 3 3 3 3 3 2 2 2 2" xfId="32805"/>
    <cellStyle name="常规 3 3 3 3 3 2 2 3" xfId="23381"/>
    <cellStyle name="常规 3 3 3 3 3 2 3" xfId="7673"/>
    <cellStyle name="常规 3 3 3 3 3 2 3 2" xfId="17093"/>
    <cellStyle name="常规 3 3 3 3 3 2 3 2 2" xfId="35941"/>
    <cellStyle name="常规 3 3 3 3 3 2 3 3" xfId="26517"/>
    <cellStyle name="常规 3 3 3 3 3 2 4" xfId="10821"/>
    <cellStyle name="常规 3 3 3 3 3 2 4 2" xfId="29669"/>
    <cellStyle name="常规 3 3 3 3 3 2 5" xfId="20245"/>
    <cellStyle name="常规 3 3 3 3 3 3" xfId="2185"/>
    <cellStyle name="常规 3 3 3 3 3 3 2" xfId="5321"/>
    <cellStyle name="常规 3 3 3 3 3 3 2 2" xfId="14741"/>
    <cellStyle name="常规 3 3 3 3 3 3 2 2 2" xfId="33589"/>
    <cellStyle name="常规 3 3 3 3 3 3 2 3" xfId="24165"/>
    <cellStyle name="常规 3 3 3 3 3 3 3" xfId="8457"/>
    <cellStyle name="常规 3 3 3 3 3 3 3 2" xfId="17877"/>
    <cellStyle name="常规 3 3 3 3 3 3 3 2 2" xfId="36725"/>
    <cellStyle name="常规 3 3 3 3 3 3 3 3" xfId="27301"/>
    <cellStyle name="常规 3 3 3 3 3 3 4" xfId="11605"/>
    <cellStyle name="常规 3 3 3 3 3 3 4 2" xfId="30453"/>
    <cellStyle name="常规 3 3 3 3 3 3 5" xfId="21029"/>
    <cellStyle name="常规 3 3 3 3 3 4" xfId="2969"/>
    <cellStyle name="常规 3 3 3 3 3 4 2" xfId="6105"/>
    <cellStyle name="常规 3 3 3 3 3 4 2 2" xfId="15525"/>
    <cellStyle name="常规 3 3 3 3 3 4 2 2 2" xfId="34373"/>
    <cellStyle name="常规 3 3 3 3 3 4 2 3" xfId="24949"/>
    <cellStyle name="常规 3 3 3 3 3 4 3" xfId="9241"/>
    <cellStyle name="常规 3 3 3 3 3 4 3 2" xfId="18661"/>
    <cellStyle name="常规 3 3 3 3 3 4 3 2 2" xfId="37509"/>
    <cellStyle name="常规 3 3 3 3 3 4 3 3" xfId="28085"/>
    <cellStyle name="常规 3 3 3 3 3 4 4" xfId="12389"/>
    <cellStyle name="常规 3 3 3 3 3 4 4 2" xfId="31237"/>
    <cellStyle name="常规 3 3 3 3 3 4 5" xfId="21813"/>
    <cellStyle name="常规 3 3 3 3 3 5" xfId="3753"/>
    <cellStyle name="常规 3 3 3 3 3 5 2" xfId="13173"/>
    <cellStyle name="常规 3 3 3 3 3 5 2 2" xfId="32021"/>
    <cellStyle name="常规 3 3 3 3 3 5 3" xfId="22597"/>
    <cellStyle name="常规 3 3 3 3 3 6" xfId="6889"/>
    <cellStyle name="常规 3 3 3 3 3 6 2" xfId="16309"/>
    <cellStyle name="常规 3 3 3 3 3 6 2 2" xfId="35157"/>
    <cellStyle name="常规 3 3 3 3 3 6 3" xfId="25733"/>
    <cellStyle name="常规 3 3 3 3 3 7" xfId="10037"/>
    <cellStyle name="常规 3 3 3 3 3 7 2" xfId="28885"/>
    <cellStyle name="常规 3 3 3 3 3 8" xfId="19461"/>
    <cellStyle name="常规 3 3 3 3 4" xfId="1007"/>
    <cellStyle name="常规 3 3 3 3 4 2" xfId="4143"/>
    <cellStyle name="常规 3 3 3 3 4 2 2" xfId="13563"/>
    <cellStyle name="常规 3 3 3 3 4 2 2 2" xfId="32411"/>
    <cellStyle name="常规 3 3 3 3 4 2 3" xfId="22987"/>
    <cellStyle name="常规 3 3 3 3 4 3" xfId="7279"/>
    <cellStyle name="常规 3 3 3 3 4 3 2" xfId="16699"/>
    <cellStyle name="常规 3 3 3 3 4 3 2 2" xfId="35547"/>
    <cellStyle name="常规 3 3 3 3 4 3 3" xfId="26123"/>
    <cellStyle name="常规 3 3 3 3 4 4" xfId="10427"/>
    <cellStyle name="常规 3 3 3 3 4 4 2" xfId="29275"/>
    <cellStyle name="常规 3 3 3 3 4 5" xfId="19851"/>
    <cellStyle name="常规 3 3 3 3 5" xfId="1791"/>
    <cellStyle name="常规 3 3 3 3 5 2" xfId="4927"/>
    <cellStyle name="常规 3 3 3 3 5 2 2" xfId="14347"/>
    <cellStyle name="常规 3 3 3 3 5 2 2 2" xfId="33195"/>
    <cellStyle name="常规 3 3 3 3 5 2 3" xfId="23771"/>
    <cellStyle name="常规 3 3 3 3 5 3" xfId="8063"/>
    <cellStyle name="常规 3 3 3 3 5 3 2" xfId="17483"/>
    <cellStyle name="常规 3 3 3 3 5 3 2 2" xfId="36331"/>
    <cellStyle name="常规 3 3 3 3 5 3 3" xfId="26907"/>
    <cellStyle name="常规 3 3 3 3 5 4" xfId="11211"/>
    <cellStyle name="常规 3 3 3 3 5 4 2" xfId="30059"/>
    <cellStyle name="常规 3 3 3 3 5 5" xfId="20635"/>
    <cellStyle name="常规 3 3 3 3 6" xfId="2575"/>
    <cellStyle name="常规 3 3 3 3 6 2" xfId="5711"/>
    <cellStyle name="常规 3 3 3 3 6 2 2" xfId="15131"/>
    <cellStyle name="常规 3 3 3 3 6 2 2 2" xfId="33979"/>
    <cellStyle name="常规 3 3 3 3 6 2 3" xfId="24555"/>
    <cellStyle name="常规 3 3 3 3 6 3" xfId="8847"/>
    <cellStyle name="常规 3 3 3 3 6 3 2" xfId="18267"/>
    <cellStyle name="常规 3 3 3 3 6 3 2 2" xfId="37115"/>
    <cellStyle name="常规 3 3 3 3 6 3 3" xfId="27691"/>
    <cellStyle name="常规 3 3 3 3 6 4" xfId="11995"/>
    <cellStyle name="常规 3 3 3 3 6 4 2" xfId="30843"/>
    <cellStyle name="常规 3 3 3 3 6 5" xfId="21419"/>
    <cellStyle name="常规 3 3 3 3 7" xfId="3400"/>
    <cellStyle name="常规 3 3 3 3 7 2" xfId="12820"/>
    <cellStyle name="常规 3 3 3 3 7 2 2" xfId="31668"/>
    <cellStyle name="常规 3 3 3 3 7 3" xfId="22244"/>
    <cellStyle name="常规 3 3 3 3 8" xfId="6495"/>
    <cellStyle name="常规 3 3 3 3 8 2" xfId="15915"/>
    <cellStyle name="常规 3 3 3 3 8 2 2" xfId="34763"/>
    <cellStyle name="常规 3 3 3 3 8 3" xfId="25339"/>
    <cellStyle name="常规 3 3 3 3 9" xfId="9642"/>
    <cellStyle name="常规 3 3 3 3 9 2" xfId="28487"/>
    <cellStyle name="常规 3 3 3 4" xfId="221"/>
    <cellStyle name="常规 3 3 3 4 2" xfId="619"/>
    <cellStyle name="常规 3 3 3 4 2 2" xfId="1403"/>
    <cellStyle name="常规 3 3 3 4 2 2 2" xfId="4539"/>
    <cellStyle name="常规 3 3 3 4 2 2 2 2" xfId="13959"/>
    <cellStyle name="常规 3 3 3 4 2 2 2 2 2" xfId="32807"/>
    <cellStyle name="常规 3 3 3 4 2 2 2 3" xfId="23383"/>
    <cellStyle name="常规 3 3 3 4 2 2 3" xfId="7675"/>
    <cellStyle name="常规 3 3 3 4 2 2 3 2" xfId="17095"/>
    <cellStyle name="常规 3 3 3 4 2 2 3 2 2" xfId="35943"/>
    <cellStyle name="常规 3 3 3 4 2 2 3 3" xfId="26519"/>
    <cellStyle name="常规 3 3 3 4 2 2 4" xfId="10823"/>
    <cellStyle name="常规 3 3 3 4 2 2 4 2" xfId="29671"/>
    <cellStyle name="常规 3 3 3 4 2 2 5" xfId="20247"/>
    <cellStyle name="常规 3 3 3 4 2 3" xfId="2187"/>
    <cellStyle name="常规 3 3 3 4 2 3 2" xfId="5323"/>
    <cellStyle name="常规 3 3 3 4 2 3 2 2" xfId="14743"/>
    <cellStyle name="常规 3 3 3 4 2 3 2 2 2" xfId="33591"/>
    <cellStyle name="常规 3 3 3 4 2 3 2 3" xfId="24167"/>
    <cellStyle name="常规 3 3 3 4 2 3 3" xfId="8459"/>
    <cellStyle name="常规 3 3 3 4 2 3 3 2" xfId="17879"/>
    <cellStyle name="常规 3 3 3 4 2 3 3 2 2" xfId="36727"/>
    <cellStyle name="常规 3 3 3 4 2 3 3 3" xfId="27303"/>
    <cellStyle name="常规 3 3 3 4 2 3 4" xfId="11607"/>
    <cellStyle name="常规 3 3 3 4 2 3 4 2" xfId="30455"/>
    <cellStyle name="常规 3 3 3 4 2 3 5" xfId="21031"/>
    <cellStyle name="常规 3 3 3 4 2 4" xfId="2971"/>
    <cellStyle name="常规 3 3 3 4 2 4 2" xfId="6107"/>
    <cellStyle name="常规 3 3 3 4 2 4 2 2" xfId="15527"/>
    <cellStyle name="常规 3 3 3 4 2 4 2 2 2" xfId="34375"/>
    <cellStyle name="常规 3 3 3 4 2 4 2 3" xfId="24951"/>
    <cellStyle name="常规 3 3 3 4 2 4 3" xfId="9243"/>
    <cellStyle name="常规 3 3 3 4 2 4 3 2" xfId="18663"/>
    <cellStyle name="常规 3 3 3 4 2 4 3 2 2" xfId="37511"/>
    <cellStyle name="常规 3 3 3 4 2 4 3 3" xfId="28087"/>
    <cellStyle name="常规 3 3 3 4 2 4 4" xfId="12391"/>
    <cellStyle name="常规 3 3 3 4 2 4 4 2" xfId="31239"/>
    <cellStyle name="常规 3 3 3 4 2 4 5" xfId="21815"/>
    <cellStyle name="常规 3 3 3 4 2 5" xfId="3755"/>
    <cellStyle name="常规 3 3 3 4 2 5 2" xfId="13175"/>
    <cellStyle name="常规 3 3 3 4 2 5 2 2" xfId="32023"/>
    <cellStyle name="常规 3 3 3 4 2 5 3" xfId="22599"/>
    <cellStyle name="常规 3 3 3 4 2 6" xfId="6891"/>
    <cellStyle name="常规 3 3 3 4 2 6 2" xfId="16311"/>
    <cellStyle name="常规 3 3 3 4 2 6 2 2" xfId="35159"/>
    <cellStyle name="常规 3 3 3 4 2 6 3" xfId="25735"/>
    <cellStyle name="常规 3 3 3 4 2 7" xfId="10039"/>
    <cellStyle name="常规 3 3 3 4 2 7 2" xfId="28887"/>
    <cellStyle name="常规 3 3 3 4 2 8" xfId="19463"/>
    <cellStyle name="常规 3 3 3 4 3" xfId="1009"/>
    <cellStyle name="常规 3 3 3 4 3 2" xfId="4145"/>
    <cellStyle name="常规 3 3 3 4 3 2 2" xfId="13565"/>
    <cellStyle name="常规 3 3 3 4 3 2 2 2" xfId="32413"/>
    <cellStyle name="常规 3 3 3 4 3 2 3" xfId="22989"/>
    <cellStyle name="常规 3 3 3 4 3 3" xfId="7281"/>
    <cellStyle name="常规 3 3 3 4 3 3 2" xfId="16701"/>
    <cellStyle name="常规 3 3 3 4 3 3 2 2" xfId="35549"/>
    <cellStyle name="常规 3 3 3 4 3 3 3" xfId="26125"/>
    <cellStyle name="常规 3 3 3 4 3 4" xfId="10429"/>
    <cellStyle name="常规 3 3 3 4 3 4 2" xfId="29277"/>
    <cellStyle name="常规 3 3 3 4 3 5" xfId="19853"/>
    <cellStyle name="常规 3 3 3 4 4" xfId="1793"/>
    <cellStyle name="常规 3 3 3 4 4 2" xfId="4929"/>
    <cellStyle name="常规 3 3 3 4 4 2 2" xfId="14349"/>
    <cellStyle name="常规 3 3 3 4 4 2 2 2" xfId="33197"/>
    <cellStyle name="常规 3 3 3 4 4 2 3" xfId="23773"/>
    <cellStyle name="常规 3 3 3 4 4 3" xfId="8065"/>
    <cellStyle name="常规 3 3 3 4 4 3 2" xfId="17485"/>
    <cellStyle name="常规 3 3 3 4 4 3 2 2" xfId="36333"/>
    <cellStyle name="常规 3 3 3 4 4 3 3" xfId="26909"/>
    <cellStyle name="常规 3 3 3 4 4 4" xfId="11213"/>
    <cellStyle name="常规 3 3 3 4 4 4 2" xfId="30061"/>
    <cellStyle name="常规 3 3 3 4 4 5" xfId="20637"/>
    <cellStyle name="常规 3 3 3 4 5" xfId="2577"/>
    <cellStyle name="常规 3 3 3 4 5 2" xfId="5713"/>
    <cellStyle name="常规 3 3 3 4 5 2 2" xfId="15133"/>
    <cellStyle name="常规 3 3 3 4 5 2 2 2" xfId="33981"/>
    <cellStyle name="常规 3 3 3 4 5 2 3" xfId="24557"/>
    <cellStyle name="常规 3 3 3 4 5 3" xfId="8849"/>
    <cellStyle name="常规 3 3 3 4 5 3 2" xfId="18269"/>
    <cellStyle name="常规 3 3 3 4 5 3 2 2" xfId="37117"/>
    <cellStyle name="常规 3 3 3 4 5 3 3" xfId="27693"/>
    <cellStyle name="常规 3 3 3 4 5 4" xfId="11997"/>
    <cellStyle name="常规 3 3 3 4 5 4 2" xfId="30845"/>
    <cellStyle name="常规 3 3 3 4 5 5" xfId="21421"/>
    <cellStyle name="常规 3 3 3 4 6" xfId="3402"/>
    <cellStyle name="常规 3 3 3 4 6 2" xfId="12822"/>
    <cellStyle name="常规 3 3 3 4 6 2 2" xfId="31670"/>
    <cellStyle name="常规 3 3 3 4 6 3" xfId="22246"/>
    <cellStyle name="常规 3 3 3 4 7" xfId="6497"/>
    <cellStyle name="常规 3 3 3 4 7 2" xfId="15917"/>
    <cellStyle name="常规 3 3 3 4 7 2 2" xfId="34765"/>
    <cellStyle name="常规 3 3 3 4 7 3" xfId="25341"/>
    <cellStyle name="常规 3 3 3 4 8" xfId="9644"/>
    <cellStyle name="常规 3 3 3 4 8 2" xfId="28489"/>
    <cellStyle name="常规 3 3 3 4 9" xfId="19067"/>
    <cellStyle name="常规 3 3 3 5" xfId="612"/>
    <cellStyle name="常规 3 3 3 5 2" xfId="1396"/>
    <cellStyle name="常规 3 3 3 5 2 2" xfId="4532"/>
    <cellStyle name="常规 3 3 3 5 2 2 2" xfId="13952"/>
    <cellStyle name="常规 3 3 3 5 2 2 2 2" xfId="32800"/>
    <cellStyle name="常规 3 3 3 5 2 2 3" xfId="23376"/>
    <cellStyle name="常规 3 3 3 5 2 3" xfId="7668"/>
    <cellStyle name="常规 3 3 3 5 2 3 2" xfId="17088"/>
    <cellStyle name="常规 3 3 3 5 2 3 2 2" xfId="35936"/>
    <cellStyle name="常规 3 3 3 5 2 3 3" xfId="26512"/>
    <cellStyle name="常规 3 3 3 5 2 4" xfId="10816"/>
    <cellStyle name="常规 3 3 3 5 2 4 2" xfId="29664"/>
    <cellStyle name="常规 3 3 3 5 2 5" xfId="20240"/>
    <cellStyle name="常规 3 3 3 5 3" xfId="2180"/>
    <cellStyle name="常规 3 3 3 5 3 2" xfId="5316"/>
    <cellStyle name="常规 3 3 3 5 3 2 2" xfId="14736"/>
    <cellStyle name="常规 3 3 3 5 3 2 2 2" xfId="33584"/>
    <cellStyle name="常规 3 3 3 5 3 2 3" xfId="24160"/>
    <cellStyle name="常规 3 3 3 5 3 3" xfId="8452"/>
    <cellStyle name="常规 3 3 3 5 3 3 2" xfId="17872"/>
    <cellStyle name="常规 3 3 3 5 3 3 2 2" xfId="36720"/>
    <cellStyle name="常规 3 3 3 5 3 3 3" xfId="27296"/>
    <cellStyle name="常规 3 3 3 5 3 4" xfId="11600"/>
    <cellStyle name="常规 3 3 3 5 3 4 2" xfId="30448"/>
    <cellStyle name="常规 3 3 3 5 3 5" xfId="21024"/>
    <cellStyle name="常规 3 3 3 5 4" xfId="2964"/>
    <cellStyle name="常规 3 3 3 5 4 2" xfId="6100"/>
    <cellStyle name="常规 3 3 3 5 4 2 2" xfId="15520"/>
    <cellStyle name="常规 3 3 3 5 4 2 2 2" xfId="34368"/>
    <cellStyle name="常规 3 3 3 5 4 2 3" xfId="24944"/>
    <cellStyle name="常规 3 3 3 5 4 3" xfId="9236"/>
    <cellStyle name="常规 3 3 3 5 4 3 2" xfId="18656"/>
    <cellStyle name="常规 3 3 3 5 4 3 2 2" xfId="37504"/>
    <cellStyle name="常规 3 3 3 5 4 3 3" xfId="28080"/>
    <cellStyle name="常规 3 3 3 5 4 4" xfId="12384"/>
    <cellStyle name="常规 3 3 3 5 4 4 2" xfId="31232"/>
    <cellStyle name="常规 3 3 3 5 4 5" xfId="21808"/>
    <cellStyle name="常规 3 3 3 5 5" xfId="3748"/>
    <cellStyle name="常规 3 3 3 5 5 2" xfId="13168"/>
    <cellStyle name="常规 3 3 3 5 5 2 2" xfId="32016"/>
    <cellStyle name="常规 3 3 3 5 5 3" xfId="22592"/>
    <cellStyle name="常规 3 3 3 5 6" xfId="6884"/>
    <cellStyle name="常规 3 3 3 5 6 2" xfId="16304"/>
    <cellStyle name="常规 3 3 3 5 6 2 2" xfId="35152"/>
    <cellStyle name="常规 3 3 3 5 6 3" xfId="25728"/>
    <cellStyle name="常规 3 3 3 5 7" xfId="10032"/>
    <cellStyle name="常规 3 3 3 5 7 2" xfId="28880"/>
    <cellStyle name="常规 3 3 3 5 8" xfId="19456"/>
    <cellStyle name="常规 3 3 3 6" xfId="1002"/>
    <cellStyle name="常规 3 3 3 6 2" xfId="4138"/>
    <cellStyle name="常规 3 3 3 6 2 2" xfId="13558"/>
    <cellStyle name="常规 3 3 3 6 2 2 2" xfId="32406"/>
    <cellStyle name="常规 3 3 3 6 2 3" xfId="22982"/>
    <cellStyle name="常规 3 3 3 6 3" xfId="7274"/>
    <cellStyle name="常规 3 3 3 6 3 2" xfId="16694"/>
    <cellStyle name="常规 3 3 3 6 3 2 2" xfId="35542"/>
    <cellStyle name="常规 3 3 3 6 3 3" xfId="26118"/>
    <cellStyle name="常规 3 3 3 6 4" xfId="10422"/>
    <cellStyle name="常规 3 3 3 6 4 2" xfId="29270"/>
    <cellStyle name="常规 3 3 3 6 5" xfId="19846"/>
    <cellStyle name="常规 3 3 3 7" xfId="1786"/>
    <cellStyle name="常规 3 3 3 7 2" xfId="4922"/>
    <cellStyle name="常规 3 3 3 7 2 2" xfId="14342"/>
    <cellStyle name="常规 3 3 3 7 2 2 2" xfId="33190"/>
    <cellStyle name="常规 3 3 3 7 2 3" xfId="23766"/>
    <cellStyle name="常规 3 3 3 7 3" xfId="8058"/>
    <cellStyle name="常规 3 3 3 7 3 2" xfId="17478"/>
    <cellStyle name="常规 3 3 3 7 3 2 2" xfId="36326"/>
    <cellStyle name="常规 3 3 3 7 3 3" xfId="26902"/>
    <cellStyle name="常规 3 3 3 7 4" xfId="11206"/>
    <cellStyle name="常规 3 3 3 7 4 2" xfId="30054"/>
    <cellStyle name="常规 3 3 3 7 5" xfId="20630"/>
    <cellStyle name="常规 3 3 3 8" xfId="2570"/>
    <cellStyle name="常规 3 3 3 8 2" xfId="5706"/>
    <cellStyle name="常规 3 3 3 8 2 2" xfId="15126"/>
    <cellStyle name="常规 3 3 3 8 2 2 2" xfId="33974"/>
    <cellStyle name="常规 3 3 3 8 2 3" xfId="24550"/>
    <cellStyle name="常规 3 3 3 8 3" xfId="8842"/>
    <cellStyle name="常规 3 3 3 8 3 2" xfId="18262"/>
    <cellStyle name="常规 3 3 3 8 3 2 2" xfId="37110"/>
    <cellStyle name="常规 3 3 3 8 3 3" xfId="27686"/>
    <cellStyle name="常规 3 3 3 8 4" xfId="11990"/>
    <cellStyle name="常规 3 3 3 8 4 2" xfId="30838"/>
    <cellStyle name="常规 3 3 3 8 5" xfId="21414"/>
    <cellStyle name="常规 3 3 3 9" xfId="3172"/>
    <cellStyle name="常规 3 3 3 9 2" xfId="12592"/>
    <cellStyle name="常规 3 3 3 9 2 2" xfId="31440"/>
    <cellStyle name="常规 3 3 3 9 3" xfId="22016"/>
    <cellStyle name="常规 3 3 4" xfId="222"/>
    <cellStyle name="常规 3 3 4 10" xfId="9645"/>
    <cellStyle name="常规 3 3 4 10 2" xfId="28490"/>
    <cellStyle name="常规 3 3 4 11" xfId="19068"/>
    <cellStyle name="常规 3 3 4 2" xfId="223"/>
    <cellStyle name="常规 3 3 4 2 10" xfId="19069"/>
    <cellStyle name="常规 3 3 4 2 2" xfId="224"/>
    <cellStyle name="常规 3 3 4 2 2 2" xfId="622"/>
    <cellStyle name="常规 3 3 4 2 2 2 2" xfId="1406"/>
    <cellStyle name="常规 3 3 4 2 2 2 2 2" xfId="4542"/>
    <cellStyle name="常规 3 3 4 2 2 2 2 2 2" xfId="13962"/>
    <cellStyle name="常规 3 3 4 2 2 2 2 2 2 2" xfId="32810"/>
    <cellStyle name="常规 3 3 4 2 2 2 2 2 3" xfId="23386"/>
    <cellStyle name="常规 3 3 4 2 2 2 2 3" xfId="7678"/>
    <cellStyle name="常规 3 3 4 2 2 2 2 3 2" xfId="17098"/>
    <cellStyle name="常规 3 3 4 2 2 2 2 3 2 2" xfId="35946"/>
    <cellStyle name="常规 3 3 4 2 2 2 2 3 3" xfId="26522"/>
    <cellStyle name="常规 3 3 4 2 2 2 2 4" xfId="10826"/>
    <cellStyle name="常规 3 3 4 2 2 2 2 4 2" xfId="29674"/>
    <cellStyle name="常规 3 3 4 2 2 2 2 5" xfId="20250"/>
    <cellStyle name="常规 3 3 4 2 2 2 3" xfId="2190"/>
    <cellStyle name="常规 3 3 4 2 2 2 3 2" xfId="5326"/>
    <cellStyle name="常规 3 3 4 2 2 2 3 2 2" xfId="14746"/>
    <cellStyle name="常规 3 3 4 2 2 2 3 2 2 2" xfId="33594"/>
    <cellStyle name="常规 3 3 4 2 2 2 3 2 3" xfId="24170"/>
    <cellStyle name="常规 3 3 4 2 2 2 3 3" xfId="8462"/>
    <cellStyle name="常规 3 3 4 2 2 2 3 3 2" xfId="17882"/>
    <cellStyle name="常规 3 3 4 2 2 2 3 3 2 2" xfId="36730"/>
    <cellStyle name="常规 3 3 4 2 2 2 3 3 3" xfId="27306"/>
    <cellStyle name="常规 3 3 4 2 2 2 3 4" xfId="11610"/>
    <cellStyle name="常规 3 3 4 2 2 2 3 4 2" xfId="30458"/>
    <cellStyle name="常规 3 3 4 2 2 2 3 5" xfId="21034"/>
    <cellStyle name="常规 3 3 4 2 2 2 4" xfId="2974"/>
    <cellStyle name="常规 3 3 4 2 2 2 4 2" xfId="6110"/>
    <cellStyle name="常规 3 3 4 2 2 2 4 2 2" xfId="15530"/>
    <cellStyle name="常规 3 3 4 2 2 2 4 2 2 2" xfId="34378"/>
    <cellStyle name="常规 3 3 4 2 2 2 4 2 3" xfId="24954"/>
    <cellStyle name="常规 3 3 4 2 2 2 4 3" xfId="9246"/>
    <cellStyle name="常规 3 3 4 2 2 2 4 3 2" xfId="18666"/>
    <cellStyle name="常规 3 3 4 2 2 2 4 3 2 2" xfId="37514"/>
    <cellStyle name="常规 3 3 4 2 2 2 4 3 3" xfId="28090"/>
    <cellStyle name="常规 3 3 4 2 2 2 4 4" xfId="12394"/>
    <cellStyle name="常规 3 3 4 2 2 2 4 4 2" xfId="31242"/>
    <cellStyle name="常规 3 3 4 2 2 2 4 5" xfId="21818"/>
    <cellStyle name="常规 3 3 4 2 2 2 5" xfId="3758"/>
    <cellStyle name="常规 3 3 4 2 2 2 5 2" xfId="13178"/>
    <cellStyle name="常规 3 3 4 2 2 2 5 2 2" xfId="32026"/>
    <cellStyle name="常规 3 3 4 2 2 2 5 3" xfId="22602"/>
    <cellStyle name="常规 3 3 4 2 2 2 6" xfId="6894"/>
    <cellStyle name="常规 3 3 4 2 2 2 6 2" xfId="16314"/>
    <cellStyle name="常规 3 3 4 2 2 2 6 2 2" xfId="35162"/>
    <cellStyle name="常规 3 3 4 2 2 2 6 3" xfId="25738"/>
    <cellStyle name="常规 3 3 4 2 2 2 7" xfId="10042"/>
    <cellStyle name="常规 3 3 4 2 2 2 7 2" xfId="28890"/>
    <cellStyle name="常规 3 3 4 2 2 2 8" xfId="19466"/>
    <cellStyle name="常规 3 3 4 2 2 3" xfId="1012"/>
    <cellStyle name="常规 3 3 4 2 2 3 2" xfId="4148"/>
    <cellStyle name="常规 3 3 4 2 2 3 2 2" xfId="13568"/>
    <cellStyle name="常规 3 3 4 2 2 3 2 2 2" xfId="32416"/>
    <cellStyle name="常规 3 3 4 2 2 3 2 3" xfId="22992"/>
    <cellStyle name="常规 3 3 4 2 2 3 3" xfId="7284"/>
    <cellStyle name="常规 3 3 4 2 2 3 3 2" xfId="16704"/>
    <cellStyle name="常规 3 3 4 2 2 3 3 2 2" xfId="35552"/>
    <cellStyle name="常规 3 3 4 2 2 3 3 3" xfId="26128"/>
    <cellStyle name="常规 3 3 4 2 2 3 4" xfId="10432"/>
    <cellStyle name="常规 3 3 4 2 2 3 4 2" xfId="29280"/>
    <cellStyle name="常规 3 3 4 2 2 3 5" xfId="19856"/>
    <cellStyle name="常规 3 3 4 2 2 4" xfId="1796"/>
    <cellStyle name="常规 3 3 4 2 2 4 2" xfId="4932"/>
    <cellStyle name="常规 3 3 4 2 2 4 2 2" xfId="14352"/>
    <cellStyle name="常规 3 3 4 2 2 4 2 2 2" xfId="33200"/>
    <cellStyle name="常规 3 3 4 2 2 4 2 3" xfId="23776"/>
    <cellStyle name="常规 3 3 4 2 2 4 3" xfId="8068"/>
    <cellStyle name="常规 3 3 4 2 2 4 3 2" xfId="17488"/>
    <cellStyle name="常规 3 3 4 2 2 4 3 2 2" xfId="36336"/>
    <cellStyle name="常规 3 3 4 2 2 4 3 3" xfId="26912"/>
    <cellStyle name="常规 3 3 4 2 2 4 4" xfId="11216"/>
    <cellStyle name="常规 3 3 4 2 2 4 4 2" xfId="30064"/>
    <cellStyle name="常规 3 3 4 2 2 4 5" xfId="20640"/>
    <cellStyle name="常规 3 3 4 2 2 5" xfId="2580"/>
    <cellStyle name="常规 3 3 4 2 2 5 2" xfId="5716"/>
    <cellStyle name="常规 3 3 4 2 2 5 2 2" xfId="15136"/>
    <cellStyle name="常规 3 3 4 2 2 5 2 2 2" xfId="33984"/>
    <cellStyle name="常规 3 3 4 2 2 5 2 3" xfId="24560"/>
    <cellStyle name="常规 3 3 4 2 2 5 3" xfId="8852"/>
    <cellStyle name="常规 3 3 4 2 2 5 3 2" xfId="18272"/>
    <cellStyle name="常规 3 3 4 2 2 5 3 2 2" xfId="37120"/>
    <cellStyle name="常规 3 3 4 2 2 5 3 3" xfId="27696"/>
    <cellStyle name="常规 3 3 4 2 2 5 4" xfId="12000"/>
    <cellStyle name="常规 3 3 4 2 2 5 4 2" xfId="30848"/>
    <cellStyle name="常规 3 3 4 2 2 5 5" xfId="21424"/>
    <cellStyle name="常规 3 3 4 2 2 6" xfId="3404"/>
    <cellStyle name="常规 3 3 4 2 2 6 2" xfId="12824"/>
    <cellStyle name="常规 3 3 4 2 2 6 2 2" xfId="31672"/>
    <cellStyle name="常规 3 3 4 2 2 6 3" xfId="22248"/>
    <cellStyle name="常规 3 3 4 2 2 7" xfId="6500"/>
    <cellStyle name="常规 3 3 4 2 2 7 2" xfId="15920"/>
    <cellStyle name="常规 3 3 4 2 2 7 2 2" xfId="34768"/>
    <cellStyle name="常规 3 3 4 2 2 7 3" xfId="25344"/>
    <cellStyle name="常规 3 3 4 2 2 8" xfId="9647"/>
    <cellStyle name="常规 3 3 4 2 2 8 2" xfId="28492"/>
    <cellStyle name="常规 3 3 4 2 2 9" xfId="19070"/>
    <cellStyle name="常规 3 3 4 2 3" xfId="621"/>
    <cellStyle name="常规 3 3 4 2 3 2" xfId="1405"/>
    <cellStyle name="常规 3 3 4 2 3 2 2" xfId="4541"/>
    <cellStyle name="常规 3 3 4 2 3 2 2 2" xfId="13961"/>
    <cellStyle name="常规 3 3 4 2 3 2 2 2 2" xfId="32809"/>
    <cellStyle name="常规 3 3 4 2 3 2 2 3" xfId="23385"/>
    <cellStyle name="常规 3 3 4 2 3 2 3" xfId="7677"/>
    <cellStyle name="常规 3 3 4 2 3 2 3 2" xfId="17097"/>
    <cellStyle name="常规 3 3 4 2 3 2 3 2 2" xfId="35945"/>
    <cellStyle name="常规 3 3 4 2 3 2 3 3" xfId="26521"/>
    <cellStyle name="常规 3 3 4 2 3 2 4" xfId="10825"/>
    <cellStyle name="常规 3 3 4 2 3 2 4 2" xfId="29673"/>
    <cellStyle name="常规 3 3 4 2 3 2 5" xfId="20249"/>
    <cellStyle name="常规 3 3 4 2 3 3" xfId="2189"/>
    <cellStyle name="常规 3 3 4 2 3 3 2" xfId="5325"/>
    <cellStyle name="常规 3 3 4 2 3 3 2 2" xfId="14745"/>
    <cellStyle name="常规 3 3 4 2 3 3 2 2 2" xfId="33593"/>
    <cellStyle name="常规 3 3 4 2 3 3 2 3" xfId="24169"/>
    <cellStyle name="常规 3 3 4 2 3 3 3" xfId="8461"/>
    <cellStyle name="常规 3 3 4 2 3 3 3 2" xfId="17881"/>
    <cellStyle name="常规 3 3 4 2 3 3 3 2 2" xfId="36729"/>
    <cellStyle name="常规 3 3 4 2 3 3 3 3" xfId="27305"/>
    <cellStyle name="常规 3 3 4 2 3 3 4" xfId="11609"/>
    <cellStyle name="常规 3 3 4 2 3 3 4 2" xfId="30457"/>
    <cellStyle name="常规 3 3 4 2 3 3 5" xfId="21033"/>
    <cellStyle name="常规 3 3 4 2 3 4" xfId="2973"/>
    <cellStyle name="常规 3 3 4 2 3 4 2" xfId="6109"/>
    <cellStyle name="常规 3 3 4 2 3 4 2 2" xfId="15529"/>
    <cellStyle name="常规 3 3 4 2 3 4 2 2 2" xfId="34377"/>
    <cellStyle name="常规 3 3 4 2 3 4 2 3" xfId="24953"/>
    <cellStyle name="常规 3 3 4 2 3 4 3" xfId="9245"/>
    <cellStyle name="常规 3 3 4 2 3 4 3 2" xfId="18665"/>
    <cellStyle name="常规 3 3 4 2 3 4 3 2 2" xfId="37513"/>
    <cellStyle name="常规 3 3 4 2 3 4 3 3" xfId="28089"/>
    <cellStyle name="常规 3 3 4 2 3 4 4" xfId="12393"/>
    <cellStyle name="常规 3 3 4 2 3 4 4 2" xfId="31241"/>
    <cellStyle name="常规 3 3 4 2 3 4 5" xfId="21817"/>
    <cellStyle name="常规 3 3 4 2 3 5" xfId="3757"/>
    <cellStyle name="常规 3 3 4 2 3 5 2" xfId="13177"/>
    <cellStyle name="常规 3 3 4 2 3 5 2 2" xfId="32025"/>
    <cellStyle name="常规 3 3 4 2 3 5 3" xfId="22601"/>
    <cellStyle name="常规 3 3 4 2 3 6" xfId="6893"/>
    <cellStyle name="常规 3 3 4 2 3 6 2" xfId="16313"/>
    <cellStyle name="常规 3 3 4 2 3 6 2 2" xfId="35161"/>
    <cellStyle name="常规 3 3 4 2 3 6 3" xfId="25737"/>
    <cellStyle name="常规 3 3 4 2 3 7" xfId="10041"/>
    <cellStyle name="常规 3 3 4 2 3 7 2" xfId="28889"/>
    <cellStyle name="常规 3 3 4 2 3 8" xfId="19465"/>
    <cellStyle name="常规 3 3 4 2 4" xfId="1011"/>
    <cellStyle name="常规 3 3 4 2 4 2" xfId="4147"/>
    <cellStyle name="常规 3 3 4 2 4 2 2" xfId="13567"/>
    <cellStyle name="常规 3 3 4 2 4 2 2 2" xfId="32415"/>
    <cellStyle name="常规 3 3 4 2 4 2 3" xfId="22991"/>
    <cellStyle name="常规 3 3 4 2 4 3" xfId="7283"/>
    <cellStyle name="常规 3 3 4 2 4 3 2" xfId="16703"/>
    <cellStyle name="常规 3 3 4 2 4 3 2 2" xfId="35551"/>
    <cellStyle name="常规 3 3 4 2 4 3 3" xfId="26127"/>
    <cellStyle name="常规 3 3 4 2 4 4" xfId="10431"/>
    <cellStyle name="常规 3 3 4 2 4 4 2" xfId="29279"/>
    <cellStyle name="常规 3 3 4 2 4 5" xfId="19855"/>
    <cellStyle name="常规 3 3 4 2 5" xfId="1795"/>
    <cellStyle name="常规 3 3 4 2 5 2" xfId="4931"/>
    <cellStyle name="常规 3 3 4 2 5 2 2" xfId="14351"/>
    <cellStyle name="常规 3 3 4 2 5 2 2 2" xfId="33199"/>
    <cellStyle name="常规 3 3 4 2 5 2 3" xfId="23775"/>
    <cellStyle name="常规 3 3 4 2 5 3" xfId="8067"/>
    <cellStyle name="常规 3 3 4 2 5 3 2" xfId="17487"/>
    <cellStyle name="常规 3 3 4 2 5 3 2 2" xfId="36335"/>
    <cellStyle name="常规 3 3 4 2 5 3 3" xfId="26911"/>
    <cellStyle name="常规 3 3 4 2 5 4" xfId="11215"/>
    <cellStyle name="常规 3 3 4 2 5 4 2" xfId="30063"/>
    <cellStyle name="常规 3 3 4 2 5 5" xfId="20639"/>
    <cellStyle name="常规 3 3 4 2 6" xfId="2579"/>
    <cellStyle name="常规 3 3 4 2 6 2" xfId="5715"/>
    <cellStyle name="常规 3 3 4 2 6 2 2" xfId="15135"/>
    <cellStyle name="常规 3 3 4 2 6 2 2 2" xfId="33983"/>
    <cellStyle name="常规 3 3 4 2 6 2 3" xfId="24559"/>
    <cellStyle name="常规 3 3 4 2 6 3" xfId="8851"/>
    <cellStyle name="常规 3 3 4 2 6 3 2" xfId="18271"/>
    <cellStyle name="常规 3 3 4 2 6 3 2 2" xfId="37119"/>
    <cellStyle name="常规 3 3 4 2 6 3 3" xfId="27695"/>
    <cellStyle name="常规 3 3 4 2 6 4" xfId="11999"/>
    <cellStyle name="常规 3 3 4 2 6 4 2" xfId="30847"/>
    <cellStyle name="常规 3 3 4 2 6 5" xfId="21423"/>
    <cellStyle name="常规 3 3 4 2 7" xfId="3403"/>
    <cellStyle name="常规 3 3 4 2 7 2" xfId="12823"/>
    <cellStyle name="常规 3 3 4 2 7 2 2" xfId="31671"/>
    <cellStyle name="常规 3 3 4 2 7 3" xfId="22247"/>
    <cellStyle name="常规 3 3 4 2 8" xfId="6499"/>
    <cellStyle name="常规 3 3 4 2 8 2" xfId="15919"/>
    <cellStyle name="常规 3 3 4 2 8 2 2" xfId="34767"/>
    <cellStyle name="常规 3 3 4 2 8 3" xfId="25343"/>
    <cellStyle name="常规 3 3 4 2 9" xfId="9646"/>
    <cellStyle name="常规 3 3 4 2 9 2" xfId="28491"/>
    <cellStyle name="常规 3 3 4 3" xfId="225"/>
    <cellStyle name="常规 3 3 4 3 2" xfId="623"/>
    <cellStyle name="常规 3 3 4 3 2 2" xfId="1407"/>
    <cellStyle name="常规 3 3 4 3 2 2 2" xfId="4543"/>
    <cellStyle name="常规 3 3 4 3 2 2 2 2" xfId="13963"/>
    <cellStyle name="常规 3 3 4 3 2 2 2 2 2" xfId="32811"/>
    <cellStyle name="常规 3 3 4 3 2 2 2 3" xfId="23387"/>
    <cellStyle name="常规 3 3 4 3 2 2 3" xfId="7679"/>
    <cellStyle name="常规 3 3 4 3 2 2 3 2" xfId="17099"/>
    <cellStyle name="常规 3 3 4 3 2 2 3 2 2" xfId="35947"/>
    <cellStyle name="常规 3 3 4 3 2 2 3 3" xfId="26523"/>
    <cellStyle name="常规 3 3 4 3 2 2 4" xfId="10827"/>
    <cellStyle name="常规 3 3 4 3 2 2 4 2" xfId="29675"/>
    <cellStyle name="常规 3 3 4 3 2 2 5" xfId="20251"/>
    <cellStyle name="常规 3 3 4 3 2 3" xfId="2191"/>
    <cellStyle name="常规 3 3 4 3 2 3 2" xfId="5327"/>
    <cellStyle name="常规 3 3 4 3 2 3 2 2" xfId="14747"/>
    <cellStyle name="常规 3 3 4 3 2 3 2 2 2" xfId="33595"/>
    <cellStyle name="常规 3 3 4 3 2 3 2 3" xfId="24171"/>
    <cellStyle name="常规 3 3 4 3 2 3 3" xfId="8463"/>
    <cellStyle name="常规 3 3 4 3 2 3 3 2" xfId="17883"/>
    <cellStyle name="常规 3 3 4 3 2 3 3 2 2" xfId="36731"/>
    <cellStyle name="常规 3 3 4 3 2 3 3 3" xfId="27307"/>
    <cellStyle name="常规 3 3 4 3 2 3 4" xfId="11611"/>
    <cellStyle name="常规 3 3 4 3 2 3 4 2" xfId="30459"/>
    <cellStyle name="常规 3 3 4 3 2 3 5" xfId="21035"/>
    <cellStyle name="常规 3 3 4 3 2 4" xfId="2975"/>
    <cellStyle name="常规 3 3 4 3 2 4 2" xfId="6111"/>
    <cellStyle name="常规 3 3 4 3 2 4 2 2" xfId="15531"/>
    <cellStyle name="常规 3 3 4 3 2 4 2 2 2" xfId="34379"/>
    <cellStyle name="常规 3 3 4 3 2 4 2 3" xfId="24955"/>
    <cellStyle name="常规 3 3 4 3 2 4 3" xfId="9247"/>
    <cellStyle name="常规 3 3 4 3 2 4 3 2" xfId="18667"/>
    <cellStyle name="常规 3 3 4 3 2 4 3 2 2" xfId="37515"/>
    <cellStyle name="常规 3 3 4 3 2 4 3 3" xfId="28091"/>
    <cellStyle name="常规 3 3 4 3 2 4 4" xfId="12395"/>
    <cellStyle name="常规 3 3 4 3 2 4 4 2" xfId="31243"/>
    <cellStyle name="常规 3 3 4 3 2 4 5" xfId="21819"/>
    <cellStyle name="常规 3 3 4 3 2 5" xfId="3759"/>
    <cellStyle name="常规 3 3 4 3 2 5 2" xfId="13179"/>
    <cellStyle name="常规 3 3 4 3 2 5 2 2" xfId="32027"/>
    <cellStyle name="常规 3 3 4 3 2 5 3" xfId="22603"/>
    <cellStyle name="常规 3 3 4 3 2 6" xfId="6895"/>
    <cellStyle name="常规 3 3 4 3 2 6 2" xfId="16315"/>
    <cellStyle name="常规 3 3 4 3 2 6 2 2" xfId="35163"/>
    <cellStyle name="常规 3 3 4 3 2 6 3" xfId="25739"/>
    <cellStyle name="常规 3 3 4 3 2 7" xfId="10043"/>
    <cellStyle name="常规 3 3 4 3 2 7 2" xfId="28891"/>
    <cellStyle name="常规 3 3 4 3 2 8" xfId="19467"/>
    <cellStyle name="常规 3 3 4 3 3" xfId="1013"/>
    <cellStyle name="常规 3 3 4 3 3 2" xfId="4149"/>
    <cellStyle name="常规 3 3 4 3 3 2 2" xfId="13569"/>
    <cellStyle name="常规 3 3 4 3 3 2 2 2" xfId="32417"/>
    <cellStyle name="常规 3 3 4 3 3 2 3" xfId="22993"/>
    <cellStyle name="常规 3 3 4 3 3 3" xfId="7285"/>
    <cellStyle name="常规 3 3 4 3 3 3 2" xfId="16705"/>
    <cellStyle name="常规 3 3 4 3 3 3 2 2" xfId="35553"/>
    <cellStyle name="常规 3 3 4 3 3 3 3" xfId="26129"/>
    <cellStyle name="常规 3 3 4 3 3 4" xfId="10433"/>
    <cellStyle name="常规 3 3 4 3 3 4 2" xfId="29281"/>
    <cellStyle name="常规 3 3 4 3 3 5" xfId="19857"/>
    <cellStyle name="常规 3 3 4 3 4" xfId="1797"/>
    <cellStyle name="常规 3 3 4 3 4 2" xfId="4933"/>
    <cellStyle name="常规 3 3 4 3 4 2 2" xfId="14353"/>
    <cellStyle name="常规 3 3 4 3 4 2 2 2" xfId="33201"/>
    <cellStyle name="常规 3 3 4 3 4 2 3" xfId="23777"/>
    <cellStyle name="常规 3 3 4 3 4 3" xfId="8069"/>
    <cellStyle name="常规 3 3 4 3 4 3 2" xfId="17489"/>
    <cellStyle name="常规 3 3 4 3 4 3 2 2" xfId="36337"/>
    <cellStyle name="常规 3 3 4 3 4 3 3" xfId="26913"/>
    <cellStyle name="常规 3 3 4 3 4 4" xfId="11217"/>
    <cellStyle name="常规 3 3 4 3 4 4 2" xfId="30065"/>
    <cellStyle name="常规 3 3 4 3 4 5" xfId="20641"/>
    <cellStyle name="常规 3 3 4 3 5" xfId="2581"/>
    <cellStyle name="常规 3 3 4 3 5 2" xfId="5717"/>
    <cellStyle name="常规 3 3 4 3 5 2 2" xfId="15137"/>
    <cellStyle name="常规 3 3 4 3 5 2 2 2" xfId="33985"/>
    <cellStyle name="常规 3 3 4 3 5 2 3" xfId="24561"/>
    <cellStyle name="常规 3 3 4 3 5 3" xfId="8853"/>
    <cellStyle name="常规 3 3 4 3 5 3 2" xfId="18273"/>
    <cellStyle name="常规 3 3 4 3 5 3 2 2" xfId="37121"/>
    <cellStyle name="常规 3 3 4 3 5 3 3" xfId="27697"/>
    <cellStyle name="常规 3 3 4 3 5 4" xfId="12001"/>
    <cellStyle name="常规 3 3 4 3 5 4 2" xfId="30849"/>
    <cellStyle name="常规 3 3 4 3 5 5" xfId="21425"/>
    <cellStyle name="常规 3 3 4 3 6" xfId="3405"/>
    <cellStyle name="常规 3 3 4 3 6 2" xfId="12825"/>
    <cellStyle name="常规 3 3 4 3 6 2 2" xfId="31673"/>
    <cellStyle name="常规 3 3 4 3 6 3" xfId="22249"/>
    <cellStyle name="常规 3 3 4 3 7" xfId="6501"/>
    <cellStyle name="常规 3 3 4 3 7 2" xfId="15921"/>
    <cellStyle name="常规 3 3 4 3 7 2 2" xfId="34769"/>
    <cellStyle name="常规 3 3 4 3 7 3" xfId="25345"/>
    <cellStyle name="常规 3 3 4 3 8" xfId="9648"/>
    <cellStyle name="常规 3 3 4 3 8 2" xfId="28493"/>
    <cellStyle name="常规 3 3 4 3 9" xfId="19071"/>
    <cellStyle name="常规 3 3 4 4" xfId="620"/>
    <cellStyle name="常规 3 3 4 4 2" xfId="1404"/>
    <cellStyle name="常规 3 3 4 4 2 2" xfId="4540"/>
    <cellStyle name="常规 3 3 4 4 2 2 2" xfId="13960"/>
    <cellStyle name="常规 3 3 4 4 2 2 2 2" xfId="32808"/>
    <cellStyle name="常规 3 3 4 4 2 2 3" xfId="23384"/>
    <cellStyle name="常规 3 3 4 4 2 3" xfId="7676"/>
    <cellStyle name="常规 3 3 4 4 2 3 2" xfId="17096"/>
    <cellStyle name="常规 3 3 4 4 2 3 2 2" xfId="35944"/>
    <cellStyle name="常规 3 3 4 4 2 3 3" xfId="26520"/>
    <cellStyle name="常规 3 3 4 4 2 4" xfId="10824"/>
    <cellStyle name="常规 3 3 4 4 2 4 2" xfId="29672"/>
    <cellStyle name="常规 3 3 4 4 2 5" xfId="20248"/>
    <cellStyle name="常规 3 3 4 4 3" xfId="2188"/>
    <cellStyle name="常规 3 3 4 4 3 2" xfId="5324"/>
    <cellStyle name="常规 3 3 4 4 3 2 2" xfId="14744"/>
    <cellStyle name="常规 3 3 4 4 3 2 2 2" xfId="33592"/>
    <cellStyle name="常规 3 3 4 4 3 2 3" xfId="24168"/>
    <cellStyle name="常规 3 3 4 4 3 3" xfId="8460"/>
    <cellStyle name="常规 3 3 4 4 3 3 2" xfId="17880"/>
    <cellStyle name="常规 3 3 4 4 3 3 2 2" xfId="36728"/>
    <cellStyle name="常规 3 3 4 4 3 3 3" xfId="27304"/>
    <cellStyle name="常规 3 3 4 4 3 4" xfId="11608"/>
    <cellStyle name="常规 3 3 4 4 3 4 2" xfId="30456"/>
    <cellStyle name="常规 3 3 4 4 3 5" xfId="21032"/>
    <cellStyle name="常规 3 3 4 4 4" xfId="2972"/>
    <cellStyle name="常规 3 3 4 4 4 2" xfId="6108"/>
    <cellStyle name="常规 3 3 4 4 4 2 2" xfId="15528"/>
    <cellStyle name="常规 3 3 4 4 4 2 2 2" xfId="34376"/>
    <cellStyle name="常规 3 3 4 4 4 2 3" xfId="24952"/>
    <cellStyle name="常规 3 3 4 4 4 3" xfId="9244"/>
    <cellStyle name="常规 3 3 4 4 4 3 2" xfId="18664"/>
    <cellStyle name="常规 3 3 4 4 4 3 2 2" xfId="37512"/>
    <cellStyle name="常规 3 3 4 4 4 3 3" xfId="28088"/>
    <cellStyle name="常规 3 3 4 4 4 4" xfId="12392"/>
    <cellStyle name="常规 3 3 4 4 4 4 2" xfId="31240"/>
    <cellStyle name="常规 3 3 4 4 4 5" xfId="21816"/>
    <cellStyle name="常规 3 3 4 4 5" xfId="3756"/>
    <cellStyle name="常规 3 3 4 4 5 2" xfId="13176"/>
    <cellStyle name="常规 3 3 4 4 5 2 2" xfId="32024"/>
    <cellStyle name="常规 3 3 4 4 5 3" xfId="22600"/>
    <cellStyle name="常规 3 3 4 4 6" xfId="6892"/>
    <cellStyle name="常规 3 3 4 4 6 2" xfId="16312"/>
    <cellStyle name="常规 3 3 4 4 6 2 2" xfId="35160"/>
    <cellStyle name="常规 3 3 4 4 6 3" xfId="25736"/>
    <cellStyle name="常规 3 3 4 4 7" xfId="10040"/>
    <cellStyle name="常规 3 3 4 4 7 2" xfId="28888"/>
    <cellStyle name="常规 3 3 4 4 8" xfId="19464"/>
    <cellStyle name="常规 3 3 4 5" xfId="1010"/>
    <cellStyle name="常规 3 3 4 5 2" xfId="4146"/>
    <cellStyle name="常规 3 3 4 5 2 2" xfId="13566"/>
    <cellStyle name="常规 3 3 4 5 2 2 2" xfId="32414"/>
    <cellStyle name="常规 3 3 4 5 2 3" xfId="22990"/>
    <cellStyle name="常规 3 3 4 5 3" xfId="7282"/>
    <cellStyle name="常规 3 3 4 5 3 2" xfId="16702"/>
    <cellStyle name="常规 3 3 4 5 3 2 2" xfId="35550"/>
    <cellStyle name="常规 3 3 4 5 3 3" xfId="26126"/>
    <cellStyle name="常规 3 3 4 5 4" xfId="10430"/>
    <cellStyle name="常规 3 3 4 5 4 2" xfId="29278"/>
    <cellStyle name="常规 3 3 4 5 5" xfId="19854"/>
    <cellStyle name="常规 3 3 4 6" xfId="1794"/>
    <cellStyle name="常规 3 3 4 6 2" xfId="4930"/>
    <cellStyle name="常规 3 3 4 6 2 2" xfId="14350"/>
    <cellStyle name="常规 3 3 4 6 2 2 2" xfId="33198"/>
    <cellStyle name="常规 3 3 4 6 2 3" xfId="23774"/>
    <cellStyle name="常规 3 3 4 6 3" xfId="8066"/>
    <cellStyle name="常规 3 3 4 6 3 2" xfId="17486"/>
    <cellStyle name="常规 3 3 4 6 3 2 2" xfId="36334"/>
    <cellStyle name="常规 3 3 4 6 3 3" xfId="26910"/>
    <cellStyle name="常规 3 3 4 6 4" xfId="11214"/>
    <cellStyle name="常规 3 3 4 6 4 2" xfId="30062"/>
    <cellStyle name="常规 3 3 4 6 5" xfId="20638"/>
    <cellStyle name="常规 3 3 4 7" xfId="2578"/>
    <cellStyle name="常规 3 3 4 7 2" xfId="5714"/>
    <cellStyle name="常规 3 3 4 7 2 2" xfId="15134"/>
    <cellStyle name="常规 3 3 4 7 2 2 2" xfId="33982"/>
    <cellStyle name="常规 3 3 4 7 2 3" xfId="24558"/>
    <cellStyle name="常规 3 3 4 7 3" xfId="8850"/>
    <cellStyle name="常规 3 3 4 7 3 2" xfId="18270"/>
    <cellStyle name="常规 3 3 4 7 3 2 2" xfId="37118"/>
    <cellStyle name="常规 3 3 4 7 3 3" xfId="27694"/>
    <cellStyle name="常规 3 3 4 7 4" xfId="11998"/>
    <cellStyle name="常规 3 3 4 7 4 2" xfId="30846"/>
    <cellStyle name="常规 3 3 4 7 5" xfId="21422"/>
    <cellStyle name="常规 3 3 4 8" xfId="3217"/>
    <cellStyle name="常规 3 3 4 8 2" xfId="12637"/>
    <cellStyle name="常规 3 3 4 8 2 2" xfId="31485"/>
    <cellStyle name="常规 3 3 4 8 3" xfId="22061"/>
    <cellStyle name="常规 3 3 4 9" xfId="6498"/>
    <cellStyle name="常规 3 3 4 9 2" xfId="15918"/>
    <cellStyle name="常规 3 3 4 9 2 2" xfId="34766"/>
    <cellStyle name="常规 3 3 4 9 3" xfId="25342"/>
    <cellStyle name="常规 3 3 5" xfId="226"/>
    <cellStyle name="常规 3 3 5 10" xfId="19072"/>
    <cellStyle name="常规 3 3 5 2" xfId="227"/>
    <cellStyle name="常规 3 3 5 2 2" xfId="625"/>
    <cellStyle name="常规 3 3 5 2 2 2" xfId="1409"/>
    <cellStyle name="常规 3 3 5 2 2 2 2" xfId="4545"/>
    <cellStyle name="常规 3 3 5 2 2 2 2 2" xfId="13965"/>
    <cellStyle name="常规 3 3 5 2 2 2 2 2 2" xfId="32813"/>
    <cellStyle name="常规 3 3 5 2 2 2 2 3" xfId="23389"/>
    <cellStyle name="常规 3 3 5 2 2 2 3" xfId="7681"/>
    <cellStyle name="常规 3 3 5 2 2 2 3 2" xfId="17101"/>
    <cellStyle name="常规 3 3 5 2 2 2 3 2 2" xfId="35949"/>
    <cellStyle name="常规 3 3 5 2 2 2 3 3" xfId="26525"/>
    <cellStyle name="常规 3 3 5 2 2 2 4" xfId="10829"/>
    <cellStyle name="常规 3 3 5 2 2 2 4 2" xfId="29677"/>
    <cellStyle name="常规 3 3 5 2 2 2 5" xfId="20253"/>
    <cellStyle name="常规 3 3 5 2 2 3" xfId="2193"/>
    <cellStyle name="常规 3 3 5 2 2 3 2" xfId="5329"/>
    <cellStyle name="常规 3 3 5 2 2 3 2 2" xfId="14749"/>
    <cellStyle name="常规 3 3 5 2 2 3 2 2 2" xfId="33597"/>
    <cellStyle name="常规 3 3 5 2 2 3 2 3" xfId="24173"/>
    <cellStyle name="常规 3 3 5 2 2 3 3" xfId="8465"/>
    <cellStyle name="常规 3 3 5 2 2 3 3 2" xfId="17885"/>
    <cellStyle name="常规 3 3 5 2 2 3 3 2 2" xfId="36733"/>
    <cellStyle name="常规 3 3 5 2 2 3 3 3" xfId="27309"/>
    <cellStyle name="常规 3 3 5 2 2 3 4" xfId="11613"/>
    <cellStyle name="常规 3 3 5 2 2 3 4 2" xfId="30461"/>
    <cellStyle name="常规 3 3 5 2 2 3 5" xfId="21037"/>
    <cellStyle name="常规 3 3 5 2 2 4" xfId="2977"/>
    <cellStyle name="常规 3 3 5 2 2 4 2" xfId="6113"/>
    <cellStyle name="常规 3 3 5 2 2 4 2 2" xfId="15533"/>
    <cellStyle name="常规 3 3 5 2 2 4 2 2 2" xfId="34381"/>
    <cellStyle name="常规 3 3 5 2 2 4 2 3" xfId="24957"/>
    <cellStyle name="常规 3 3 5 2 2 4 3" xfId="9249"/>
    <cellStyle name="常规 3 3 5 2 2 4 3 2" xfId="18669"/>
    <cellStyle name="常规 3 3 5 2 2 4 3 2 2" xfId="37517"/>
    <cellStyle name="常规 3 3 5 2 2 4 3 3" xfId="28093"/>
    <cellStyle name="常规 3 3 5 2 2 4 4" xfId="12397"/>
    <cellStyle name="常规 3 3 5 2 2 4 4 2" xfId="31245"/>
    <cellStyle name="常规 3 3 5 2 2 4 5" xfId="21821"/>
    <cellStyle name="常规 3 3 5 2 2 5" xfId="3761"/>
    <cellStyle name="常规 3 3 5 2 2 5 2" xfId="13181"/>
    <cellStyle name="常规 3 3 5 2 2 5 2 2" xfId="32029"/>
    <cellStyle name="常规 3 3 5 2 2 5 3" xfId="22605"/>
    <cellStyle name="常规 3 3 5 2 2 6" xfId="6897"/>
    <cellStyle name="常规 3 3 5 2 2 6 2" xfId="16317"/>
    <cellStyle name="常规 3 3 5 2 2 6 2 2" xfId="35165"/>
    <cellStyle name="常规 3 3 5 2 2 6 3" xfId="25741"/>
    <cellStyle name="常规 3 3 5 2 2 7" xfId="10045"/>
    <cellStyle name="常规 3 3 5 2 2 7 2" xfId="28893"/>
    <cellStyle name="常规 3 3 5 2 2 8" xfId="19469"/>
    <cellStyle name="常规 3 3 5 2 3" xfId="1015"/>
    <cellStyle name="常规 3 3 5 2 3 2" xfId="4151"/>
    <cellStyle name="常规 3 3 5 2 3 2 2" xfId="13571"/>
    <cellStyle name="常规 3 3 5 2 3 2 2 2" xfId="32419"/>
    <cellStyle name="常规 3 3 5 2 3 2 3" xfId="22995"/>
    <cellStyle name="常规 3 3 5 2 3 3" xfId="7287"/>
    <cellStyle name="常规 3 3 5 2 3 3 2" xfId="16707"/>
    <cellStyle name="常规 3 3 5 2 3 3 2 2" xfId="35555"/>
    <cellStyle name="常规 3 3 5 2 3 3 3" xfId="26131"/>
    <cellStyle name="常规 3 3 5 2 3 4" xfId="10435"/>
    <cellStyle name="常规 3 3 5 2 3 4 2" xfId="29283"/>
    <cellStyle name="常规 3 3 5 2 3 5" xfId="19859"/>
    <cellStyle name="常规 3 3 5 2 4" xfId="1799"/>
    <cellStyle name="常规 3 3 5 2 4 2" xfId="4935"/>
    <cellStyle name="常规 3 3 5 2 4 2 2" xfId="14355"/>
    <cellStyle name="常规 3 3 5 2 4 2 2 2" xfId="33203"/>
    <cellStyle name="常规 3 3 5 2 4 2 3" xfId="23779"/>
    <cellStyle name="常规 3 3 5 2 4 3" xfId="8071"/>
    <cellStyle name="常规 3 3 5 2 4 3 2" xfId="17491"/>
    <cellStyle name="常规 3 3 5 2 4 3 2 2" xfId="36339"/>
    <cellStyle name="常规 3 3 5 2 4 3 3" xfId="26915"/>
    <cellStyle name="常规 3 3 5 2 4 4" xfId="11219"/>
    <cellStyle name="常规 3 3 5 2 4 4 2" xfId="30067"/>
    <cellStyle name="常规 3 3 5 2 4 5" xfId="20643"/>
    <cellStyle name="常规 3 3 5 2 5" xfId="2583"/>
    <cellStyle name="常规 3 3 5 2 5 2" xfId="5719"/>
    <cellStyle name="常规 3 3 5 2 5 2 2" xfId="15139"/>
    <cellStyle name="常规 3 3 5 2 5 2 2 2" xfId="33987"/>
    <cellStyle name="常规 3 3 5 2 5 2 3" xfId="24563"/>
    <cellStyle name="常规 3 3 5 2 5 3" xfId="8855"/>
    <cellStyle name="常规 3 3 5 2 5 3 2" xfId="18275"/>
    <cellStyle name="常规 3 3 5 2 5 3 2 2" xfId="37123"/>
    <cellStyle name="常规 3 3 5 2 5 3 3" xfId="27699"/>
    <cellStyle name="常规 3 3 5 2 5 4" xfId="12003"/>
    <cellStyle name="常规 3 3 5 2 5 4 2" xfId="30851"/>
    <cellStyle name="常规 3 3 5 2 5 5" xfId="21427"/>
    <cellStyle name="常规 3 3 5 2 6" xfId="3407"/>
    <cellStyle name="常规 3 3 5 2 6 2" xfId="12827"/>
    <cellStyle name="常规 3 3 5 2 6 2 2" xfId="31675"/>
    <cellStyle name="常规 3 3 5 2 6 3" xfId="22251"/>
    <cellStyle name="常规 3 3 5 2 7" xfId="6503"/>
    <cellStyle name="常规 3 3 5 2 7 2" xfId="15923"/>
    <cellStyle name="常规 3 3 5 2 7 2 2" xfId="34771"/>
    <cellStyle name="常规 3 3 5 2 7 3" xfId="25347"/>
    <cellStyle name="常规 3 3 5 2 8" xfId="9650"/>
    <cellStyle name="常规 3 3 5 2 8 2" xfId="28495"/>
    <cellStyle name="常规 3 3 5 2 9" xfId="19073"/>
    <cellStyle name="常规 3 3 5 3" xfId="624"/>
    <cellStyle name="常规 3 3 5 3 2" xfId="1408"/>
    <cellStyle name="常规 3 3 5 3 2 2" xfId="4544"/>
    <cellStyle name="常规 3 3 5 3 2 2 2" xfId="13964"/>
    <cellStyle name="常规 3 3 5 3 2 2 2 2" xfId="32812"/>
    <cellStyle name="常规 3 3 5 3 2 2 3" xfId="23388"/>
    <cellStyle name="常规 3 3 5 3 2 3" xfId="7680"/>
    <cellStyle name="常规 3 3 5 3 2 3 2" xfId="17100"/>
    <cellStyle name="常规 3 3 5 3 2 3 2 2" xfId="35948"/>
    <cellStyle name="常规 3 3 5 3 2 3 3" xfId="26524"/>
    <cellStyle name="常规 3 3 5 3 2 4" xfId="10828"/>
    <cellStyle name="常规 3 3 5 3 2 4 2" xfId="29676"/>
    <cellStyle name="常规 3 3 5 3 2 5" xfId="20252"/>
    <cellStyle name="常规 3 3 5 3 3" xfId="2192"/>
    <cellStyle name="常规 3 3 5 3 3 2" xfId="5328"/>
    <cellStyle name="常规 3 3 5 3 3 2 2" xfId="14748"/>
    <cellStyle name="常规 3 3 5 3 3 2 2 2" xfId="33596"/>
    <cellStyle name="常规 3 3 5 3 3 2 3" xfId="24172"/>
    <cellStyle name="常规 3 3 5 3 3 3" xfId="8464"/>
    <cellStyle name="常规 3 3 5 3 3 3 2" xfId="17884"/>
    <cellStyle name="常规 3 3 5 3 3 3 2 2" xfId="36732"/>
    <cellStyle name="常规 3 3 5 3 3 3 3" xfId="27308"/>
    <cellStyle name="常规 3 3 5 3 3 4" xfId="11612"/>
    <cellStyle name="常规 3 3 5 3 3 4 2" xfId="30460"/>
    <cellStyle name="常规 3 3 5 3 3 5" xfId="21036"/>
    <cellStyle name="常规 3 3 5 3 4" xfId="2976"/>
    <cellStyle name="常规 3 3 5 3 4 2" xfId="6112"/>
    <cellStyle name="常规 3 3 5 3 4 2 2" xfId="15532"/>
    <cellStyle name="常规 3 3 5 3 4 2 2 2" xfId="34380"/>
    <cellStyle name="常规 3 3 5 3 4 2 3" xfId="24956"/>
    <cellStyle name="常规 3 3 5 3 4 3" xfId="9248"/>
    <cellStyle name="常规 3 3 5 3 4 3 2" xfId="18668"/>
    <cellStyle name="常规 3 3 5 3 4 3 2 2" xfId="37516"/>
    <cellStyle name="常规 3 3 5 3 4 3 3" xfId="28092"/>
    <cellStyle name="常规 3 3 5 3 4 4" xfId="12396"/>
    <cellStyle name="常规 3 3 5 3 4 4 2" xfId="31244"/>
    <cellStyle name="常规 3 3 5 3 4 5" xfId="21820"/>
    <cellStyle name="常规 3 3 5 3 5" xfId="3760"/>
    <cellStyle name="常规 3 3 5 3 5 2" xfId="13180"/>
    <cellStyle name="常规 3 3 5 3 5 2 2" xfId="32028"/>
    <cellStyle name="常规 3 3 5 3 5 3" xfId="22604"/>
    <cellStyle name="常规 3 3 5 3 6" xfId="6896"/>
    <cellStyle name="常规 3 3 5 3 6 2" xfId="16316"/>
    <cellStyle name="常规 3 3 5 3 6 2 2" xfId="35164"/>
    <cellStyle name="常规 3 3 5 3 6 3" xfId="25740"/>
    <cellStyle name="常规 3 3 5 3 7" xfId="10044"/>
    <cellStyle name="常规 3 3 5 3 7 2" xfId="28892"/>
    <cellStyle name="常规 3 3 5 3 8" xfId="19468"/>
    <cellStyle name="常规 3 3 5 4" xfId="1014"/>
    <cellStyle name="常规 3 3 5 4 2" xfId="4150"/>
    <cellStyle name="常规 3 3 5 4 2 2" xfId="13570"/>
    <cellStyle name="常规 3 3 5 4 2 2 2" xfId="32418"/>
    <cellStyle name="常规 3 3 5 4 2 3" xfId="22994"/>
    <cellStyle name="常规 3 3 5 4 3" xfId="7286"/>
    <cellStyle name="常规 3 3 5 4 3 2" xfId="16706"/>
    <cellStyle name="常规 3 3 5 4 3 2 2" xfId="35554"/>
    <cellStyle name="常规 3 3 5 4 3 3" xfId="26130"/>
    <cellStyle name="常规 3 3 5 4 4" xfId="10434"/>
    <cellStyle name="常规 3 3 5 4 4 2" xfId="29282"/>
    <cellStyle name="常规 3 3 5 4 5" xfId="19858"/>
    <cellStyle name="常规 3 3 5 5" xfId="1798"/>
    <cellStyle name="常规 3 3 5 5 2" xfId="4934"/>
    <cellStyle name="常规 3 3 5 5 2 2" xfId="14354"/>
    <cellStyle name="常规 3 3 5 5 2 2 2" xfId="33202"/>
    <cellStyle name="常规 3 3 5 5 2 3" xfId="23778"/>
    <cellStyle name="常规 3 3 5 5 3" xfId="8070"/>
    <cellStyle name="常规 3 3 5 5 3 2" xfId="17490"/>
    <cellStyle name="常规 3 3 5 5 3 2 2" xfId="36338"/>
    <cellStyle name="常规 3 3 5 5 3 3" xfId="26914"/>
    <cellStyle name="常规 3 3 5 5 4" xfId="11218"/>
    <cellStyle name="常规 3 3 5 5 4 2" xfId="30066"/>
    <cellStyle name="常规 3 3 5 5 5" xfId="20642"/>
    <cellStyle name="常规 3 3 5 6" xfId="2582"/>
    <cellStyle name="常规 3 3 5 6 2" xfId="5718"/>
    <cellStyle name="常规 3 3 5 6 2 2" xfId="15138"/>
    <cellStyle name="常规 3 3 5 6 2 2 2" xfId="33986"/>
    <cellStyle name="常规 3 3 5 6 2 3" xfId="24562"/>
    <cellStyle name="常规 3 3 5 6 3" xfId="8854"/>
    <cellStyle name="常规 3 3 5 6 3 2" xfId="18274"/>
    <cellStyle name="常规 3 3 5 6 3 2 2" xfId="37122"/>
    <cellStyle name="常规 3 3 5 6 3 3" xfId="27698"/>
    <cellStyle name="常规 3 3 5 6 4" xfId="12002"/>
    <cellStyle name="常规 3 3 5 6 4 2" xfId="30850"/>
    <cellStyle name="常规 3 3 5 6 5" xfId="21426"/>
    <cellStyle name="常规 3 3 5 7" xfId="3406"/>
    <cellStyle name="常规 3 3 5 7 2" xfId="12826"/>
    <cellStyle name="常规 3 3 5 7 2 2" xfId="31674"/>
    <cellStyle name="常规 3 3 5 7 3" xfId="22250"/>
    <cellStyle name="常规 3 3 5 8" xfId="6502"/>
    <cellStyle name="常规 3 3 5 8 2" xfId="15922"/>
    <cellStyle name="常规 3 3 5 8 2 2" xfId="34770"/>
    <cellStyle name="常规 3 3 5 8 3" xfId="25346"/>
    <cellStyle name="常规 3 3 5 9" xfId="9649"/>
    <cellStyle name="常规 3 3 5 9 2" xfId="28494"/>
    <cellStyle name="常规 3 3 6" xfId="228"/>
    <cellStyle name="常规 3 3 6 2" xfId="626"/>
    <cellStyle name="常规 3 3 6 2 2" xfId="1410"/>
    <cellStyle name="常规 3 3 6 2 2 2" xfId="4546"/>
    <cellStyle name="常规 3 3 6 2 2 2 2" xfId="13966"/>
    <cellStyle name="常规 3 3 6 2 2 2 2 2" xfId="32814"/>
    <cellStyle name="常规 3 3 6 2 2 2 3" xfId="23390"/>
    <cellStyle name="常规 3 3 6 2 2 3" xfId="7682"/>
    <cellStyle name="常规 3 3 6 2 2 3 2" xfId="17102"/>
    <cellStyle name="常规 3 3 6 2 2 3 2 2" xfId="35950"/>
    <cellStyle name="常规 3 3 6 2 2 3 3" xfId="26526"/>
    <cellStyle name="常规 3 3 6 2 2 4" xfId="10830"/>
    <cellStyle name="常规 3 3 6 2 2 4 2" xfId="29678"/>
    <cellStyle name="常规 3 3 6 2 2 5" xfId="20254"/>
    <cellStyle name="常规 3 3 6 2 3" xfId="2194"/>
    <cellStyle name="常规 3 3 6 2 3 2" xfId="5330"/>
    <cellStyle name="常规 3 3 6 2 3 2 2" xfId="14750"/>
    <cellStyle name="常规 3 3 6 2 3 2 2 2" xfId="33598"/>
    <cellStyle name="常规 3 3 6 2 3 2 3" xfId="24174"/>
    <cellStyle name="常规 3 3 6 2 3 3" xfId="8466"/>
    <cellStyle name="常规 3 3 6 2 3 3 2" xfId="17886"/>
    <cellStyle name="常规 3 3 6 2 3 3 2 2" xfId="36734"/>
    <cellStyle name="常规 3 3 6 2 3 3 3" xfId="27310"/>
    <cellStyle name="常规 3 3 6 2 3 4" xfId="11614"/>
    <cellStyle name="常规 3 3 6 2 3 4 2" xfId="30462"/>
    <cellStyle name="常规 3 3 6 2 3 5" xfId="21038"/>
    <cellStyle name="常规 3 3 6 2 4" xfId="2978"/>
    <cellStyle name="常规 3 3 6 2 4 2" xfId="6114"/>
    <cellStyle name="常规 3 3 6 2 4 2 2" xfId="15534"/>
    <cellStyle name="常规 3 3 6 2 4 2 2 2" xfId="34382"/>
    <cellStyle name="常规 3 3 6 2 4 2 3" xfId="24958"/>
    <cellStyle name="常规 3 3 6 2 4 3" xfId="9250"/>
    <cellStyle name="常规 3 3 6 2 4 3 2" xfId="18670"/>
    <cellStyle name="常规 3 3 6 2 4 3 2 2" xfId="37518"/>
    <cellStyle name="常规 3 3 6 2 4 3 3" xfId="28094"/>
    <cellStyle name="常规 3 3 6 2 4 4" xfId="12398"/>
    <cellStyle name="常规 3 3 6 2 4 4 2" xfId="31246"/>
    <cellStyle name="常规 3 3 6 2 4 5" xfId="21822"/>
    <cellStyle name="常规 3 3 6 2 5" xfId="3762"/>
    <cellStyle name="常规 3 3 6 2 5 2" xfId="13182"/>
    <cellStyle name="常规 3 3 6 2 5 2 2" xfId="32030"/>
    <cellStyle name="常规 3 3 6 2 5 3" xfId="22606"/>
    <cellStyle name="常规 3 3 6 2 6" xfId="6898"/>
    <cellStyle name="常规 3 3 6 2 6 2" xfId="16318"/>
    <cellStyle name="常规 3 3 6 2 6 2 2" xfId="35166"/>
    <cellStyle name="常规 3 3 6 2 6 3" xfId="25742"/>
    <cellStyle name="常规 3 3 6 2 7" xfId="10046"/>
    <cellStyle name="常规 3 3 6 2 7 2" xfId="28894"/>
    <cellStyle name="常规 3 3 6 2 8" xfId="19470"/>
    <cellStyle name="常规 3 3 6 3" xfId="1016"/>
    <cellStyle name="常规 3 3 6 3 2" xfId="4152"/>
    <cellStyle name="常规 3 3 6 3 2 2" xfId="13572"/>
    <cellStyle name="常规 3 3 6 3 2 2 2" xfId="32420"/>
    <cellStyle name="常规 3 3 6 3 2 3" xfId="22996"/>
    <cellStyle name="常规 3 3 6 3 3" xfId="7288"/>
    <cellStyle name="常规 3 3 6 3 3 2" xfId="16708"/>
    <cellStyle name="常规 3 3 6 3 3 2 2" xfId="35556"/>
    <cellStyle name="常规 3 3 6 3 3 3" xfId="26132"/>
    <cellStyle name="常规 3 3 6 3 4" xfId="10436"/>
    <cellStyle name="常规 3 3 6 3 4 2" xfId="29284"/>
    <cellStyle name="常规 3 3 6 3 5" xfId="19860"/>
    <cellStyle name="常规 3 3 6 4" xfId="1800"/>
    <cellStyle name="常规 3 3 6 4 2" xfId="4936"/>
    <cellStyle name="常规 3 3 6 4 2 2" xfId="14356"/>
    <cellStyle name="常规 3 3 6 4 2 2 2" xfId="33204"/>
    <cellStyle name="常规 3 3 6 4 2 3" xfId="23780"/>
    <cellStyle name="常规 3 3 6 4 3" xfId="8072"/>
    <cellStyle name="常规 3 3 6 4 3 2" xfId="17492"/>
    <cellStyle name="常规 3 3 6 4 3 2 2" xfId="36340"/>
    <cellStyle name="常规 3 3 6 4 3 3" xfId="26916"/>
    <cellStyle name="常规 3 3 6 4 4" xfId="11220"/>
    <cellStyle name="常规 3 3 6 4 4 2" xfId="30068"/>
    <cellStyle name="常规 3 3 6 4 5" xfId="20644"/>
    <cellStyle name="常规 3 3 6 5" xfId="2584"/>
    <cellStyle name="常规 3 3 6 5 2" xfId="5720"/>
    <cellStyle name="常规 3 3 6 5 2 2" xfId="15140"/>
    <cellStyle name="常规 3 3 6 5 2 2 2" xfId="33988"/>
    <cellStyle name="常规 3 3 6 5 2 3" xfId="24564"/>
    <cellStyle name="常规 3 3 6 5 3" xfId="8856"/>
    <cellStyle name="常规 3 3 6 5 3 2" xfId="18276"/>
    <cellStyle name="常规 3 3 6 5 3 2 2" xfId="37124"/>
    <cellStyle name="常规 3 3 6 5 3 3" xfId="27700"/>
    <cellStyle name="常规 3 3 6 5 4" xfId="12004"/>
    <cellStyle name="常规 3 3 6 5 4 2" xfId="30852"/>
    <cellStyle name="常规 3 3 6 5 5" xfId="21428"/>
    <cellStyle name="常规 3 3 6 6" xfId="3408"/>
    <cellStyle name="常规 3 3 6 6 2" xfId="12828"/>
    <cellStyle name="常规 3 3 6 6 2 2" xfId="31676"/>
    <cellStyle name="常规 3 3 6 6 3" xfId="22252"/>
    <cellStyle name="常规 3 3 6 7" xfId="6504"/>
    <cellStyle name="常规 3 3 6 7 2" xfId="15924"/>
    <cellStyle name="常规 3 3 6 7 2 2" xfId="34772"/>
    <cellStyle name="常规 3 3 6 7 3" xfId="25348"/>
    <cellStyle name="常规 3 3 6 8" xfId="9651"/>
    <cellStyle name="常规 3 3 6 8 2" xfId="28496"/>
    <cellStyle name="常规 3 3 6 9" xfId="19074"/>
    <cellStyle name="常规 3 3 7" xfId="595"/>
    <cellStyle name="常规 3 3 7 2" xfId="1379"/>
    <cellStyle name="常规 3 3 7 2 2" xfId="4515"/>
    <cellStyle name="常规 3 3 7 2 2 2" xfId="13935"/>
    <cellStyle name="常规 3 3 7 2 2 2 2" xfId="32783"/>
    <cellStyle name="常规 3 3 7 2 2 3" xfId="23359"/>
    <cellStyle name="常规 3 3 7 2 3" xfId="7651"/>
    <cellStyle name="常规 3 3 7 2 3 2" xfId="17071"/>
    <cellStyle name="常规 3 3 7 2 3 2 2" xfId="35919"/>
    <cellStyle name="常规 3 3 7 2 3 3" xfId="26495"/>
    <cellStyle name="常规 3 3 7 2 4" xfId="10799"/>
    <cellStyle name="常规 3 3 7 2 4 2" xfId="29647"/>
    <cellStyle name="常规 3 3 7 2 5" xfId="20223"/>
    <cellStyle name="常规 3 3 7 3" xfId="2163"/>
    <cellStyle name="常规 3 3 7 3 2" xfId="5299"/>
    <cellStyle name="常规 3 3 7 3 2 2" xfId="14719"/>
    <cellStyle name="常规 3 3 7 3 2 2 2" xfId="33567"/>
    <cellStyle name="常规 3 3 7 3 2 3" xfId="24143"/>
    <cellStyle name="常规 3 3 7 3 3" xfId="8435"/>
    <cellStyle name="常规 3 3 7 3 3 2" xfId="17855"/>
    <cellStyle name="常规 3 3 7 3 3 2 2" xfId="36703"/>
    <cellStyle name="常规 3 3 7 3 3 3" xfId="27279"/>
    <cellStyle name="常规 3 3 7 3 4" xfId="11583"/>
    <cellStyle name="常规 3 3 7 3 4 2" xfId="30431"/>
    <cellStyle name="常规 3 3 7 3 5" xfId="21007"/>
    <cellStyle name="常规 3 3 7 4" xfId="2947"/>
    <cellStyle name="常规 3 3 7 4 2" xfId="6083"/>
    <cellStyle name="常规 3 3 7 4 2 2" xfId="15503"/>
    <cellStyle name="常规 3 3 7 4 2 2 2" xfId="34351"/>
    <cellStyle name="常规 3 3 7 4 2 3" xfId="24927"/>
    <cellStyle name="常规 3 3 7 4 3" xfId="9219"/>
    <cellStyle name="常规 3 3 7 4 3 2" xfId="18639"/>
    <cellStyle name="常规 3 3 7 4 3 2 2" xfId="37487"/>
    <cellStyle name="常规 3 3 7 4 3 3" xfId="28063"/>
    <cellStyle name="常规 3 3 7 4 4" xfId="12367"/>
    <cellStyle name="常规 3 3 7 4 4 2" xfId="31215"/>
    <cellStyle name="常规 3 3 7 4 5" xfId="21791"/>
    <cellStyle name="常规 3 3 7 5" xfId="3731"/>
    <cellStyle name="常规 3 3 7 5 2" xfId="13151"/>
    <cellStyle name="常规 3 3 7 5 2 2" xfId="31999"/>
    <cellStyle name="常规 3 3 7 5 3" xfId="22575"/>
    <cellStyle name="常规 3 3 7 6" xfId="6867"/>
    <cellStyle name="常规 3 3 7 6 2" xfId="16287"/>
    <cellStyle name="常规 3 3 7 6 2 2" xfId="35135"/>
    <cellStyle name="常规 3 3 7 6 3" xfId="25711"/>
    <cellStyle name="常规 3 3 7 7" xfId="10015"/>
    <cellStyle name="常规 3 3 7 7 2" xfId="28863"/>
    <cellStyle name="常规 3 3 7 8" xfId="19439"/>
    <cellStyle name="常规 3 3 8" xfId="985"/>
    <cellStyle name="常规 3 3 8 2" xfId="4121"/>
    <cellStyle name="常规 3 3 8 2 2" xfId="13541"/>
    <cellStyle name="常规 3 3 8 2 2 2" xfId="32389"/>
    <cellStyle name="常规 3 3 8 2 3" xfId="22965"/>
    <cellStyle name="常规 3 3 8 3" xfId="7257"/>
    <cellStyle name="常规 3 3 8 3 2" xfId="16677"/>
    <cellStyle name="常规 3 3 8 3 2 2" xfId="35525"/>
    <cellStyle name="常规 3 3 8 3 3" xfId="26101"/>
    <cellStyle name="常规 3 3 8 4" xfId="10405"/>
    <cellStyle name="常规 3 3 8 4 2" xfId="29253"/>
    <cellStyle name="常规 3 3 8 5" xfId="19829"/>
    <cellStyle name="常规 3 3 9" xfId="1769"/>
    <cellStyle name="常规 3 3 9 2" xfId="4905"/>
    <cellStyle name="常规 3 3 9 2 2" xfId="14325"/>
    <cellStyle name="常规 3 3 9 2 2 2" xfId="33173"/>
    <cellStyle name="常规 3 3 9 2 3" xfId="23749"/>
    <cellStyle name="常规 3 3 9 3" xfId="8041"/>
    <cellStyle name="常规 3 3 9 3 2" xfId="17461"/>
    <cellStyle name="常规 3 3 9 3 2 2" xfId="36309"/>
    <cellStyle name="常规 3 3 9 3 3" xfId="26885"/>
    <cellStyle name="常规 3 3 9 4" xfId="11189"/>
    <cellStyle name="常规 3 3 9 4 2" xfId="30037"/>
    <cellStyle name="常规 3 3 9 5" xfId="20613"/>
    <cellStyle name="常规 3 4" xfId="229"/>
    <cellStyle name="常规 3 4 10" xfId="3173"/>
    <cellStyle name="常规 3 4 10 2" xfId="12593"/>
    <cellStyle name="常规 3 4 10 2 2" xfId="31441"/>
    <cellStyle name="常规 3 4 10 3" xfId="22017"/>
    <cellStyle name="常规 3 4 11" xfId="6505"/>
    <cellStyle name="常规 3 4 11 2" xfId="15925"/>
    <cellStyle name="常规 3 4 11 2 2" xfId="34773"/>
    <cellStyle name="常规 3 4 11 3" xfId="25349"/>
    <cellStyle name="常规 3 4 12" xfId="9652"/>
    <cellStyle name="常规 3 4 12 2" xfId="28497"/>
    <cellStyle name="常规 3 4 13" xfId="19075"/>
    <cellStyle name="常规 3 4 2" xfId="230"/>
    <cellStyle name="常规 3 4 2 10" xfId="6506"/>
    <cellStyle name="常规 3 4 2 10 2" xfId="15926"/>
    <cellStyle name="常规 3 4 2 10 2 2" xfId="34774"/>
    <cellStyle name="常规 3 4 2 10 3" xfId="25350"/>
    <cellStyle name="常规 3 4 2 11" xfId="9653"/>
    <cellStyle name="常规 3 4 2 11 2" xfId="28498"/>
    <cellStyle name="常规 3 4 2 12" xfId="19076"/>
    <cellStyle name="常规 3 4 2 2" xfId="231"/>
    <cellStyle name="常规 3 4 2 2 10" xfId="9654"/>
    <cellStyle name="常规 3 4 2 2 10 2" xfId="28499"/>
    <cellStyle name="常规 3 4 2 2 11" xfId="19077"/>
    <cellStyle name="常规 3 4 2 2 2" xfId="232"/>
    <cellStyle name="常规 3 4 2 2 2 10" xfId="19078"/>
    <cellStyle name="常规 3 4 2 2 2 2" xfId="233"/>
    <cellStyle name="常规 3 4 2 2 2 2 2" xfId="631"/>
    <cellStyle name="常规 3 4 2 2 2 2 2 2" xfId="1415"/>
    <cellStyle name="常规 3 4 2 2 2 2 2 2 2" xfId="4551"/>
    <cellStyle name="常规 3 4 2 2 2 2 2 2 2 2" xfId="13971"/>
    <cellStyle name="常规 3 4 2 2 2 2 2 2 2 2 2" xfId="32819"/>
    <cellStyle name="常规 3 4 2 2 2 2 2 2 2 3" xfId="23395"/>
    <cellStyle name="常规 3 4 2 2 2 2 2 2 3" xfId="7687"/>
    <cellStyle name="常规 3 4 2 2 2 2 2 2 3 2" xfId="17107"/>
    <cellStyle name="常规 3 4 2 2 2 2 2 2 3 2 2" xfId="35955"/>
    <cellStyle name="常规 3 4 2 2 2 2 2 2 3 3" xfId="26531"/>
    <cellStyle name="常规 3 4 2 2 2 2 2 2 4" xfId="10835"/>
    <cellStyle name="常规 3 4 2 2 2 2 2 2 4 2" xfId="29683"/>
    <cellStyle name="常规 3 4 2 2 2 2 2 2 5" xfId="20259"/>
    <cellStyle name="常规 3 4 2 2 2 2 2 3" xfId="2199"/>
    <cellStyle name="常规 3 4 2 2 2 2 2 3 2" xfId="5335"/>
    <cellStyle name="常规 3 4 2 2 2 2 2 3 2 2" xfId="14755"/>
    <cellStyle name="常规 3 4 2 2 2 2 2 3 2 2 2" xfId="33603"/>
    <cellStyle name="常规 3 4 2 2 2 2 2 3 2 3" xfId="24179"/>
    <cellStyle name="常规 3 4 2 2 2 2 2 3 3" xfId="8471"/>
    <cellStyle name="常规 3 4 2 2 2 2 2 3 3 2" xfId="17891"/>
    <cellStyle name="常规 3 4 2 2 2 2 2 3 3 2 2" xfId="36739"/>
    <cellStyle name="常规 3 4 2 2 2 2 2 3 3 3" xfId="27315"/>
    <cellStyle name="常规 3 4 2 2 2 2 2 3 4" xfId="11619"/>
    <cellStyle name="常规 3 4 2 2 2 2 2 3 4 2" xfId="30467"/>
    <cellStyle name="常规 3 4 2 2 2 2 2 3 5" xfId="21043"/>
    <cellStyle name="常规 3 4 2 2 2 2 2 4" xfId="2983"/>
    <cellStyle name="常规 3 4 2 2 2 2 2 4 2" xfId="6119"/>
    <cellStyle name="常规 3 4 2 2 2 2 2 4 2 2" xfId="15539"/>
    <cellStyle name="常规 3 4 2 2 2 2 2 4 2 2 2" xfId="34387"/>
    <cellStyle name="常规 3 4 2 2 2 2 2 4 2 3" xfId="24963"/>
    <cellStyle name="常规 3 4 2 2 2 2 2 4 3" xfId="9255"/>
    <cellStyle name="常规 3 4 2 2 2 2 2 4 3 2" xfId="18675"/>
    <cellStyle name="常规 3 4 2 2 2 2 2 4 3 2 2" xfId="37523"/>
    <cellStyle name="常规 3 4 2 2 2 2 2 4 3 3" xfId="28099"/>
    <cellStyle name="常规 3 4 2 2 2 2 2 4 4" xfId="12403"/>
    <cellStyle name="常规 3 4 2 2 2 2 2 4 4 2" xfId="31251"/>
    <cellStyle name="常规 3 4 2 2 2 2 2 4 5" xfId="21827"/>
    <cellStyle name="常规 3 4 2 2 2 2 2 5" xfId="3767"/>
    <cellStyle name="常规 3 4 2 2 2 2 2 5 2" xfId="13187"/>
    <cellStyle name="常规 3 4 2 2 2 2 2 5 2 2" xfId="32035"/>
    <cellStyle name="常规 3 4 2 2 2 2 2 5 3" xfId="22611"/>
    <cellStyle name="常规 3 4 2 2 2 2 2 6" xfId="6903"/>
    <cellStyle name="常规 3 4 2 2 2 2 2 6 2" xfId="16323"/>
    <cellStyle name="常规 3 4 2 2 2 2 2 6 2 2" xfId="35171"/>
    <cellStyle name="常规 3 4 2 2 2 2 2 6 3" xfId="25747"/>
    <cellStyle name="常规 3 4 2 2 2 2 2 7" xfId="10051"/>
    <cellStyle name="常规 3 4 2 2 2 2 2 7 2" xfId="28899"/>
    <cellStyle name="常规 3 4 2 2 2 2 2 8" xfId="19475"/>
    <cellStyle name="常规 3 4 2 2 2 2 3" xfId="1021"/>
    <cellStyle name="常规 3 4 2 2 2 2 3 2" xfId="4157"/>
    <cellStyle name="常规 3 4 2 2 2 2 3 2 2" xfId="13577"/>
    <cellStyle name="常规 3 4 2 2 2 2 3 2 2 2" xfId="32425"/>
    <cellStyle name="常规 3 4 2 2 2 2 3 2 3" xfId="23001"/>
    <cellStyle name="常规 3 4 2 2 2 2 3 3" xfId="7293"/>
    <cellStyle name="常规 3 4 2 2 2 2 3 3 2" xfId="16713"/>
    <cellStyle name="常规 3 4 2 2 2 2 3 3 2 2" xfId="35561"/>
    <cellStyle name="常规 3 4 2 2 2 2 3 3 3" xfId="26137"/>
    <cellStyle name="常规 3 4 2 2 2 2 3 4" xfId="10441"/>
    <cellStyle name="常规 3 4 2 2 2 2 3 4 2" xfId="29289"/>
    <cellStyle name="常规 3 4 2 2 2 2 3 5" xfId="19865"/>
    <cellStyle name="常规 3 4 2 2 2 2 4" xfId="1805"/>
    <cellStyle name="常规 3 4 2 2 2 2 4 2" xfId="4941"/>
    <cellStyle name="常规 3 4 2 2 2 2 4 2 2" xfId="14361"/>
    <cellStyle name="常规 3 4 2 2 2 2 4 2 2 2" xfId="33209"/>
    <cellStyle name="常规 3 4 2 2 2 2 4 2 3" xfId="23785"/>
    <cellStyle name="常规 3 4 2 2 2 2 4 3" xfId="8077"/>
    <cellStyle name="常规 3 4 2 2 2 2 4 3 2" xfId="17497"/>
    <cellStyle name="常规 3 4 2 2 2 2 4 3 2 2" xfId="36345"/>
    <cellStyle name="常规 3 4 2 2 2 2 4 3 3" xfId="26921"/>
    <cellStyle name="常规 3 4 2 2 2 2 4 4" xfId="11225"/>
    <cellStyle name="常规 3 4 2 2 2 2 4 4 2" xfId="30073"/>
    <cellStyle name="常规 3 4 2 2 2 2 4 5" xfId="20649"/>
    <cellStyle name="常规 3 4 2 2 2 2 5" xfId="2589"/>
    <cellStyle name="常规 3 4 2 2 2 2 5 2" xfId="5725"/>
    <cellStyle name="常规 3 4 2 2 2 2 5 2 2" xfId="15145"/>
    <cellStyle name="常规 3 4 2 2 2 2 5 2 2 2" xfId="33993"/>
    <cellStyle name="常规 3 4 2 2 2 2 5 2 3" xfId="24569"/>
    <cellStyle name="常规 3 4 2 2 2 2 5 3" xfId="8861"/>
    <cellStyle name="常规 3 4 2 2 2 2 5 3 2" xfId="18281"/>
    <cellStyle name="常规 3 4 2 2 2 2 5 3 2 2" xfId="37129"/>
    <cellStyle name="常规 3 4 2 2 2 2 5 3 3" xfId="27705"/>
    <cellStyle name="常规 3 4 2 2 2 2 5 4" xfId="12009"/>
    <cellStyle name="常规 3 4 2 2 2 2 5 4 2" xfId="30857"/>
    <cellStyle name="常规 3 4 2 2 2 2 5 5" xfId="21433"/>
    <cellStyle name="常规 3 4 2 2 2 2 6" xfId="3410"/>
    <cellStyle name="常规 3 4 2 2 2 2 6 2" xfId="12830"/>
    <cellStyle name="常规 3 4 2 2 2 2 6 2 2" xfId="31678"/>
    <cellStyle name="常规 3 4 2 2 2 2 6 3" xfId="22254"/>
    <cellStyle name="常规 3 4 2 2 2 2 7" xfId="6509"/>
    <cellStyle name="常规 3 4 2 2 2 2 7 2" xfId="15929"/>
    <cellStyle name="常规 3 4 2 2 2 2 7 2 2" xfId="34777"/>
    <cellStyle name="常规 3 4 2 2 2 2 7 3" xfId="25353"/>
    <cellStyle name="常规 3 4 2 2 2 2 8" xfId="9656"/>
    <cellStyle name="常规 3 4 2 2 2 2 8 2" xfId="28501"/>
    <cellStyle name="常规 3 4 2 2 2 2 9" xfId="19079"/>
    <cellStyle name="常规 3 4 2 2 2 3" xfId="630"/>
    <cellStyle name="常规 3 4 2 2 2 3 2" xfId="1414"/>
    <cellStyle name="常规 3 4 2 2 2 3 2 2" xfId="4550"/>
    <cellStyle name="常规 3 4 2 2 2 3 2 2 2" xfId="13970"/>
    <cellStyle name="常规 3 4 2 2 2 3 2 2 2 2" xfId="32818"/>
    <cellStyle name="常规 3 4 2 2 2 3 2 2 3" xfId="23394"/>
    <cellStyle name="常规 3 4 2 2 2 3 2 3" xfId="7686"/>
    <cellStyle name="常规 3 4 2 2 2 3 2 3 2" xfId="17106"/>
    <cellStyle name="常规 3 4 2 2 2 3 2 3 2 2" xfId="35954"/>
    <cellStyle name="常规 3 4 2 2 2 3 2 3 3" xfId="26530"/>
    <cellStyle name="常规 3 4 2 2 2 3 2 4" xfId="10834"/>
    <cellStyle name="常规 3 4 2 2 2 3 2 4 2" xfId="29682"/>
    <cellStyle name="常规 3 4 2 2 2 3 2 5" xfId="20258"/>
    <cellStyle name="常规 3 4 2 2 2 3 3" xfId="2198"/>
    <cellStyle name="常规 3 4 2 2 2 3 3 2" xfId="5334"/>
    <cellStyle name="常规 3 4 2 2 2 3 3 2 2" xfId="14754"/>
    <cellStyle name="常规 3 4 2 2 2 3 3 2 2 2" xfId="33602"/>
    <cellStyle name="常规 3 4 2 2 2 3 3 2 3" xfId="24178"/>
    <cellStyle name="常规 3 4 2 2 2 3 3 3" xfId="8470"/>
    <cellStyle name="常规 3 4 2 2 2 3 3 3 2" xfId="17890"/>
    <cellStyle name="常规 3 4 2 2 2 3 3 3 2 2" xfId="36738"/>
    <cellStyle name="常规 3 4 2 2 2 3 3 3 3" xfId="27314"/>
    <cellStyle name="常规 3 4 2 2 2 3 3 4" xfId="11618"/>
    <cellStyle name="常规 3 4 2 2 2 3 3 4 2" xfId="30466"/>
    <cellStyle name="常规 3 4 2 2 2 3 3 5" xfId="21042"/>
    <cellStyle name="常规 3 4 2 2 2 3 4" xfId="2982"/>
    <cellStyle name="常规 3 4 2 2 2 3 4 2" xfId="6118"/>
    <cellStyle name="常规 3 4 2 2 2 3 4 2 2" xfId="15538"/>
    <cellStyle name="常规 3 4 2 2 2 3 4 2 2 2" xfId="34386"/>
    <cellStyle name="常规 3 4 2 2 2 3 4 2 3" xfId="24962"/>
    <cellStyle name="常规 3 4 2 2 2 3 4 3" xfId="9254"/>
    <cellStyle name="常规 3 4 2 2 2 3 4 3 2" xfId="18674"/>
    <cellStyle name="常规 3 4 2 2 2 3 4 3 2 2" xfId="37522"/>
    <cellStyle name="常规 3 4 2 2 2 3 4 3 3" xfId="28098"/>
    <cellStyle name="常规 3 4 2 2 2 3 4 4" xfId="12402"/>
    <cellStyle name="常规 3 4 2 2 2 3 4 4 2" xfId="31250"/>
    <cellStyle name="常规 3 4 2 2 2 3 4 5" xfId="21826"/>
    <cellStyle name="常规 3 4 2 2 2 3 5" xfId="3766"/>
    <cellStyle name="常规 3 4 2 2 2 3 5 2" xfId="13186"/>
    <cellStyle name="常规 3 4 2 2 2 3 5 2 2" xfId="32034"/>
    <cellStyle name="常规 3 4 2 2 2 3 5 3" xfId="22610"/>
    <cellStyle name="常规 3 4 2 2 2 3 6" xfId="6902"/>
    <cellStyle name="常规 3 4 2 2 2 3 6 2" xfId="16322"/>
    <cellStyle name="常规 3 4 2 2 2 3 6 2 2" xfId="35170"/>
    <cellStyle name="常规 3 4 2 2 2 3 6 3" xfId="25746"/>
    <cellStyle name="常规 3 4 2 2 2 3 7" xfId="10050"/>
    <cellStyle name="常规 3 4 2 2 2 3 7 2" xfId="28898"/>
    <cellStyle name="常规 3 4 2 2 2 3 8" xfId="19474"/>
    <cellStyle name="常规 3 4 2 2 2 4" xfId="1020"/>
    <cellStyle name="常规 3 4 2 2 2 4 2" xfId="4156"/>
    <cellStyle name="常规 3 4 2 2 2 4 2 2" xfId="13576"/>
    <cellStyle name="常规 3 4 2 2 2 4 2 2 2" xfId="32424"/>
    <cellStyle name="常规 3 4 2 2 2 4 2 3" xfId="23000"/>
    <cellStyle name="常规 3 4 2 2 2 4 3" xfId="7292"/>
    <cellStyle name="常规 3 4 2 2 2 4 3 2" xfId="16712"/>
    <cellStyle name="常规 3 4 2 2 2 4 3 2 2" xfId="35560"/>
    <cellStyle name="常规 3 4 2 2 2 4 3 3" xfId="26136"/>
    <cellStyle name="常规 3 4 2 2 2 4 4" xfId="10440"/>
    <cellStyle name="常规 3 4 2 2 2 4 4 2" xfId="29288"/>
    <cellStyle name="常规 3 4 2 2 2 4 5" xfId="19864"/>
    <cellStyle name="常规 3 4 2 2 2 5" xfId="1804"/>
    <cellStyle name="常规 3 4 2 2 2 5 2" xfId="4940"/>
    <cellStyle name="常规 3 4 2 2 2 5 2 2" xfId="14360"/>
    <cellStyle name="常规 3 4 2 2 2 5 2 2 2" xfId="33208"/>
    <cellStyle name="常规 3 4 2 2 2 5 2 3" xfId="23784"/>
    <cellStyle name="常规 3 4 2 2 2 5 3" xfId="8076"/>
    <cellStyle name="常规 3 4 2 2 2 5 3 2" xfId="17496"/>
    <cellStyle name="常规 3 4 2 2 2 5 3 2 2" xfId="36344"/>
    <cellStyle name="常规 3 4 2 2 2 5 3 3" xfId="26920"/>
    <cellStyle name="常规 3 4 2 2 2 5 4" xfId="11224"/>
    <cellStyle name="常规 3 4 2 2 2 5 4 2" xfId="30072"/>
    <cellStyle name="常规 3 4 2 2 2 5 5" xfId="20648"/>
    <cellStyle name="常规 3 4 2 2 2 6" xfId="2588"/>
    <cellStyle name="常规 3 4 2 2 2 6 2" xfId="5724"/>
    <cellStyle name="常规 3 4 2 2 2 6 2 2" xfId="15144"/>
    <cellStyle name="常规 3 4 2 2 2 6 2 2 2" xfId="33992"/>
    <cellStyle name="常规 3 4 2 2 2 6 2 3" xfId="24568"/>
    <cellStyle name="常规 3 4 2 2 2 6 3" xfId="8860"/>
    <cellStyle name="常规 3 4 2 2 2 6 3 2" xfId="18280"/>
    <cellStyle name="常规 3 4 2 2 2 6 3 2 2" xfId="37128"/>
    <cellStyle name="常规 3 4 2 2 2 6 3 3" xfId="27704"/>
    <cellStyle name="常规 3 4 2 2 2 6 4" xfId="12008"/>
    <cellStyle name="常规 3 4 2 2 2 6 4 2" xfId="30856"/>
    <cellStyle name="常规 3 4 2 2 2 6 5" xfId="21432"/>
    <cellStyle name="常规 3 4 2 2 2 7" xfId="3409"/>
    <cellStyle name="常规 3 4 2 2 2 7 2" xfId="12829"/>
    <cellStyle name="常规 3 4 2 2 2 7 2 2" xfId="31677"/>
    <cellStyle name="常规 3 4 2 2 2 7 3" xfId="22253"/>
    <cellStyle name="常规 3 4 2 2 2 8" xfId="6508"/>
    <cellStyle name="常规 3 4 2 2 2 8 2" xfId="15928"/>
    <cellStyle name="常规 3 4 2 2 2 8 2 2" xfId="34776"/>
    <cellStyle name="常规 3 4 2 2 2 8 3" xfId="25352"/>
    <cellStyle name="常规 3 4 2 2 2 9" xfId="9655"/>
    <cellStyle name="常规 3 4 2 2 2 9 2" xfId="28500"/>
    <cellStyle name="常规 3 4 2 2 3" xfId="234"/>
    <cellStyle name="常规 3 4 2 2 3 2" xfId="632"/>
    <cellStyle name="常规 3 4 2 2 3 2 2" xfId="1416"/>
    <cellStyle name="常规 3 4 2 2 3 2 2 2" xfId="4552"/>
    <cellStyle name="常规 3 4 2 2 3 2 2 2 2" xfId="13972"/>
    <cellStyle name="常规 3 4 2 2 3 2 2 2 2 2" xfId="32820"/>
    <cellStyle name="常规 3 4 2 2 3 2 2 2 3" xfId="23396"/>
    <cellStyle name="常规 3 4 2 2 3 2 2 3" xfId="7688"/>
    <cellStyle name="常规 3 4 2 2 3 2 2 3 2" xfId="17108"/>
    <cellStyle name="常规 3 4 2 2 3 2 2 3 2 2" xfId="35956"/>
    <cellStyle name="常规 3 4 2 2 3 2 2 3 3" xfId="26532"/>
    <cellStyle name="常规 3 4 2 2 3 2 2 4" xfId="10836"/>
    <cellStyle name="常规 3 4 2 2 3 2 2 4 2" xfId="29684"/>
    <cellStyle name="常规 3 4 2 2 3 2 2 5" xfId="20260"/>
    <cellStyle name="常规 3 4 2 2 3 2 3" xfId="2200"/>
    <cellStyle name="常规 3 4 2 2 3 2 3 2" xfId="5336"/>
    <cellStyle name="常规 3 4 2 2 3 2 3 2 2" xfId="14756"/>
    <cellStyle name="常规 3 4 2 2 3 2 3 2 2 2" xfId="33604"/>
    <cellStyle name="常规 3 4 2 2 3 2 3 2 3" xfId="24180"/>
    <cellStyle name="常规 3 4 2 2 3 2 3 3" xfId="8472"/>
    <cellStyle name="常规 3 4 2 2 3 2 3 3 2" xfId="17892"/>
    <cellStyle name="常规 3 4 2 2 3 2 3 3 2 2" xfId="36740"/>
    <cellStyle name="常规 3 4 2 2 3 2 3 3 3" xfId="27316"/>
    <cellStyle name="常规 3 4 2 2 3 2 3 4" xfId="11620"/>
    <cellStyle name="常规 3 4 2 2 3 2 3 4 2" xfId="30468"/>
    <cellStyle name="常规 3 4 2 2 3 2 3 5" xfId="21044"/>
    <cellStyle name="常规 3 4 2 2 3 2 4" xfId="2984"/>
    <cellStyle name="常规 3 4 2 2 3 2 4 2" xfId="6120"/>
    <cellStyle name="常规 3 4 2 2 3 2 4 2 2" xfId="15540"/>
    <cellStyle name="常规 3 4 2 2 3 2 4 2 2 2" xfId="34388"/>
    <cellStyle name="常规 3 4 2 2 3 2 4 2 3" xfId="24964"/>
    <cellStyle name="常规 3 4 2 2 3 2 4 3" xfId="9256"/>
    <cellStyle name="常规 3 4 2 2 3 2 4 3 2" xfId="18676"/>
    <cellStyle name="常规 3 4 2 2 3 2 4 3 2 2" xfId="37524"/>
    <cellStyle name="常规 3 4 2 2 3 2 4 3 3" xfId="28100"/>
    <cellStyle name="常规 3 4 2 2 3 2 4 4" xfId="12404"/>
    <cellStyle name="常规 3 4 2 2 3 2 4 4 2" xfId="31252"/>
    <cellStyle name="常规 3 4 2 2 3 2 4 5" xfId="21828"/>
    <cellStyle name="常规 3 4 2 2 3 2 5" xfId="3768"/>
    <cellStyle name="常规 3 4 2 2 3 2 5 2" xfId="13188"/>
    <cellStyle name="常规 3 4 2 2 3 2 5 2 2" xfId="32036"/>
    <cellStyle name="常规 3 4 2 2 3 2 5 3" xfId="22612"/>
    <cellStyle name="常规 3 4 2 2 3 2 6" xfId="6904"/>
    <cellStyle name="常规 3 4 2 2 3 2 6 2" xfId="16324"/>
    <cellStyle name="常规 3 4 2 2 3 2 6 2 2" xfId="35172"/>
    <cellStyle name="常规 3 4 2 2 3 2 6 3" xfId="25748"/>
    <cellStyle name="常规 3 4 2 2 3 2 7" xfId="10052"/>
    <cellStyle name="常规 3 4 2 2 3 2 7 2" xfId="28900"/>
    <cellStyle name="常规 3 4 2 2 3 2 8" xfId="19476"/>
    <cellStyle name="常规 3 4 2 2 3 3" xfId="1022"/>
    <cellStyle name="常规 3 4 2 2 3 3 2" xfId="4158"/>
    <cellStyle name="常规 3 4 2 2 3 3 2 2" xfId="13578"/>
    <cellStyle name="常规 3 4 2 2 3 3 2 2 2" xfId="32426"/>
    <cellStyle name="常规 3 4 2 2 3 3 2 3" xfId="23002"/>
    <cellStyle name="常规 3 4 2 2 3 3 3" xfId="7294"/>
    <cellStyle name="常规 3 4 2 2 3 3 3 2" xfId="16714"/>
    <cellStyle name="常规 3 4 2 2 3 3 3 2 2" xfId="35562"/>
    <cellStyle name="常规 3 4 2 2 3 3 3 3" xfId="26138"/>
    <cellStyle name="常规 3 4 2 2 3 3 4" xfId="10442"/>
    <cellStyle name="常规 3 4 2 2 3 3 4 2" xfId="29290"/>
    <cellStyle name="常规 3 4 2 2 3 3 5" xfId="19866"/>
    <cellStyle name="常规 3 4 2 2 3 4" xfId="1806"/>
    <cellStyle name="常规 3 4 2 2 3 4 2" xfId="4942"/>
    <cellStyle name="常规 3 4 2 2 3 4 2 2" xfId="14362"/>
    <cellStyle name="常规 3 4 2 2 3 4 2 2 2" xfId="33210"/>
    <cellStyle name="常规 3 4 2 2 3 4 2 3" xfId="23786"/>
    <cellStyle name="常规 3 4 2 2 3 4 3" xfId="8078"/>
    <cellStyle name="常规 3 4 2 2 3 4 3 2" xfId="17498"/>
    <cellStyle name="常规 3 4 2 2 3 4 3 2 2" xfId="36346"/>
    <cellStyle name="常规 3 4 2 2 3 4 3 3" xfId="26922"/>
    <cellStyle name="常规 3 4 2 2 3 4 4" xfId="11226"/>
    <cellStyle name="常规 3 4 2 2 3 4 4 2" xfId="30074"/>
    <cellStyle name="常规 3 4 2 2 3 4 5" xfId="20650"/>
    <cellStyle name="常规 3 4 2 2 3 5" xfId="2590"/>
    <cellStyle name="常规 3 4 2 2 3 5 2" xfId="5726"/>
    <cellStyle name="常规 3 4 2 2 3 5 2 2" xfId="15146"/>
    <cellStyle name="常规 3 4 2 2 3 5 2 2 2" xfId="33994"/>
    <cellStyle name="常规 3 4 2 2 3 5 2 3" xfId="24570"/>
    <cellStyle name="常规 3 4 2 2 3 5 3" xfId="8862"/>
    <cellStyle name="常规 3 4 2 2 3 5 3 2" xfId="18282"/>
    <cellStyle name="常规 3 4 2 2 3 5 3 2 2" xfId="37130"/>
    <cellStyle name="常规 3 4 2 2 3 5 3 3" xfId="27706"/>
    <cellStyle name="常规 3 4 2 2 3 5 4" xfId="12010"/>
    <cellStyle name="常规 3 4 2 2 3 5 4 2" xfId="30858"/>
    <cellStyle name="常规 3 4 2 2 3 5 5" xfId="21434"/>
    <cellStyle name="常规 3 4 2 2 3 6" xfId="3411"/>
    <cellStyle name="常规 3 4 2 2 3 6 2" xfId="12831"/>
    <cellStyle name="常规 3 4 2 2 3 6 2 2" xfId="31679"/>
    <cellStyle name="常规 3 4 2 2 3 6 3" xfId="22255"/>
    <cellStyle name="常规 3 4 2 2 3 7" xfId="6510"/>
    <cellStyle name="常规 3 4 2 2 3 7 2" xfId="15930"/>
    <cellStyle name="常规 3 4 2 2 3 7 2 2" xfId="34778"/>
    <cellStyle name="常规 3 4 2 2 3 7 3" xfId="25354"/>
    <cellStyle name="常规 3 4 2 2 3 8" xfId="9657"/>
    <cellStyle name="常规 3 4 2 2 3 8 2" xfId="28502"/>
    <cellStyle name="常规 3 4 2 2 3 9" xfId="19080"/>
    <cellStyle name="常规 3 4 2 2 4" xfId="629"/>
    <cellStyle name="常规 3 4 2 2 4 2" xfId="1413"/>
    <cellStyle name="常规 3 4 2 2 4 2 2" xfId="4549"/>
    <cellStyle name="常规 3 4 2 2 4 2 2 2" xfId="13969"/>
    <cellStyle name="常规 3 4 2 2 4 2 2 2 2" xfId="32817"/>
    <cellStyle name="常规 3 4 2 2 4 2 2 3" xfId="23393"/>
    <cellStyle name="常规 3 4 2 2 4 2 3" xfId="7685"/>
    <cellStyle name="常规 3 4 2 2 4 2 3 2" xfId="17105"/>
    <cellStyle name="常规 3 4 2 2 4 2 3 2 2" xfId="35953"/>
    <cellStyle name="常规 3 4 2 2 4 2 3 3" xfId="26529"/>
    <cellStyle name="常规 3 4 2 2 4 2 4" xfId="10833"/>
    <cellStyle name="常规 3 4 2 2 4 2 4 2" xfId="29681"/>
    <cellStyle name="常规 3 4 2 2 4 2 5" xfId="20257"/>
    <cellStyle name="常规 3 4 2 2 4 3" xfId="2197"/>
    <cellStyle name="常规 3 4 2 2 4 3 2" xfId="5333"/>
    <cellStyle name="常规 3 4 2 2 4 3 2 2" xfId="14753"/>
    <cellStyle name="常规 3 4 2 2 4 3 2 2 2" xfId="33601"/>
    <cellStyle name="常规 3 4 2 2 4 3 2 3" xfId="24177"/>
    <cellStyle name="常规 3 4 2 2 4 3 3" xfId="8469"/>
    <cellStyle name="常规 3 4 2 2 4 3 3 2" xfId="17889"/>
    <cellStyle name="常规 3 4 2 2 4 3 3 2 2" xfId="36737"/>
    <cellStyle name="常规 3 4 2 2 4 3 3 3" xfId="27313"/>
    <cellStyle name="常规 3 4 2 2 4 3 4" xfId="11617"/>
    <cellStyle name="常规 3 4 2 2 4 3 4 2" xfId="30465"/>
    <cellStyle name="常规 3 4 2 2 4 3 5" xfId="21041"/>
    <cellStyle name="常规 3 4 2 2 4 4" xfId="2981"/>
    <cellStyle name="常规 3 4 2 2 4 4 2" xfId="6117"/>
    <cellStyle name="常规 3 4 2 2 4 4 2 2" xfId="15537"/>
    <cellStyle name="常规 3 4 2 2 4 4 2 2 2" xfId="34385"/>
    <cellStyle name="常规 3 4 2 2 4 4 2 3" xfId="24961"/>
    <cellStyle name="常规 3 4 2 2 4 4 3" xfId="9253"/>
    <cellStyle name="常规 3 4 2 2 4 4 3 2" xfId="18673"/>
    <cellStyle name="常规 3 4 2 2 4 4 3 2 2" xfId="37521"/>
    <cellStyle name="常规 3 4 2 2 4 4 3 3" xfId="28097"/>
    <cellStyle name="常规 3 4 2 2 4 4 4" xfId="12401"/>
    <cellStyle name="常规 3 4 2 2 4 4 4 2" xfId="31249"/>
    <cellStyle name="常规 3 4 2 2 4 4 5" xfId="21825"/>
    <cellStyle name="常规 3 4 2 2 4 5" xfId="3765"/>
    <cellStyle name="常规 3 4 2 2 4 5 2" xfId="13185"/>
    <cellStyle name="常规 3 4 2 2 4 5 2 2" xfId="32033"/>
    <cellStyle name="常规 3 4 2 2 4 5 3" xfId="22609"/>
    <cellStyle name="常规 3 4 2 2 4 6" xfId="6901"/>
    <cellStyle name="常规 3 4 2 2 4 6 2" xfId="16321"/>
    <cellStyle name="常规 3 4 2 2 4 6 2 2" xfId="35169"/>
    <cellStyle name="常规 3 4 2 2 4 6 3" xfId="25745"/>
    <cellStyle name="常规 3 4 2 2 4 7" xfId="10049"/>
    <cellStyle name="常规 3 4 2 2 4 7 2" xfId="28897"/>
    <cellStyle name="常规 3 4 2 2 4 8" xfId="19473"/>
    <cellStyle name="常规 3 4 2 2 5" xfId="1019"/>
    <cellStyle name="常规 3 4 2 2 5 2" xfId="4155"/>
    <cellStyle name="常规 3 4 2 2 5 2 2" xfId="13575"/>
    <cellStyle name="常规 3 4 2 2 5 2 2 2" xfId="32423"/>
    <cellStyle name="常规 3 4 2 2 5 2 3" xfId="22999"/>
    <cellStyle name="常规 3 4 2 2 5 3" xfId="7291"/>
    <cellStyle name="常规 3 4 2 2 5 3 2" xfId="16711"/>
    <cellStyle name="常规 3 4 2 2 5 3 2 2" xfId="35559"/>
    <cellStyle name="常规 3 4 2 2 5 3 3" xfId="26135"/>
    <cellStyle name="常规 3 4 2 2 5 4" xfId="10439"/>
    <cellStyle name="常规 3 4 2 2 5 4 2" xfId="29287"/>
    <cellStyle name="常规 3 4 2 2 5 5" xfId="19863"/>
    <cellStyle name="常规 3 4 2 2 6" xfId="1803"/>
    <cellStyle name="常规 3 4 2 2 6 2" xfId="4939"/>
    <cellStyle name="常规 3 4 2 2 6 2 2" xfId="14359"/>
    <cellStyle name="常规 3 4 2 2 6 2 2 2" xfId="33207"/>
    <cellStyle name="常规 3 4 2 2 6 2 3" xfId="23783"/>
    <cellStyle name="常规 3 4 2 2 6 3" xfId="8075"/>
    <cellStyle name="常规 3 4 2 2 6 3 2" xfId="17495"/>
    <cellStyle name="常规 3 4 2 2 6 3 2 2" xfId="36343"/>
    <cellStyle name="常规 3 4 2 2 6 3 3" xfId="26919"/>
    <cellStyle name="常规 3 4 2 2 6 4" xfId="11223"/>
    <cellStyle name="常规 3 4 2 2 6 4 2" xfId="30071"/>
    <cellStyle name="常规 3 4 2 2 6 5" xfId="20647"/>
    <cellStyle name="常规 3 4 2 2 7" xfId="2587"/>
    <cellStyle name="常规 3 4 2 2 7 2" xfId="5723"/>
    <cellStyle name="常规 3 4 2 2 7 2 2" xfId="15143"/>
    <cellStyle name="常规 3 4 2 2 7 2 2 2" xfId="33991"/>
    <cellStyle name="常规 3 4 2 2 7 2 3" xfId="24567"/>
    <cellStyle name="常规 3 4 2 2 7 3" xfId="8859"/>
    <cellStyle name="常规 3 4 2 2 7 3 2" xfId="18279"/>
    <cellStyle name="常规 3 4 2 2 7 3 2 2" xfId="37127"/>
    <cellStyle name="常规 3 4 2 2 7 3 3" xfId="27703"/>
    <cellStyle name="常规 3 4 2 2 7 4" xfId="12007"/>
    <cellStyle name="常规 3 4 2 2 7 4 2" xfId="30855"/>
    <cellStyle name="常规 3 4 2 2 7 5" xfId="21431"/>
    <cellStyle name="常规 3 4 2 2 8" xfId="3222"/>
    <cellStyle name="常规 3 4 2 2 8 2" xfId="12642"/>
    <cellStyle name="常规 3 4 2 2 8 2 2" xfId="31490"/>
    <cellStyle name="常规 3 4 2 2 8 3" xfId="22066"/>
    <cellStyle name="常规 3 4 2 2 9" xfId="6507"/>
    <cellStyle name="常规 3 4 2 2 9 2" xfId="15927"/>
    <cellStyle name="常规 3 4 2 2 9 2 2" xfId="34775"/>
    <cellStyle name="常规 3 4 2 2 9 3" xfId="25351"/>
    <cellStyle name="常规 3 4 2 3" xfId="235"/>
    <cellStyle name="常规 3 4 2 3 10" xfId="19081"/>
    <cellStyle name="常规 3 4 2 3 2" xfId="236"/>
    <cellStyle name="常规 3 4 2 3 2 2" xfId="634"/>
    <cellStyle name="常规 3 4 2 3 2 2 2" xfId="1418"/>
    <cellStyle name="常规 3 4 2 3 2 2 2 2" xfId="4554"/>
    <cellStyle name="常规 3 4 2 3 2 2 2 2 2" xfId="13974"/>
    <cellStyle name="常规 3 4 2 3 2 2 2 2 2 2" xfId="32822"/>
    <cellStyle name="常规 3 4 2 3 2 2 2 2 3" xfId="23398"/>
    <cellStyle name="常规 3 4 2 3 2 2 2 3" xfId="7690"/>
    <cellStyle name="常规 3 4 2 3 2 2 2 3 2" xfId="17110"/>
    <cellStyle name="常规 3 4 2 3 2 2 2 3 2 2" xfId="35958"/>
    <cellStyle name="常规 3 4 2 3 2 2 2 3 3" xfId="26534"/>
    <cellStyle name="常规 3 4 2 3 2 2 2 4" xfId="10838"/>
    <cellStyle name="常规 3 4 2 3 2 2 2 4 2" xfId="29686"/>
    <cellStyle name="常规 3 4 2 3 2 2 2 5" xfId="20262"/>
    <cellStyle name="常规 3 4 2 3 2 2 3" xfId="2202"/>
    <cellStyle name="常规 3 4 2 3 2 2 3 2" xfId="5338"/>
    <cellStyle name="常规 3 4 2 3 2 2 3 2 2" xfId="14758"/>
    <cellStyle name="常规 3 4 2 3 2 2 3 2 2 2" xfId="33606"/>
    <cellStyle name="常规 3 4 2 3 2 2 3 2 3" xfId="24182"/>
    <cellStyle name="常规 3 4 2 3 2 2 3 3" xfId="8474"/>
    <cellStyle name="常规 3 4 2 3 2 2 3 3 2" xfId="17894"/>
    <cellStyle name="常规 3 4 2 3 2 2 3 3 2 2" xfId="36742"/>
    <cellStyle name="常规 3 4 2 3 2 2 3 3 3" xfId="27318"/>
    <cellStyle name="常规 3 4 2 3 2 2 3 4" xfId="11622"/>
    <cellStyle name="常规 3 4 2 3 2 2 3 4 2" xfId="30470"/>
    <cellStyle name="常规 3 4 2 3 2 2 3 5" xfId="21046"/>
    <cellStyle name="常规 3 4 2 3 2 2 4" xfId="2986"/>
    <cellStyle name="常规 3 4 2 3 2 2 4 2" xfId="6122"/>
    <cellStyle name="常规 3 4 2 3 2 2 4 2 2" xfId="15542"/>
    <cellStyle name="常规 3 4 2 3 2 2 4 2 2 2" xfId="34390"/>
    <cellStyle name="常规 3 4 2 3 2 2 4 2 3" xfId="24966"/>
    <cellStyle name="常规 3 4 2 3 2 2 4 3" xfId="9258"/>
    <cellStyle name="常规 3 4 2 3 2 2 4 3 2" xfId="18678"/>
    <cellStyle name="常规 3 4 2 3 2 2 4 3 2 2" xfId="37526"/>
    <cellStyle name="常规 3 4 2 3 2 2 4 3 3" xfId="28102"/>
    <cellStyle name="常规 3 4 2 3 2 2 4 4" xfId="12406"/>
    <cellStyle name="常规 3 4 2 3 2 2 4 4 2" xfId="31254"/>
    <cellStyle name="常规 3 4 2 3 2 2 4 5" xfId="21830"/>
    <cellStyle name="常规 3 4 2 3 2 2 5" xfId="3770"/>
    <cellStyle name="常规 3 4 2 3 2 2 5 2" xfId="13190"/>
    <cellStyle name="常规 3 4 2 3 2 2 5 2 2" xfId="32038"/>
    <cellStyle name="常规 3 4 2 3 2 2 5 3" xfId="22614"/>
    <cellStyle name="常规 3 4 2 3 2 2 6" xfId="6906"/>
    <cellStyle name="常规 3 4 2 3 2 2 6 2" xfId="16326"/>
    <cellStyle name="常规 3 4 2 3 2 2 6 2 2" xfId="35174"/>
    <cellStyle name="常规 3 4 2 3 2 2 6 3" xfId="25750"/>
    <cellStyle name="常规 3 4 2 3 2 2 7" xfId="10054"/>
    <cellStyle name="常规 3 4 2 3 2 2 7 2" xfId="28902"/>
    <cellStyle name="常规 3 4 2 3 2 2 8" xfId="19478"/>
    <cellStyle name="常规 3 4 2 3 2 3" xfId="1024"/>
    <cellStyle name="常规 3 4 2 3 2 3 2" xfId="4160"/>
    <cellStyle name="常规 3 4 2 3 2 3 2 2" xfId="13580"/>
    <cellStyle name="常规 3 4 2 3 2 3 2 2 2" xfId="32428"/>
    <cellStyle name="常规 3 4 2 3 2 3 2 3" xfId="23004"/>
    <cellStyle name="常规 3 4 2 3 2 3 3" xfId="7296"/>
    <cellStyle name="常规 3 4 2 3 2 3 3 2" xfId="16716"/>
    <cellStyle name="常规 3 4 2 3 2 3 3 2 2" xfId="35564"/>
    <cellStyle name="常规 3 4 2 3 2 3 3 3" xfId="26140"/>
    <cellStyle name="常规 3 4 2 3 2 3 4" xfId="10444"/>
    <cellStyle name="常规 3 4 2 3 2 3 4 2" xfId="29292"/>
    <cellStyle name="常规 3 4 2 3 2 3 5" xfId="19868"/>
    <cellStyle name="常规 3 4 2 3 2 4" xfId="1808"/>
    <cellStyle name="常规 3 4 2 3 2 4 2" xfId="4944"/>
    <cellStyle name="常规 3 4 2 3 2 4 2 2" xfId="14364"/>
    <cellStyle name="常规 3 4 2 3 2 4 2 2 2" xfId="33212"/>
    <cellStyle name="常规 3 4 2 3 2 4 2 3" xfId="23788"/>
    <cellStyle name="常规 3 4 2 3 2 4 3" xfId="8080"/>
    <cellStyle name="常规 3 4 2 3 2 4 3 2" xfId="17500"/>
    <cellStyle name="常规 3 4 2 3 2 4 3 2 2" xfId="36348"/>
    <cellStyle name="常规 3 4 2 3 2 4 3 3" xfId="26924"/>
    <cellStyle name="常规 3 4 2 3 2 4 4" xfId="11228"/>
    <cellStyle name="常规 3 4 2 3 2 4 4 2" xfId="30076"/>
    <cellStyle name="常规 3 4 2 3 2 4 5" xfId="20652"/>
    <cellStyle name="常规 3 4 2 3 2 5" xfId="2592"/>
    <cellStyle name="常规 3 4 2 3 2 5 2" xfId="5728"/>
    <cellStyle name="常规 3 4 2 3 2 5 2 2" xfId="15148"/>
    <cellStyle name="常规 3 4 2 3 2 5 2 2 2" xfId="33996"/>
    <cellStyle name="常规 3 4 2 3 2 5 2 3" xfId="24572"/>
    <cellStyle name="常规 3 4 2 3 2 5 3" xfId="8864"/>
    <cellStyle name="常规 3 4 2 3 2 5 3 2" xfId="18284"/>
    <cellStyle name="常规 3 4 2 3 2 5 3 2 2" xfId="37132"/>
    <cellStyle name="常规 3 4 2 3 2 5 3 3" xfId="27708"/>
    <cellStyle name="常规 3 4 2 3 2 5 4" xfId="12012"/>
    <cellStyle name="常规 3 4 2 3 2 5 4 2" xfId="30860"/>
    <cellStyle name="常规 3 4 2 3 2 5 5" xfId="21436"/>
    <cellStyle name="常规 3 4 2 3 2 6" xfId="3413"/>
    <cellStyle name="常规 3 4 2 3 2 6 2" xfId="12833"/>
    <cellStyle name="常规 3 4 2 3 2 6 2 2" xfId="31681"/>
    <cellStyle name="常规 3 4 2 3 2 6 3" xfId="22257"/>
    <cellStyle name="常规 3 4 2 3 2 7" xfId="6512"/>
    <cellStyle name="常规 3 4 2 3 2 7 2" xfId="15932"/>
    <cellStyle name="常规 3 4 2 3 2 7 2 2" xfId="34780"/>
    <cellStyle name="常规 3 4 2 3 2 7 3" xfId="25356"/>
    <cellStyle name="常规 3 4 2 3 2 8" xfId="9659"/>
    <cellStyle name="常规 3 4 2 3 2 8 2" xfId="28504"/>
    <cellStyle name="常规 3 4 2 3 2 9" xfId="19082"/>
    <cellStyle name="常规 3 4 2 3 3" xfId="633"/>
    <cellStyle name="常规 3 4 2 3 3 2" xfId="1417"/>
    <cellStyle name="常规 3 4 2 3 3 2 2" xfId="4553"/>
    <cellStyle name="常规 3 4 2 3 3 2 2 2" xfId="13973"/>
    <cellStyle name="常规 3 4 2 3 3 2 2 2 2" xfId="32821"/>
    <cellStyle name="常规 3 4 2 3 3 2 2 3" xfId="23397"/>
    <cellStyle name="常规 3 4 2 3 3 2 3" xfId="7689"/>
    <cellStyle name="常规 3 4 2 3 3 2 3 2" xfId="17109"/>
    <cellStyle name="常规 3 4 2 3 3 2 3 2 2" xfId="35957"/>
    <cellStyle name="常规 3 4 2 3 3 2 3 3" xfId="26533"/>
    <cellStyle name="常规 3 4 2 3 3 2 4" xfId="10837"/>
    <cellStyle name="常规 3 4 2 3 3 2 4 2" xfId="29685"/>
    <cellStyle name="常规 3 4 2 3 3 2 5" xfId="20261"/>
    <cellStyle name="常规 3 4 2 3 3 3" xfId="2201"/>
    <cellStyle name="常规 3 4 2 3 3 3 2" xfId="5337"/>
    <cellStyle name="常规 3 4 2 3 3 3 2 2" xfId="14757"/>
    <cellStyle name="常规 3 4 2 3 3 3 2 2 2" xfId="33605"/>
    <cellStyle name="常规 3 4 2 3 3 3 2 3" xfId="24181"/>
    <cellStyle name="常规 3 4 2 3 3 3 3" xfId="8473"/>
    <cellStyle name="常规 3 4 2 3 3 3 3 2" xfId="17893"/>
    <cellStyle name="常规 3 4 2 3 3 3 3 2 2" xfId="36741"/>
    <cellStyle name="常规 3 4 2 3 3 3 3 3" xfId="27317"/>
    <cellStyle name="常规 3 4 2 3 3 3 4" xfId="11621"/>
    <cellStyle name="常规 3 4 2 3 3 3 4 2" xfId="30469"/>
    <cellStyle name="常规 3 4 2 3 3 3 5" xfId="21045"/>
    <cellStyle name="常规 3 4 2 3 3 4" xfId="2985"/>
    <cellStyle name="常规 3 4 2 3 3 4 2" xfId="6121"/>
    <cellStyle name="常规 3 4 2 3 3 4 2 2" xfId="15541"/>
    <cellStyle name="常规 3 4 2 3 3 4 2 2 2" xfId="34389"/>
    <cellStyle name="常规 3 4 2 3 3 4 2 3" xfId="24965"/>
    <cellStyle name="常规 3 4 2 3 3 4 3" xfId="9257"/>
    <cellStyle name="常规 3 4 2 3 3 4 3 2" xfId="18677"/>
    <cellStyle name="常规 3 4 2 3 3 4 3 2 2" xfId="37525"/>
    <cellStyle name="常规 3 4 2 3 3 4 3 3" xfId="28101"/>
    <cellStyle name="常规 3 4 2 3 3 4 4" xfId="12405"/>
    <cellStyle name="常规 3 4 2 3 3 4 4 2" xfId="31253"/>
    <cellStyle name="常规 3 4 2 3 3 4 5" xfId="21829"/>
    <cellStyle name="常规 3 4 2 3 3 5" xfId="3769"/>
    <cellStyle name="常规 3 4 2 3 3 5 2" xfId="13189"/>
    <cellStyle name="常规 3 4 2 3 3 5 2 2" xfId="32037"/>
    <cellStyle name="常规 3 4 2 3 3 5 3" xfId="22613"/>
    <cellStyle name="常规 3 4 2 3 3 6" xfId="6905"/>
    <cellStyle name="常规 3 4 2 3 3 6 2" xfId="16325"/>
    <cellStyle name="常规 3 4 2 3 3 6 2 2" xfId="35173"/>
    <cellStyle name="常规 3 4 2 3 3 6 3" xfId="25749"/>
    <cellStyle name="常规 3 4 2 3 3 7" xfId="10053"/>
    <cellStyle name="常规 3 4 2 3 3 7 2" xfId="28901"/>
    <cellStyle name="常规 3 4 2 3 3 8" xfId="19477"/>
    <cellStyle name="常规 3 4 2 3 4" xfId="1023"/>
    <cellStyle name="常规 3 4 2 3 4 2" xfId="4159"/>
    <cellStyle name="常规 3 4 2 3 4 2 2" xfId="13579"/>
    <cellStyle name="常规 3 4 2 3 4 2 2 2" xfId="32427"/>
    <cellStyle name="常规 3 4 2 3 4 2 3" xfId="23003"/>
    <cellStyle name="常规 3 4 2 3 4 3" xfId="7295"/>
    <cellStyle name="常规 3 4 2 3 4 3 2" xfId="16715"/>
    <cellStyle name="常规 3 4 2 3 4 3 2 2" xfId="35563"/>
    <cellStyle name="常规 3 4 2 3 4 3 3" xfId="26139"/>
    <cellStyle name="常规 3 4 2 3 4 4" xfId="10443"/>
    <cellStyle name="常规 3 4 2 3 4 4 2" xfId="29291"/>
    <cellStyle name="常规 3 4 2 3 4 5" xfId="19867"/>
    <cellStyle name="常规 3 4 2 3 5" xfId="1807"/>
    <cellStyle name="常规 3 4 2 3 5 2" xfId="4943"/>
    <cellStyle name="常规 3 4 2 3 5 2 2" xfId="14363"/>
    <cellStyle name="常规 3 4 2 3 5 2 2 2" xfId="33211"/>
    <cellStyle name="常规 3 4 2 3 5 2 3" xfId="23787"/>
    <cellStyle name="常规 3 4 2 3 5 3" xfId="8079"/>
    <cellStyle name="常规 3 4 2 3 5 3 2" xfId="17499"/>
    <cellStyle name="常规 3 4 2 3 5 3 2 2" xfId="36347"/>
    <cellStyle name="常规 3 4 2 3 5 3 3" xfId="26923"/>
    <cellStyle name="常规 3 4 2 3 5 4" xfId="11227"/>
    <cellStyle name="常规 3 4 2 3 5 4 2" xfId="30075"/>
    <cellStyle name="常规 3 4 2 3 5 5" xfId="20651"/>
    <cellStyle name="常规 3 4 2 3 6" xfId="2591"/>
    <cellStyle name="常规 3 4 2 3 6 2" xfId="5727"/>
    <cellStyle name="常规 3 4 2 3 6 2 2" xfId="15147"/>
    <cellStyle name="常规 3 4 2 3 6 2 2 2" xfId="33995"/>
    <cellStyle name="常规 3 4 2 3 6 2 3" xfId="24571"/>
    <cellStyle name="常规 3 4 2 3 6 3" xfId="8863"/>
    <cellStyle name="常规 3 4 2 3 6 3 2" xfId="18283"/>
    <cellStyle name="常规 3 4 2 3 6 3 2 2" xfId="37131"/>
    <cellStyle name="常规 3 4 2 3 6 3 3" xfId="27707"/>
    <cellStyle name="常规 3 4 2 3 6 4" xfId="12011"/>
    <cellStyle name="常规 3 4 2 3 6 4 2" xfId="30859"/>
    <cellStyle name="常规 3 4 2 3 6 5" xfId="21435"/>
    <cellStyle name="常规 3 4 2 3 7" xfId="3412"/>
    <cellStyle name="常规 3 4 2 3 7 2" xfId="12832"/>
    <cellStyle name="常规 3 4 2 3 7 2 2" xfId="31680"/>
    <cellStyle name="常规 3 4 2 3 7 3" xfId="22256"/>
    <cellStyle name="常规 3 4 2 3 8" xfId="6511"/>
    <cellStyle name="常规 3 4 2 3 8 2" xfId="15931"/>
    <cellStyle name="常规 3 4 2 3 8 2 2" xfId="34779"/>
    <cellStyle name="常规 3 4 2 3 8 3" xfId="25355"/>
    <cellStyle name="常规 3 4 2 3 9" xfId="9658"/>
    <cellStyle name="常规 3 4 2 3 9 2" xfId="28503"/>
    <cellStyle name="常规 3 4 2 4" xfId="237"/>
    <cellStyle name="常规 3 4 2 4 2" xfId="635"/>
    <cellStyle name="常规 3 4 2 4 2 2" xfId="1419"/>
    <cellStyle name="常规 3 4 2 4 2 2 2" xfId="4555"/>
    <cellStyle name="常规 3 4 2 4 2 2 2 2" xfId="13975"/>
    <cellStyle name="常规 3 4 2 4 2 2 2 2 2" xfId="32823"/>
    <cellStyle name="常规 3 4 2 4 2 2 2 3" xfId="23399"/>
    <cellStyle name="常规 3 4 2 4 2 2 3" xfId="7691"/>
    <cellStyle name="常规 3 4 2 4 2 2 3 2" xfId="17111"/>
    <cellStyle name="常规 3 4 2 4 2 2 3 2 2" xfId="35959"/>
    <cellStyle name="常规 3 4 2 4 2 2 3 3" xfId="26535"/>
    <cellStyle name="常规 3 4 2 4 2 2 4" xfId="10839"/>
    <cellStyle name="常规 3 4 2 4 2 2 4 2" xfId="29687"/>
    <cellStyle name="常规 3 4 2 4 2 2 5" xfId="20263"/>
    <cellStyle name="常规 3 4 2 4 2 3" xfId="2203"/>
    <cellStyle name="常规 3 4 2 4 2 3 2" xfId="5339"/>
    <cellStyle name="常规 3 4 2 4 2 3 2 2" xfId="14759"/>
    <cellStyle name="常规 3 4 2 4 2 3 2 2 2" xfId="33607"/>
    <cellStyle name="常规 3 4 2 4 2 3 2 3" xfId="24183"/>
    <cellStyle name="常规 3 4 2 4 2 3 3" xfId="8475"/>
    <cellStyle name="常规 3 4 2 4 2 3 3 2" xfId="17895"/>
    <cellStyle name="常规 3 4 2 4 2 3 3 2 2" xfId="36743"/>
    <cellStyle name="常规 3 4 2 4 2 3 3 3" xfId="27319"/>
    <cellStyle name="常规 3 4 2 4 2 3 4" xfId="11623"/>
    <cellStyle name="常规 3 4 2 4 2 3 4 2" xfId="30471"/>
    <cellStyle name="常规 3 4 2 4 2 3 5" xfId="21047"/>
    <cellStyle name="常规 3 4 2 4 2 4" xfId="2987"/>
    <cellStyle name="常规 3 4 2 4 2 4 2" xfId="6123"/>
    <cellStyle name="常规 3 4 2 4 2 4 2 2" xfId="15543"/>
    <cellStyle name="常规 3 4 2 4 2 4 2 2 2" xfId="34391"/>
    <cellStyle name="常规 3 4 2 4 2 4 2 3" xfId="24967"/>
    <cellStyle name="常规 3 4 2 4 2 4 3" xfId="9259"/>
    <cellStyle name="常规 3 4 2 4 2 4 3 2" xfId="18679"/>
    <cellStyle name="常规 3 4 2 4 2 4 3 2 2" xfId="37527"/>
    <cellStyle name="常规 3 4 2 4 2 4 3 3" xfId="28103"/>
    <cellStyle name="常规 3 4 2 4 2 4 4" xfId="12407"/>
    <cellStyle name="常规 3 4 2 4 2 4 4 2" xfId="31255"/>
    <cellStyle name="常规 3 4 2 4 2 4 5" xfId="21831"/>
    <cellStyle name="常规 3 4 2 4 2 5" xfId="3771"/>
    <cellStyle name="常规 3 4 2 4 2 5 2" xfId="13191"/>
    <cellStyle name="常规 3 4 2 4 2 5 2 2" xfId="32039"/>
    <cellStyle name="常规 3 4 2 4 2 5 3" xfId="22615"/>
    <cellStyle name="常规 3 4 2 4 2 6" xfId="6907"/>
    <cellStyle name="常规 3 4 2 4 2 6 2" xfId="16327"/>
    <cellStyle name="常规 3 4 2 4 2 6 2 2" xfId="35175"/>
    <cellStyle name="常规 3 4 2 4 2 6 3" xfId="25751"/>
    <cellStyle name="常规 3 4 2 4 2 7" xfId="10055"/>
    <cellStyle name="常规 3 4 2 4 2 7 2" xfId="28903"/>
    <cellStyle name="常规 3 4 2 4 2 8" xfId="19479"/>
    <cellStyle name="常规 3 4 2 4 3" xfId="1025"/>
    <cellStyle name="常规 3 4 2 4 3 2" xfId="4161"/>
    <cellStyle name="常规 3 4 2 4 3 2 2" xfId="13581"/>
    <cellStyle name="常规 3 4 2 4 3 2 2 2" xfId="32429"/>
    <cellStyle name="常规 3 4 2 4 3 2 3" xfId="23005"/>
    <cellStyle name="常规 3 4 2 4 3 3" xfId="7297"/>
    <cellStyle name="常规 3 4 2 4 3 3 2" xfId="16717"/>
    <cellStyle name="常规 3 4 2 4 3 3 2 2" xfId="35565"/>
    <cellStyle name="常规 3 4 2 4 3 3 3" xfId="26141"/>
    <cellStyle name="常规 3 4 2 4 3 4" xfId="10445"/>
    <cellStyle name="常规 3 4 2 4 3 4 2" xfId="29293"/>
    <cellStyle name="常规 3 4 2 4 3 5" xfId="19869"/>
    <cellStyle name="常规 3 4 2 4 4" xfId="1809"/>
    <cellStyle name="常规 3 4 2 4 4 2" xfId="4945"/>
    <cellStyle name="常规 3 4 2 4 4 2 2" xfId="14365"/>
    <cellStyle name="常规 3 4 2 4 4 2 2 2" xfId="33213"/>
    <cellStyle name="常规 3 4 2 4 4 2 3" xfId="23789"/>
    <cellStyle name="常规 3 4 2 4 4 3" xfId="8081"/>
    <cellStyle name="常规 3 4 2 4 4 3 2" xfId="17501"/>
    <cellStyle name="常规 3 4 2 4 4 3 2 2" xfId="36349"/>
    <cellStyle name="常规 3 4 2 4 4 3 3" xfId="26925"/>
    <cellStyle name="常规 3 4 2 4 4 4" xfId="11229"/>
    <cellStyle name="常规 3 4 2 4 4 4 2" xfId="30077"/>
    <cellStyle name="常规 3 4 2 4 4 5" xfId="20653"/>
    <cellStyle name="常规 3 4 2 4 5" xfId="2593"/>
    <cellStyle name="常规 3 4 2 4 5 2" xfId="5729"/>
    <cellStyle name="常规 3 4 2 4 5 2 2" xfId="15149"/>
    <cellStyle name="常规 3 4 2 4 5 2 2 2" xfId="33997"/>
    <cellStyle name="常规 3 4 2 4 5 2 3" xfId="24573"/>
    <cellStyle name="常规 3 4 2 4 5 3" xfId="8865"/>
    <cellStyle name="常规 3 4 2 4 5 3 2" xfId="18285"/>
    <cellStyle name="常规 3 4 2 4 5 3 2 2" xfId="37133"/>
    <cellStyle name="常规 3 4 2 4 5 3 3" xfId="27709"/>
    <cellStyle name="常规 3 4 2 4 5 4" xfId="12013"/>
    <cellStyle name="常规 3 4 2 4 5 4 2" xfId="30861"/>
    <cellStyle name="常规 3 4 2 4 5 5" xfId="21437"/>
    <cellStyle name="常规 3 4 2 4 6" xfId="3414"/>
    <cellStyle name="常规 3 4 2 4 6 2" xfId="12834"/>
    <cellStyle name="常规 3 4 2 4 6 2 2" xfId="31682"/>
    <cellStyle name="常规 3 4 2 4 6 3" xfId="22258"/>
    <cellStyle name="常规 3 4 2 4 7" xfId="6513"/>
    <cellStyle name="常规 3 4 2 4 7 2" xfId="15933"/>
    <cellStyle name="常规 3 4 2 4 7 2 2" xfId="34781"/>
    <cellStyle name="常规 3 4 2 4 7 3" xfId="25357"/>
    <cellStyle name="常规 3 4 2 4 8" xfId="9660"/>
    <cellStyle name="常规 3 4 2 4 8 2" xfId="28505"/>
    <cellStyle name="常规 3 4 2 4 9" xfId="19083"/>
    <cellStyle name="常规 3 4 2 5" xfId="628"/>
    <cellStyle name="常规 3 4 2 5 2" xfId="1412"/>
    <cellStyle name="常规 3 4 2 5 2 2" xfId="4548"/>
    <cellStyle name="常规 3 4 2 5 2 2 2" xfId="13968"/>
    <cellStyle name="常规 3 4 2 5 2 2 2 2" xfId="32816"/>
    <cellStyle name="常规 3 4 2 5 2 2 3" xfId="23392"/>
    <cellStyle name="常规 3 4 2 5 2 3" xfId="7684"/>
    <cellStyle name="常规 3 4 2 5 2 3 2" xfId="17104"/>
    <cellStyle name="常规 3 4 2 5 2 3 2 2" xfId="35952"/>
    <cellStyle name="常规 3 4 2 5 2 3 3" xfId="26528"/>
    <cellStyle name="常规 3 4 2 5 2 4" xfId="10832"/>
    <cellStyle name="常规 3 4 2 5 2 4 2" xfId="29680"/>
    <cellStyle name="常规 3 4 2 5 2 5" xfId="20256"/>
    <cellStyle name="常规 3 4 2 5 3" xfId="2196"/>
    <cellStyle name="常规 3 4 2 5 3 2" xfId="5332"/>
    <cellStyle name="常规 3 4 2 5 3 2 2" xfId="14752"/>
    <cellStyle name="常规 3 4 2 5 3 2 2 2" xfId="33600"/>
    <cellStyle name="常规 3 4 2 5 3 2 3" xfId="24176"/>
    <cellStyle name="常规 3 4 2 5 3 3" xfId="8468"/>
    <cellStyle name="常规 3 4 2 5 3 3 2" xfId="17888"/>
    <cellStyle name="常规 3 4 2 5 3 3 2 2" xfId="36736"/>
    <cellStyle name="常规 3 4 2 5 3 3 3" xfId="27312"/>
    <cellStyle name="常规 3 4 2 5 3 4" xfId="11616"/>
    <cellStyle name="常规 3 4 2 5 3 4 2" xfId="30464"/>
    <cellStyle name="常规 3 4 2 5 3 5" xfId="21040"/>
    <cellStyle name="常规 3 4 2 5 4" xfId="2980"/>
    <cellStyle name="常规 3 4 2 5 4 2" xfId="6116"/>
    <cellStyle name="常规 3 4 2 5 4 2 2" xfId="15536"/>
    <cellStyle name="常规 3 4 2 5 4 2 2 2" xfId="34384"/>
    <cellStyle name="常规 3 4 2 5 4 2 3" xfId="24960"/>
    <cellStyle name="常规 3 4 2 5 4 3" xfId="9252"/>
    <cellStyle name="常规 3 4 2 5 4 3 2" xfId="18672"/>
    <cellStyle name="常规 3 4 2 5 4 3 2 2" xfId="37520"/>
    <cellStyle name="常规 3 4 2 5 4 3 3" xfId="28096"/>
    <cellStyle name="常规 3 4 2 5 4 4" xfId="12400"/>
    <cellStyle name="常规 3 4 2 5 4 4 2" xfId="31248"/>
    <cellStyle name="常规 3 4 2 5 4 5" xfId="21824"/>
    <cellStyle name="常规 3 4 2 5 5" xfId="3764"/>
    <cellStyle name="常规 3 4 2 5 5 2" xfId="13184"/>
    <cellStyle name="常规 3 4 2 5 5 2 2" xfId="32032"/>
    <cellStyle name="常规 3 4 2 5 5 3" xfId="22608"/>
    <cellStyle name="常规 3 4 2 5 6" xfId="6900"/>
    <cellStyle name="常规 3 4 2 5 6 2" xfId="16320"/>
    <cellStyle name="常规 3 4 2 5 6 2 2" xfId="35168"/>
    <cellStyle name="常规 3 4 2 5 6 3" xfId="25744"/>
    <cellStyle name="常规 3 4 2 5 7" xfId="10048"/>
    <cellStyle name="常规 3 4 2 5 7 2" xfId="28896"/>
    <cellStyle name="常规 3 4 2 5 8" xfId="19472"/>
    <cellStyle name="常规 3 4 2 6" xfId="1018"/>
    <cellStyle name="常规 3 4 2 6 2" xfId="4154"/>
    <cellStyle name="常规 3 4 2 6 2 2" xfId="13574"/>
    <cellStyle name="常规 3 4 2 6 2 2 2" xfId="32422"/>
    <cellStyle name="常规 3 4 2 6 2 3" xfId="22998"/>
    <cellStyle name="常规 3 4 2 6 3" xfId="7290"/>
    <cellStyle name="常规 3 4 2 6 3 2" xfId="16710"/>
    <cellStyle name="常规 3 4 2 6 3 2 2" xfId="35558"/>
    <cellStyle name="常规 3 4 2 6 3 3" xfId="26134"/>
    <cellStyle name="常规 3 4 2 6 4" xfId="10438"/>
    <cellStyle name="常规 3 4 2 6 4 2" xfId="29286"/>
    <cellStyle name="常规 3 4 2 6 5" xfId="19862"/>
    <cellStyle name="常规 3 4 2 7" xfId="1802"/>
    <cellStyle name="常规 3 4 2 7 2" xfId="4938"/>
    <cellStyle name="常规 3 4 2 7 2 2" xfId="14358"/>
    <cellStyle name="常规 3 4 2 7 2 2 2" xfId="33206"/>
    <cellStyle name="常规 3 4 2 7 2 3" xfId="23782"/>
    <cellStyle name="常规 3 4 2 7 3" xfId="8074"/>
    <cellStyle name="常规 3 4 2 7 3 2" xfId="17494"/>
    <cellStyle name="常规 3 4 2 7 3 2 2" xfId="36342"/>
    <cellStyle name="常规 3 4 2 7 3 3" xfId="26918"/>
    <cellStyle name="常规 3 4 2 7 4" xfId="11222"/>
    <cellStyle name="常规 3 4 2 7 4 2" xfId="30070"/>
    <cellStyle name="常规 3 4 2 7 5" xfId="20646"/>
    <cellStyle name="常规 3 4 2 8" xfId="2586"/>
    <cellStyle name="常规 3 4 2 8 2" xfId="5722"/>
    <cellStyle name="常规 3 4 2 8 2 2" xfId="15142"/>
    <cellStyle name="常规 3 4 2 8 2 2 2" xfId="33990"/>
    <cellStyle name="常规 3 4 2 8 2 3" xfId="24566"/>
    <cellStyle name="常规 3 4 2 8 3" xfId="8858"/>
    <cellStyle name="常规 3 4 2 8 3 2" xfId="18278"/>
    <cellStyle name="常规 3 4 2 8 3 2 2" xfId="37126"/>
    <cellStyle name="常规 3 4 2 8 3 3" xfId="27702"/>
    <cellStyle name="常规 3 4 2 8 4" xfId="12006"/>
    <cellStyle name="常规 3 4 2 8 4 2" xfId="30854"/>
    <cellStyle name="常规 3 4 2 8 5" xfId="21430"/>
    <cellStyle name="常规 3 4 2 9" xfId="3174"/>
    <cellStyle name="常规 3 4 2 9 2" xfId="12594"/>
    <cellStyle name="常规 3 4 2 9 2 2" xfId="31442"/>
    <cellStyle name="常规 3 4 2 9 3" xfId="22018"/>
    <cellStyle name="常规 3 4 3" xfId="238"/>
    <cellStyle name="常规 3 4 3 10" xfId="9661"/>
    <cellStyle name="常规 3 4 3 10 2" xfId="28506"/>
    <cellStyle name="常规 3 4 3 11" xfId="19084"/>
    <cellStyle name="常规 3 4 3 2" xfId="239"/>
    <cellStyle name="常规 3 4 3 2 10" xfId="19085"/>
    <cellStyle name="常规 3 4 3 2 2" xfId="240"/>
    <cellStyle name="常规 3 4 3 2 2 2" xfId="638"/>
    <cellStyle name="常规 3 4 3 2 2 2 2" xfId="1422"/>
    <cellStyle name="常规 3 4 3 2 2 2 2 2" xfId="4558"/>
    <cellStyle name="常规 3 4 3 2 2 2 2 2 2" xfId="13978"/>
    <cellStyle name="常规 3 4 3 2 2 2 2 2 2 2" xfId="32826"/>
    <cellStyle name="常规 3 4 3 2 2 2 2 2 3" xfId="23402"/>
    <cellStyle name="常规 3 4 3 2 2 2 2 3" xfId="7694"/>
    <cellStyle name="常规 3 4 3 2 2 2 2 3 2" xfId="17114"/>
    <cellStyle name="常规 3 4 3 2 2 2 2 3 2 2" xfId="35962"/>
    <cellStyle name="常规 3 4 3 2 2 2 2 3 3" xfId="26538"/>
    <cellStyle name="常规 3 4 3 2 2 2 2 4" xfId="10842"/>
    <cellStyle name="常规 3 4 3 2 2 2 2 4 2" xfId="29690"/>
    <cellStyle name="常规 3 4 3 2 2 2 2 5" xfId="20266"/>
    <cellStyle name="常规 3 4 3 2 2 2 3" xfId="2206"/>
    <cellStyle name="常规 3 4 3 2 2 2 3 2" xfId="5342"/>
    <cellStyle name="常规 3 4 3 2 2 2 3 2 2" xfId="14762"/>
    <cellStyle name="常规 3 4 3 2 2 2 3 2 2 2" xfId="33610"/>
    <cellStyle name="常规 3 4 3 2 2 2 3 2 3" xfId="24186"/>
    <cellStyle name="常规 3 4 3 2 2 2 3 3" xfId="8478"/>
    <cellStyle name="常规 3 4 3 2 2 2 3 3 2" xfId="17898"/>
    <cellStyle name="常规 3 4 3 2 2 2 3 3 2 2" xfId="36746"/>
    <cellStyle name="常规 3 4 3 2 2 2 3 3 3" xfId="27322"/>
    <cellStyle name="常规 3 4 3 2 2 2 3 4" xfId="11626"/>
    <cellStyle name="常规 3 4 3 2 2 2 3 4 2" xfId="30474"/>
    <cellStyle name="常规 3 4 3 2 2 2 3 5" xfId="21050"/>
    <cellStyle name="常规 3 4 3 2 2 2 4" xfId="2990"/>
    <cellStyle name="常规 3 4 3 2 2 2 4 2" xfId="6126"/>
    <cellStyle name="常规 3 4 3 2 2 2 4 2 2" xfId="15546"/>
    <cellStyle name="常规 3 4 3 2 2 2 4 2 2 2" xfId="34394"/>
    <cellStyle name="常规 3 4 3 2 2 2 4 2 3" xfId="24970"/>
    <cellStyle name="常规 3 4 3 2 2 2 4 3" xfId="9262"/>
    <cellStyle name="常规 3 4 3 2 2 2 4 3 2" xfId="18682"/>
    <cellStyle name="常规 3 4 3 2 2 2 4 3 2 2" xfId="37530"/>
    <cellStyle name="常规 3 4 3 2 2 2 4 3 3" xfId="28106"/>
    <cellStyle name="常规 3 4 3 2 2 2 4 4" xfId="12410"/>
    <cellStyle name="常规 3 4 3 2 2 2 4 4 2" xfId="31258"/>
    <cellStyle name="常规 3 4 3 2 2 2 4 5" xfId="21834"/>
    <cellStyle name="常规 3 4 3 2 2 2 5" xfId="3774"/>
    <cellStyle name="常规 3 4 3 2 2 2 5 2" xfId="13194"/>
    <cellStyle name="常规 3 4 3 2 2 2 5 2 2" xfId="32042"/>
    <cellStyle name="常规 3 4 3 2 2 2 5 3" xfId="22618"/>
    <cellStyle name="常规 3 4 3 2 2 2 6" xfId="6910"/>
    <cellStyle name="常规 3 4 3 2 2 2 6 2" xfId="16330"/>
    <cellStyle name="常规 3 4 3 2 2 2 6 2 2" xfId="35178"/>
    <cellStyle name="常规 3 4 3 2 2 2 6 3" xfId="25754"/>
    <cellStyle name="常规 3 4 3 2 2 2 7" xfId="10058"/>
    <cellStyle name="常规 3 4 3 2 2 2 7 2" xfId="28906"/>
    <cellStyle name="常规 3 4 3 2 2 2 8" xfId="19482"/>
    <cellStyle name="常规 3 4 3 2 2 3" xfId="1028"/>
    <cellStyle name="常规 3 4 3 2 2 3 2" xfId="4164"/>
    <cellStyle name="常规 3 4 3 2 2 3 2 2" xfId="13584"/>
    <cellStyle name="常规 3 4 3 2 2 3 2 2 2" xfId="32432"/>
    <cellStyle name="常规 3 4 3 2 2 3 2 3" xfId="23008"/>
    <cellStyle name="常规 3 4 3 2 2 3 3" xfId="7300"/>
    <cellStyle name="常规 3 4 3 2 2 3 3 2" xfId="16720"/>
    <cellStyle name="常规 3 4 3 2 2 3 3 2 2" xfId="35568"/>
    <cellStyle name="常规 3 4 3 2 2 3 3 3" xfId="26144"/>
    <cellStyle name="常规 3 4 3 2 2 3 4" xfId="10448"/>
    <cellStyle name="常规 3 4 3 2 2 3 4 2" xfId="29296"/>
    <cellStyle name="常规 3 4 3 2 2 3 5" xfId="19872"/>
    <cellStyle name="常规 3 4 3 2 2 4" xfId="1812"/>
    <cellStyle name="常规 3 4 3 2 2 4 2" xfId="4948"/>
    <cellStyle name="常规 3 4 3 2 2 4 2 2" xfId="14368"/>
    <cellStyle name="常规 3 4 3 2 2 4 2 2 2" xfId="33216"/>
    <cellStyle name="常规 3 4 3 2 2 4 2 3" xfId="23792"/>
    <cellStyle name="常规 3 4 3 2 2 4 3" xfId="8084"/>
    <cellStyle name="常规 3 4 3 2 2 4 3 2" xfId="17504"/>
    <cellStyle name="常规 3 4 3 2 2 4 3 2 2" xfId="36352"/>
    <cellStyle name="常规 3 4 3 2 2 4 3 3" xfId="26928"/>
    <cellStyle name="常规 3 4 3 2 2 4 4" xfId="11232"/>
    <cellStyle name="常规 3 4 3 2 2 4 4 2" xfId="30080"/>
    <cellStyle name="常规 3 4 3 2 2 4 5" xfId="20656"/>
    <cellStyle name="常规 3 4 3 2 2 5" xfId="2596"/>
    <cellStyle name="常规 3 4 3 2 2 5 2" xfId="5732"/>
    <cellStyle name="常规 3 4 3 2 2 5 2 2" xfId="15152"/>
    <cellStyle name="常规 3 4 3 2 2 5 2 2 2" xfId="34000"/>
    <cellStyle name="常规 3 4 3 2 2 5 2 3" xfId="24576"/>
    <cellStyle name="常规 3 4 3 2 2 5 3" xfId="8868"/>
    <cellStyle name="常规 3 4 3 2 2 5 3 2" xfId="18288"/>
    <cellStyle name="常规 3 4 3 2 2 5 3 2 2" xfId="37136"/>
    <cellStyle name="常规 3 4 3 2 2 5 3 3" xfId="27712"/>
    <cellStyle name="常规 3 4 3 2 2 5 4" xfId="12016"/>
    <cellStyle name="常规 3 4 3 2 2 5 4 2" xfId="30864"/>
    <cellStyle name="常规 3 4 3 2 2 5 5" xfId="21440"/>
    <cellStyle name="常规 3 4 3 2 2 6" xfId="3416"/>
    <cellStyle name="常规 3 4 3 2 2 6 2" xfId="12836"/>
    <cellStyle name="常规 3 4 3 2 2 6 2 2" xfId="31684"/>
    <cellStyle name="常规 3 4 3 2 2 6 3" xfId="22260"/>
    <cellStyle name="常规 3 4 3 2 2 7" xfId="6516"/>
    <cellStyle name="常规 3 4 3 2 2 7 2" xfId="15936"/>
    <cellStyle name="常规 3 4 3 2 2 7 2 2" xfId="34784"/>
    <cellStyle name="常规 3 4 3 2 2 7 3" xfId="25360"/>
    <cellStyle name="常规 3 4 3 2 2 8" xfId="9663"/>
    <cellStyle name="常规 3 4 3 2 2 8 2" xfId="28508"/>
    <cellStyle name="常规 3 4 3 2 2 9" xfId="19086"/>
    <cellStyle name="常规 3 4 3 2 3" xfId="637"/>
    <cellStyle name="常规 3 4 3 2 3 2" xfId="1421"/>
    <cellStyle name="常规 3 4 3 2 3 2 2" xfId="4557"/>
    <cellStyle name="常规 3 4 3 2 3 2 2 2" xfId="13977"/>
    <cellStyle name="常规 3 4 3 2 3 2 2 2 2" xfId="32825"/>
    <cellStyle name="常规 3 4 3 2 3 2 2 3" xfId="23401"/>
    <cellStyle name="常规 3 4 3 2 3 2 3" xfId="7693"/>
    <cellStyle name="常规 3 4 3 2 3 2 3 2" xfId="17113"/>
    <cellStyle name="常规 3 4 3 2 3 2 3 2 2" xfId="35961"/>
    <cellStyle name="常规 3 4 3 2 3 2 3 3" xfId="26537"/>
    <cellStyle name="常规 3 4 3 2 3 2 4" xfId="10841"/>
    <cellStyle name="常规 3 4 3 2 3 2 4 2" xfId="29689"/>
    <cellStyle name="常规 3 4 3 2 3 2 5" xfId="20265"/>
    <cellStyle name="常规 3 4 3 2 3 3" xfId="2205"/>
    <cellStyle name="常规 3 4 3 2 3 3 2" xfId="5341"/>
    <cellStyle name="常规 3 4 3 2 3 3 2 2" xfId="14761"/>
    <cellStyle name="常规 3 4 3 2 3 3 2 2 2" xfId="33609"/>
    <cellStyle name="常规 3 4 3 2 3 3 2 3" xfId="24185"/>
    <cellStyle name="常规 3 4 3 2 3 3 3" xfId="8477"/>
    <cellStyle name="常规 3 4 3 2 3 3 3 2" xfId="17897"/>
    <cellStyle name="常规 3 4 3 2 3 3 3 2 2" xfId="36745"/>
    <cellStyle name="常规 3 4 3 2 3 3 3 3" xfId="27321"/>
    <cellStyle name="常规 3 4 3 2 3 3 4" xfId="11625"/>
    <cellStyle name="常规 3 4 3 2 3 3 4 2" xfId="30473"/>
    <cellStyle name="常规 3 4 3 2 3 3 5" xfId="21049"/>
    <cellStyle name="常规 3 4 3 2 3 4" xfId="2989"/>
    <cellStyle name="常规 3 4 3 2 3 4 2" xfId="6125"/>
    <cellStyle name="常规 3 4 3 2 3 4 2 2" xfId="15545"/>
    <cellStyle name="常规 3 4 3 2 3 4 2 2 2" xfId="34393"/>
    <cellStyle name="常规 3 4 3 2 3 4 2 3" xfId="24969"/>
    <cellStyle name="常规 3 4 3 2 3 4 3" xfId="9261"/>
    <cellStyle name="常规 3 4 3 2 3 4 3 2" xfId="18681"/>
    <cellStyle name="常规 3 4 3 2 3 4 3 2 2" xfId="37529"/>
    <cellStyle name="常规 3 4 3 2 3 4 3 3" xfId="28105"/>
    <cellStyle name="常规 3 4 3 2 3 4 4" xfId="12409"/>
    <cellStyle name="常规 3 4 3 2 3 4 4 2" xfId="31257"/>
    <cellStyle name="常规 3 4 3 2 3 4 5" xfId="21833"/>
    <cellStyle name="常规 3 4 3 2 3 5" xfId="3773"/>
    <cellStyle name="常规 3 4 3 2 3 5 2" xfId="13193"/>
    <cellStyle name="常规 3 4 3 2 3 5 2 2" xfId="32041"/>
    <cellStyle name="常规 3 4 3 2 3 5 3" xfId="22617"/>
    <cellStyle name="常规 3 4 3 2 3 6" xfId="6909"/>
    <cellStyle name="常规 3 4 3 2 3 6 2" xfId="16329"/>
    <cellStyle name="常规 3 4 3 2 3 6 2 2" xfId="35177"/>
    <cellStyle name="常规 3 4 3 2 3 6 3" xfId="25753"/>
    <cellStyle name="常规 3 4 3 2 3 7" xfId="10057"/>
    <cellStyle name="常规 3 4 3 2 3 7 2" xfId="28905"/>
    <cellStyle name="常规 3 4 3 2 3 8" xfId="19481"/>
    <cellStyle name="常规 3 4 3 2 4" xfId="1027"/>
    <cellStyle name="常规 3 4 3 2 4 2" xfId="4163"/>
    <cellStyle name="常规 3 4 3 2 4 2 2" xfId="13583"/>
    <cellStyle name="常规 3 4 3 2 4 2 2 2" xfId="32431"/>
    <cellStyle name="常规 3 4 3 2 4 2 3" xfId="23007"/>
    <cellStyle name="常规 3 4 3 2 4 3" xfId="7299"/>
    <cellStyle name="常规 3 4 3 2 4 3 2" xfId="16719"/>
    <cellStyle name="常规 3 4 3 2 4 3 2 2" xfId="35567"/>
    <cellStyle name="常规 3 4 3 2 4 3 3" xfId="26143"/>
    <cellStyle name="常规 3 4 3 2 4 4" xfId="10447"/>
    <cellStyle name="常规 3 4 3 2 4 4 2" xfId="29295"/>
    <cellStyle name="常规 3 4 3 2 4 5" xfId="19871"/>
    <cellStyle name="常规 3 4 3 2 5" xfId="1811"/>
    <cellStyle name="常规 3 4 3 2 5 2" xfId="4947"/>
    <cellStyle name="常规 3 4 3 2 5 2 2" xfId="14367"/>
    <cellStyle name="常规 3 4 3 2 5 2 2 2" xfId="33215"/>
    <cellStyle name="常规 3 4 3 2 5 2 3" xfId="23791"/>
    <cellStyle name="常规 3 4 3 2 5 3" xfId="8083"/>
    <cellStyle name="常规 3 4 3 2 5 3 2" xfId="17503"/>
    <cellStyle name="常规 3 4 3 2 5 3 2 2" xfId="36351"/>
    <cellStyle name="常规 3 4 3 2 5 3 3" xfId="26927"/>
    <cellStyle name="常规 3 4 3 2 5 4" xfId="11231"/>
    <cellStyle name="常规 3 4 3 2 5 4 2" xfId="30079"/>
    <cellStyle name="常规 3 4 3 2 5 5" xfId="20655"/>
    <cellStyle name="常规 3 4 3 2 6" xfId="2595"/>
    <cellStyle name="常规 3 4 3 2 6 2" xfId="5731"/>
    <cellStyle name="常规 3 4 3 2 6 2 2" xfId="15151"/>
    <cellStyle name="常规 3 4 3 2 6 2 2 2" xfId="33999"/>
    <cellStyle name="常规 3 4 3 2 6 2 3" xfId="24575"/>
    <cellStyle name="常规 3 4 3 2 6 3" xfId="8867"/>
    <cellStyle name="常规 3 4 3 2 6 3 2" xfId="18287"/>
    <cellStyle name="常规 3 4 3 2 6 3 2 2" xfId="37135"/>
    <cellStyle name="常规 3 4 3 2 6 3 3" xfId="27711"/>
    <cellStyle name="常规 3 4 3 2 6 4" xfId="12015"/>
    <cellStyle name="常规 3 4 3 2 6 4 2" xfId="30863"/>
    <cellStyle name="常规 3 4 3 2 6 5" xfId="21439"/>
    <cellStyle name="常规 3 4 3 2 7" xfId="3415"/>
    <cellStyle name="常规 3 4 3 2 7 2" xfId="12835"/>
    <cellStyle name="常规 3 4 3 2 7 2 2" xfId="31683"/>
    <cellStyle name="常规 3 4 3 2 7 3" xfId="22259"/>
    <cellStyle name="常规 3 4 3 2 8" xfId="6515"/>
    <cellStyle name="常规 3 4 3 2 8 2" xfId="15935"/>
    <cellStyle name="常规 3 4 3 2 8 2 2" xfId="34783"/>
    <cellStyle name="常规 3 4 3 2 8 3" xfId="25359"/>
    <cellStyle name="常规 3 4 3 2 9" xfId="9662"/>
    <cellStyle name="常规 3 4 3 2 9 2" xfId="28507"/>
    <cellStyle name="常规 3 4 3 3" xfId="241"/>
    <cellStyle name="常规 3 4 3 3 2" xfId="639"/>
    <cellStyle name="常规 3 4 3 3 2 2" xfId="1423"/>
    <cellStyle name="常规 3 4 3 3 2 2 2" xfId="4559"/>
    <cellStyle name="常规 3 4 3 3 2 2 2 2" xfId="13979"/>
    <cellStyle name="常规 3 4 3 3 2 2 2 2 2" xfId="32827"/>
    <cellStyle name="常规 3 4 3 3 2 2 2 3" xfId="23403"/>
    <cellStyle name="常规 3 4 3 3 2 2 3" xfId="7695"/>
    <cellStyle name="常规 3 4 3 3 2 2 3 2" xfId="17115"/>
    <cellStyle name="常规 3 4 3 3 2 2 3 2 2" xfId="35963"/>
    <cellStyle name="常规 3 4 3 3 2 2 3 3" xfId="26539"/>
    <cellStyle name="常规 3 4 3 3 2 2 4" xfId="10843"/>
    <cellStyle name="常规 3 4 3 3 2 2 4 2" xfId="29691"/>
    <cellStyle name="常规 3 4 3 3 2 2 5" xfId="20267"/>
    <cellStyle name="常规 3 4 3 3 2 3" xfId="2207"/>
    <cellStyle name="常规 3 4 3 3 2 3 2" xfId="5343"/>
    <cellStyle name="常规 3 4 3 3 2 3 2 2" xfId="14763"/>
    <cellStyle name="常规 3 4 3 3 2 3 2 2 2" xfId="33611"/>
    <cellStyle name="常规 3 4 3 3 2 3 2 3" xfId="24187"/>
    <cellStyle name="常规 3 4 3 3 2 3 3" xfId="8479"/>
    <cellStyle name="常规 3 4 3 3 2 3 3 2" xfId="17899"/>
    <cellStyle name="常规 3 4 3 3 2 3 3 2 2" xfId="36747"/>
    <cellStyle name="常规 3 4 3 3 2 3 3 3" xfId="27323"/>
    <cellStyle name="常规 3 4 3 3 2 3 4" xfId="11627"/>
    <cellStyle name="常规 3 4 3 3 2 3 4 2" xfId="30475"/>
    <cellStyle name="常规 3 4 3 3 2 3 5" xfId="21051"/>
    <cellStyle name="常规 3 4 3 3 2 4" xfId="2991"/>
    <cellStyle name="常规 3 4 3 3 2 4 2" xfId="6127"/>
    <cellStyle name="常规 3 4 3 3 2 4 2 2" xfId="15547"/>
    <cellStyle name="常规 3 4 3 3 2 4 2 2 2" xfId="34395"/>
    <cellStyle name="常规 3 4 3 3 2 4 2 3" xfId="24971"/>
    <cellStyle name="常规 3 4 3 3 2 4 3" xfId="9263"/>
    <cellStyle name="常规 3 4 3 3 2 4 3 2" xfId="18683"/>
    <cellStyle name="常规 3 4 3 3 2 4 3 2 2" xfId="37531"/>
    <cellStyle name="常规 3 4 3 3 2 4 3 3" xfId="28107"/>
    <cellStyle name="常规 3 4 3 3 2 4 4" xfId="12411"/>
    <cellStyle name="常规 3 4 3 3 2 4 4 2" xfId="31259"/>
    <cellStyle name="常规 3 4 3 3 2 4 5" xfId="21835"/>
    <cellStyle name="常规 3 4 3 3 2 5" xfId="3775"/>
    <cellStyle name="常规 3 4 3 3 2 5 2" xfId="13195"/>
    <cellStyle name="常规 3 4 3 3 2 5 2 2" xfId="32043"/>
    <cellStyle name="常规 3 4 3 3 2 5 3" xfId="22619"/>
    <cellStyle name="常规 3 4 3 3 2 6" xfId="6911"/>
    <cellStyle name="常规 3 4 3 3 2 6 2" xfId="16331"/>
    <cellStyle name="常规 3 4 3 3 2 6 2 2" xfId="35179"/>
    <cellStyle name="常规 3 4 3 3 2 6 3" xfId="25755"/>
    <cellStyle name="常规 3 4 3 3 2 7" xfId="10059"/>
    <cellStyle name="常规 3 4 3 3 2 7 2" xfId="28907"/>
    <cellStyle name="常规 3 4 3 3 2 8" xfId="19483"/>
    <cellStyle name="常规 3 4 3 3 3" xfId="1029"/>
    <cellStyle name="常规 3 4 3 3 3 2" xfId="4165"/>
    <cellStyle name="常规 3 4 3 3 3 2 2" xfId="13585"/>
    <cellStyle name="常规 3 4 3 3 3 2 2 2" xfId="32433"/>
    <cellStyle name="常规 3 4 3 3 3 2 3" xfId="23009"/>
    <cellStyle name="常规 3 4 3 3 3 3" xfId="7301"/>
    <cellStyle name="常规 3 4 3 3 3 3 2" xfId="16721"/>
    <cellStyle name="常规 3 4 3 3 3 3 2 2" xfId="35569"/>
    <cellStyle name="常规 3 4 3 3 3 3 3" xfId="26145"/>
    <cellStyle name="常规 3 4 3 3 3 4" xfId="10449"/>
    <cellStyle name="常规 3 4 3 3 3 4 2" xfId="29297"/>
    <cellStyle name="常规 3 4 3 3 3 5" xfId="19873"/>
    <cellStyle name="常规 3 4 3 3 4" xfId="1813"/>
    <cellStyle name="常规 3 4 3 3 4 2" xfId="4949"/>
    <cellStyle name="常规 3 4 3 3 4 2 2" xfId="14369"/>
    <cellStyle name="常规 3 4 3 3 4 2 2 2" xfId="33217"/>
    <cellStyle name="常规 3 4 3 3 4 2 3" xfId="23793"/>
    <cellStyle name="常规 3 4 3 3 4 3" xfId="8085"/>
    <cellStyle name="常规 3 4 3 3 4 3 2" xfId="17505"/>
    <cellStyle name="常规 3 4 3 3 4 3 2 2" xfId="36353"/>
    <cellStyle name="常规 3 4 3 3 4 3 3" xfId="26929"/>
    <cellStyle name="常规 3 4 3 3 4 4" xfId="11233"/>
    <cellStyle name="常规 3 4 3 3 4 4 2" xfId="30081"/>
    <cellStyle name="常规 3 4 3 3 4 5" xfId="20657"/>
    <cellStyle name="常规 3 4 3 3 5" xfId="2597"/>
    <cellStyle name="常规 3 4 3 3 5 2" xfId="5733"/>
    <cellStyle name="常规 3 4 3 3 5 2 2" xfId="15153"/>
    <cellStyle name="常规 3 4 3 3 5 2 2 2" xfId="34001"/>
    <cellStyle name="常规 3 4 3 3 5 2 3" xfId="24577"/>
    <cellStyle name="常规 3 4 3 3 5 3" xfId="8869"/>
    <cellStyle name="常规 3 4 3 3 5 3 2" xfId="18289"/>
    <cellStyle name="常规 3 4 3 3 5 3 2 2" xfId="37137"/>
    <cellStyle name="常规 3 4 3 3 5 3 3" xfId="27713"/>
    <cellStyle name="常规 3 4 3 3 5 4" xfId="12017"/>
    <cellStyle name="常规 3 4 3 3 5 4 2" xfId="30865"/>
    <cellStyle name="常规 3 4 3 3 5 5" xfId="21441"/>
    <cellStyle name="常规 3 4 3 3 6" xfId="3417"/>
    <cellStyle name="常规 3 4 3 3 6 2" xfId="12837"/>
    <cellStyle name="常规 3 4 3 3 6 2 2" xfId="31685"/>
    <cellStyle name="常规 3 4 3 3 6 3" xfId="22261"/>
    <cellStyle name="常规 3 4 3 3 7" xfId="6517"/>
    <cellStyle name="常规 3 4 3 3 7 2" xfId="15937"/>
    <cellStyle name="常规 3 4 3 3 7 2 2" xfId="34785"/>
    <cellStyle name="常规 3 4 3 3 7 3" xfId="25361"/>
    <cellStyle name="常规 3 4 3 3 8" xfId="9664"/>
    <cellStyle name="常规 3 4 3 3 8 2" xfId="28509"/>
    <cellStyle name="常规 3 4 3 3 9" xfId="19087"/>
    <cellStyle name="常规 3 4 3 4" xfId="636"/>
    <cellStyle name="常规 3 4 3 4 2" xfId="1420"/>
    <cellStyle name="常规 3 4 3 4 2 2" xfId="4556"/>
    <cellStyle name="常规 3 4 3 4 2 2 2" xfId="13976"/>
    <cellStyle name="常规 3 4 3 4 2 2 2 2" xfId="32824"/>
    <cellStyle name="常规 3 4 3 4 2 2 3" xfId="23400"/>
    <cellStyle name="常规 3 4 3 4 2 3" xfId="7692"/>
    <cellStyle name="常规 3 4 3 4 2 3 2" xfId="17112"/>
    <cellStyle name="常规 3 4 3 4 2 3 2 2" xfId="35960"/>
    <cellStyle name="常规 3 4 3 4 2 3 3" xfId="26536"/>
    <cellStyle name="常规 3 4 3 4 2 4" xfId="10840"/>
    <cellStyle name="常规 3 4 3 4 2 4 2" xfId="29688"/>
    <cellStyle name="常规 3 4 3 4 2 5" xfId="20264"/>
    <cellStyle name="常规 3 4 3 4 3" xfId="2204"/>
    <cellStyle name="常规 3 4 3 4 3 2" xfId="5340"/>
    <cellStyle name="常规 3 4 3 4 3 2 2" xfId="14760"/>
    <cellStyle name="常规 3 4 3 4 3 2 2 2" xfId="33608"/>
    <cellStyle name="常规 3 4 3 4 3 2 3" xfId="24184"/>
    <cellStyle name="常规 3 4 3 4 3 3" xfId="8476"/>
    <cellStyle name="常规 3 4 3 4 3 3 2" xfId="17896"/>
    <cellStyle name="常规 3 4 3 4 3 3 2 2" xfId="36744"/>
    <cellStyle name="常规 3 4 3 4 3 3 3" xfId="27320"/>
    <cellStyle name="常规 3 4 3 4 3 4" xfId="11624"/>
    <cellStyle name="常规 3 4 3 4 3 4 2" xfId="30472"/>
    <cellStyle name="常规 3 4 3 4 3 5" xfId="21048"/>
    <cellStyle name="常规 3 4 3 4 4" xfId="2988"/>
    <cellStyle name="常规 3 4 3 4 4 2" xfId="6124"/>
    <cellStyle name="常规 3 4 3 4 4 2 2" xfId="15544"/>
    <cellStyle name="常规 3 4 3 4 4 2 2 2" xfId="34392"/>
    <cellStyle name="常规 3 4 3 4 4 2 3" xfId="24968"/>
    <cellStyle name="常规 3 4 3 4 4 3" xfId="9260"/>
    <cellStyle name="常规 3 4 3 4 4 3 2" xfId="18680"/>
    <cellStyle name="常规 3 4 3 4 4 3 2 2" xfId="37528"/>
    <cellStyle name="常规 3 4 3 4 4 3 3" xfId="28104"/>
    <cellStyle name="常规 3 4 3 4 4 4" xfId="12408"/>
    <cellStyle name="常规 3 4 3 4 4 4 2" xfId="31256"/>
    <cellStyle name="常规 3 4 3 4 4 5" xfId="21832"/>
    <cellStyle name="常规 3 4 3 4 5" xfId="3772"/>
    <cellStyle name="常规 3 4 3 4 5 2" xfId="13192"/>
    <cellStyle name="常规 3 4 3 4 5 2 2" xfId="32040"/>
    <cellStyle name="常规 3 4 3 4 5 3" xfId="22616"/>
    <cellStyle name="常规 3 4 3 4 6" xfId="6908"/>
    <cellStyle name="常规 3 4 3 4 6 2" xfId="16328"/>
    <cellStyle name="常规 3 4 3 4 6 2 2" xfId="35176"/>
    <cellStyle name="常规 3 4 3 4 6 3" xfId="25752"/>
    <cellStyle name="常规 3 4 3 4 7" xfId="10056"/>
    <cellStyle name="常规 3 4 3 4 7 2" xfId="28904"/>
    <cellStyle name="常规 3 4 3 4 8" xfId="19480"/>
    <cellStyle name="常规 3 4 3 5" xfId="1026"/>
    <cellStyle name="常规 3 4 3 5 2" xfId="4162"/>
    <cellStyle name="常规 3 4 3 5 2 2" xfId="13582"/>
    <cellStyle name="常规 3 4 3 5 2 2 2" xfId="32430"/>
    <cellStyle name="常规 3 4 3 5 2 3" xfId="23006"/>
    <cellStyle name="常规 3 4 3 5 3" xfId="7298"/>
    <cellStyle name="常规 3 4 3 5 3 2" xfId="16718"/>
    <cellStyle name="常规 3 4 3 5 3 2 2" xfId="35566"/>
    <cellStyle name="常规 3 4 3 5 3 3" xfId="26142"/>
    <cellStyle name="常规 3 4 3 5 4" xfId="10446"/>
    <cellStyle name="常规 3 4 3 5 4 2" xfId="29294"/>
    <cellStyle name="常规 3 4 3 5 5" xfId="19870"/>
    <cellStyle name="常规 3 4 3 6" xfId="1810"/>
    <cellStyle name="常规 3 4 3 6 2" xfId="4946"/>
    <cellStyle name="常规 3 4 3 6 2 2" xfId="14366"/>
    <cellStyle name="常规 3 4 3 6 2 2 2" xfId="33214"/>
    <cellStyle name="常规 3 4 3 6 2 3" xfId="23790"/>
    <cellStyle name="常规 3 4 3 6 3" xfId="8082"/>
    <cellStyle name="常规 3 4 3 6 3 2" xfId="17502"/>
    <cellStyle name="常规 3 4 3 6 3 2 2" xfId="36350"/>
    <cellStyle name="常规 3 4 3 6 3 3" xfId="26926"/>
    <cellStyle name="常规 3 4 3 6 4" xfId="11230"/>
    <cellStyle name="常规 3 4 3 6 4 2" xfId="30078"/>
    <cellStyle name="常规 3 4 3 6 5" xfId="20654"/>
    <cellStyle name="常规 3 4 3 7" xfId="2594"/>
    <cellStyle name="常规 3 4 3 7 2" xfId="5730"/>
    <cellStyle name="常规 3 4 3 7 2 2" xfId="15150"/>
    <cellStyle name="常规 3 4 3 7 2 2 2" xfId="33998"/>
    <cellStyle name="常规 3 4 3 7 2 3" xfId="24574"/>
    <cellStyle name="常规 3 4 3 7 3" xfId="8866"/>
    <cellStyle name="常规 3 4 3 7 3 2" xfId="18286"/>
    <cellStyle name="常规 3 4 3 7 3 2 2" xfId="37134"/>
    <cellStyle name="常规 3 4 3 7 3 3" xfId="27710"/>
    <cellStyle name="常规 3 4 3 7 4" xfId="12014"/>
    <cellStyle name="常规 3 4 3 7 4 2" xfId="30862"/>
    <cellStyle name="常规 3 4 3 7 5" xfId="21438"/>
    <cellStyle name="常规 3 4 3 8" xfId="3221"/>
    <cellStyle name="常规 3 4 3 8 2" xfId="12641"/>
    <cellStyle name="常规 3 4 3 8 2 2" xfId="31489"/>
    <cellStyle name="常规 3 4 3 8 3" xfId="22065"/>
    <cellStyle name="常规 3 4 3 9" xfId="6514"/>
    <cellStyle name="常规 3 4 3 9 2" xfId="15934"/>
    <cellStyle name="常规 3 4 3 9 2 2" xfId="34782"/>
    <cellStyle name="常规 3 4 3 9 3" xfId="25358"/>
    <cellStyle name="常规 3 4 4" xfId="242"/>
    <cellStyle name="常规 3 4 4 10" xfId="19088"/>
    <cellStyle name="常规 3 4 4 2" xfId="243"/>
    <cellStyle name="常规 3 4 4 2 2" xfId="641"/>
    <cellStyle name="常规 3 4 4 2 2 2" xfId="1425"/>
    <cellStyle name="常规 3 4 4 2 2 2 2" xfId="4561"/>
    <cellStyle name="常规 3 4 4 2 2 2 2 2" xfId="13981"/>
    <cellStyle name="常规 3 4 4 2 2 2 2 2 2" xfId="32829"/>
    <cellStyle name="常规 3 4 4 2 2 2 2 3" xfId="23405"/>
    <cellStyle name="常规 3 4 4 2 2 2 3" xfId="7697"/>
    <cellStyle name="常规 3 4 4 2 2 2 3 2" xfId="17117"/>
    <cellStyle name="常规 3 4 4 2 2 2 3 2 2" xfId="35965"/>
    <cellStyle name="常规 3 4 4 2 2 2 3 3" xfId="26541"/>
    <cellStyle name="常规 3 4 4 2 2 2 4" xfId="10845"/>
    <cellStyle name="常规 3 4 4 2 2 2 4 2" xfId="29693"/>
    <cellStyle name="常规 3 4 4 2 2 2 5" xfId="20269"/>
    <cellStyle name="常规 3 4 4 2 2 3" xfId="2209"/>
    <cellStyle name="常规 3 4 4 2 2 3 2" xfId="5345"/>
    <cellStyle name="常规 3 4 4 2 2 3 2 2" xfId="14765"/>
    <cellStyle name="常规 3 4 4 2 2 3 2 2 2" xfId="33613"/>
    <cellStyle name="常规 3 4 4 2 2 3 2 3" xfId="24189"/>
    <cellStyle name="常规 3 4 4 2 2 3 3" xfId="8481"/>
    <cellStyle name="常规 3 4 4 2 2 3 3 2" xfId="17901"/>
    <cellStyle name="常规 3 4 4 2 2 3 3 2 2" xfId="36749"/>
    <cellStyle name="常规 3 4 4 2 2 3 3 3" xfId="27325"/>
    <cellStyle name="常规 3 4 4 2 2 3 4" xfId="11629"/>
    <cellStyle name="常规 3 4 4 2 2 3 4 2" xfId="30477"/>
    <cellStyle name="常规 3 4 4 2 2 3 5" xfId="21053"/>
    <cellStyle name="常规 3 4 4 2 2 4" xfId="2993"/>
    <cellStyle name="常规 3 4 4 2 2 4 2" xfId="6129"/>
    <cellStyle name="常规 3 4 4 2 2 4 2 2" xfId="15549"/>
    <cellStyle name="常规 3 4 4 2 2 4 2 2 2" xfId="34397"/>
    <cellStyle name="常规 3 4 4 2 2 4 2 3" xfId="24973"/>
    <cellStyle name="常规 3 4 4 2 2 4 3" xfId="9265"/>
    <cellStyle name="常规 3 4 4 2 2 4 3 2" xfId="18685"/>
    <cellStyle name="常规 3 4 4 2 2 4 3 2 2" xfId="37533"/>
    <cellStyle name="常规 3 4 4 2 2 4 3 3" xfId="28109"/>
    <cellStyle name="常规 3 4 4 2 2 4 4" xfId="12413"/>
    <cellStyle name="常规 3 4 4 2 2 4 4 2" xfId="31261"/>
    <cellStyle name="常规 3 4 4 2 2 4 5" xfId="21837"/>
    <cellStyle name="常规 3 4 4 2 2 5" xfId="3777"/>
    <cellStyle name="常规 3 4 4 2 2 5 2" xfId="13197"/>
    <cellStyle name="常规 3 4 4 2 2 5 2 2" xfId="32045"/>
    <cellStyle name="常规 3 4 4 2 2 5 3" xfId="22621"/>
    <cellStyle name="常规 3 4 4 2 2 6" xfId="6913"/>
    <cellStyle name="常规 3 4 4 2 2 6 2" xfId="16333"/>
    <cellStyle name="常规 3 4 4 2 2 6 2 2" xfId="35181"/>
    <cellStyle name="常规 3 4 4 2 2 6 3" xfId="25757"/>
    <cellStyle name="常规 3 4 4 2 2 7" xfId="10061"/>
    <cellStyle name="常规 3 4 4 2 2 7 2" xfId="28909"/>
    <cellStyle name="常规 3 4 4 2 2 8" xfId="19485"/>
    <cellStyle name="常规 3 4 4 2 3" xfId="1031"/>
    <cellStyle name="常规 3 4 4 2 3 2" xfId="4167"/>
    <cellStyle name="常规 3 4 4 2 3 2 2" xfId="13587"/>
    <cellStyle name="常规 3 4 4 2 3 2 2 2" xfId="32435"/>
    <cellStyle name="常规 3 4 4 2 3 2 3" xfId="23011"/>
    <cellStyle name="常规 3 4 4 2 3 3" xfId="7303"/>
    <cellStyle name="常规 3 4 4 2 3 3 2" xfId="16723"/>
    <cellStyle name="常规 3 4 4 2 3 3 2 2" xfId="35571"/>
    <cellStyle name="常规 3 4 4 2 3 3 3" xfId="26147"/>
    <cellStyle name="常规 3 4 4 2 3 4" xfId="10451"/>
    <cellStyle name="常规 3 4 4 2 3 4 2" xfId="29299"/>
    <cellStyle name="常规 3 4 4 2 3 5" xfId="19875"/>
    <cellStyle name="常规 3 4 4 2 4" xfId="1815"/>
    <cellStyle name="常规 3 4 4 2 4 2" xfId="4951"/>
    <cellStyle name="常规 3 4 4 2 4 2 2" xfId="14371"/>
    <cellStyle name="常规 3 4 4 2 4 2 2 2" xfId="33219"/>
    <cellStyle name="常规 3 4 4 2 4 2 3" xfId="23795"/>
    <cellStyle name="常规 3 4 4 2 4 3" xfId="8087"/>
    <cellStyle name="常规 3 4 4 2 4 3 2" xfId="17507"/>
    <cellStyle name="常规 3 4 4 2 4 3 2 2" xfId="36355"/>
    <cellStyle name="常规 3 4 4 2 4 3 3" xfId="26931"/>
    <cellStyle name="常规 3 4 4 2 4 4" xfId="11235"/>
    <cellStyle name="常规 3 4 4 2 4 4 2" xfId="30083"/>
    <cellStyle name="常规 3 4 4 2 4 5" xfId="20659"/>
    <cellStyle name="常规 3 4 4 2 5" xfId="2599"/>
    <cellStyle name="常规 3 4 4 2 5 2" xfId="5735"/>
    <cellStyle name="常规 3 4 4 2 5 2 2" xfId="15155"/>
    <cellStyle name="常规 3 4 4 2 5 2 2 2" xfId="34003"/>
    <cellStyle name="常规 3 4 4 2 5 2 3" xfId="24579"/>
    <cellStyle name="常规 3 4 4 2 5 3" xfId="8871"/>
    <cellStyle name="常规 3 4 4 2 5 3 2" xfId="18291"/>
    <cellStyle name="常规 3 4 4 2 5 3 2 2" xfId="37139"/>
    <cellStyle name="常规 3 4 4 2 5 3 3" xfId="27715"/>
    <cellStyle name="常规 3 4 4 2 5 4" xfId="12019"/>
    <cellStyle name="常规 3 4 4 2 5 4 2" xfId="30867"/>
    <cellStyle name="常规 3 4 4 2 5 5" xfId="21443"/>
    <cellStyle name="常规 3 4 4 2 6" xfId="3419"/>
    <cellStyle name="常规 3 4 4 2 6 2" xfId="12839"/>
    <cellStyle name="常规 3 4 4 2 6 2 2" xfId="31687"/>
    <cellStyle name="常规 3 4 4 2 6 3" xfId="22263"/>
    <cellStyle name="常规 3 4 4 2 7" xfId="6519"/>
    <cellStyle name="常规 3 4 4 2 7 2" xfId="15939"/>
    <cellStyle name="常规 3 4 4 2 7 2 2" xfId="34787"/>
    <cellStyle name="常规 3 4 4 2 7 3" xfId="25363"/>
    <cellStyle name="常规 3 4 4 2 8" xfId="9666"/>
    <cellStyle name="常规 3 4 4 2 8 2" xfId="28511"/>
    <cellStyle name="常规 3 4 4 2 9" xfId="19089"/>
    <cellStyle name="常规 3 4 4 3" xfId="640"/>
    <cellStyle name="常规 3 4 4 3 2" xfId="1424"/>
    <cellStyle name="常规 3 4 4 3 2 2" xfId="4560"/>
    <cellStyle name="常规 3 4 4 3 2 2 2" xfId="13980"/>
    <cellStyle name="常规 3 4 4 3 2 2 2 2" xfId="32828"/>
    <cellStyle name="常规 3 4 4 3 2 2 3" xfId="23404"/>
    <cellStyle name="常规 3 4 4 3 2 3" xfId="7696"/>
    <cellStyle name="常规 3 4 4 3 2 3 2" xfId="17116"/>
    <cellStyle name="常规 3 4 4 3 2 3 2 2" xfId="35964"/>
    <cellStyle name="常规 3 4 4 3 2 3 3" xfId="26540"/>
    <cellStyle name="常规 3 4 4 3 2 4" xfId="10844"/>
    <cellStyle name="常规 3 4 4 3 2 4 2" xfId="29692"/>
    <cellStyle name="常规 3 4 4 3 2 5" xfId="20268"/>
    <cellStyle name="常规 3 4 4 3 3" xfId="2208"/>
    <cellStyle name="常规 3 4 4 3 3 2" xfId="5344"/>
    <cellStyle name="常规 3 4 4 3 3 2 2" xfId="14764"/>
    <cellStyle name="常规 3 4 4 3 3 2 2 2" xfId="33612"/>
    <cellStyle name="常规 3 4 4 3 3 2 3" xfId="24188"/>
    <cellStyle name="常规 3 4 4 3 3 3" xfId="8480"/>
    <cellStyle name="常规 3 4 4 3 3 3 2" xfId="17900"/>
    <cellStyle name="常规 3 4 4 3 3 3 2 2" xfId="36748"/>
    <cellStyle name="常规 3 4 4 3 3 3 3" xfId="27324"/>
    <cellStyle name="常规 3 4 4 3 3 4" xfId="11628"/>
    <cellStyle name="常规 3 4 4 3 3 4 2" xfId="30476"/>
    <cellStyle name="常规 3 4 4 3 3 5" xfId="21052"/>
    <cellStyle name="常规 3 4 4 3 4" xfId="2992"/>
    <cellStyle name="常规 3 4 4 3 4 2" xfId="6128"/>
    <cellStyle name="常规 3 4 4 3 4 2 2" xfId="15548"/>
    <cellStyle name="常规 3 4 4 3 4 2 2 2" xfId="34396"/>
    <cellStyle name="常规 3 4 4 3 4 2 3" xfId="24972"/>
    <cellStyle name="常规 3 4 4 3 4 3" xfId="9264"/>
    <cellStyle name="常规 3 4 4 3 4 3 2" xfId="18684"/>
    <cellStyle name="常规 3 4 4 3 4 3 2 2" xfId="37532"/>
    <cellStyle name="常规 3 4 4 3 4 3 3" xfId="28108"/>
    <cellStyle name="常规 3 4 4 3 4 4" xfId="12412"/>
    <cellStyle name="常规 3 4 4 3 4 4 2" xfId="31260"/>
    <cellStyle name="常规 3 4 4 3 4 5" xfId="21836"/>
    <cellStyle name="常规 3 4 4 3 5" xfId="3776"/>
    <cellStyle name="常规 3 4 4 3 5 2" xfId="13196"/>
    <cellStyle name="常规 3 4 4 3 5 2 2" xfId="32044"/>
    <cellStyle name="常规 3 4 4 3 5 3" xfId="22620"/>
    <cellStyle name="常规 3 4 4 3 6" xfId="6912"/>
    <cellStyle name="常规 3 4 4 3 6 2" xfId="16332"/>
    <cellStyle name="常规 3 4 4 3 6 2 2" xfId="35180"/>
    <cellStyle name="常规 3 4 4 3 6 3" xfId="25756"/>
    <cellStyle name="常规 3 4 4 3 7" xfId="10060"/>
    <cellStyle name="常规 3 4 4 3 7 2" xfId="28908"/>
    <cellStyle name="常规 3 4 4 3 8" xfId="19484"/>
    <cellStyle name="常规 3 4 4 4" xfId="1030"/>
    <cellStyle name="常规 3 4 4 4 2" xfId="4166"/>
    <cellStyle name="常规 3 4 4 4 2 2" xfId="13586"/>
    <cellStyle name="常规 3 4 4 4 2 2 2" xfId="32434"/>
    <cellStyle name="常规 3 4 4 4 2 3" xfId="23010"/>
    <cellStyle name="常规 3 4 4 4 3" xfId="7302"/>
    <cellStyle name="常规 3 4 4 4 3 2" xfId="16722"/>
    <cellStyle name="常规 3 4 4 4 3 2 2" xfId="35570"/>
    <cellStyle name="常规 3 4 4 4 3 3" xfId="26146"/>
    <cellStyle name="常规 3 4 4 4 4" xfId="10450"/>
    <cellStyle name="常规 3 4 4 4 4 2" xfId="29298"/>
    <cellStyle name="常规 3 4 4 4 5" xfId="19874"/>
    <cellStyle name="常规 3 4 4 5" xfId="1814"/>
    <cellStyle name="常规 3 4 4 5 2" xfId="4950"/>
    <cellStyle name="常规 3 4 4 5 2 2" xfId="14370"/>
    <cellStyle name="常规 3 4 4 5 2 2 2" xfId="33218"/>
    <cellStyle name="常规 3 4 4 5 2 3" xfId="23794"/>
    <cellStyle name="常规 3 4 4 5 3" xfId="8086"/>
    <cellStyle name="常规 3 4 4 5 3 2" xfId="17506"/>
    <cellStyle name="常规 3 4 4 5 3 2 2" xfId="36354"/>
    <cellStyle name="常规 3 4 4 5 3 3" xfId="26930"/>
    <cellStyle name="常规 3 4 4 5 4" xfId="11234"/>
    <cellStyle name="常规 3 4 4 5 4 2" xfId="30082"/>
    <cellStyle name="常规 3 4 4 5 5" xfId="20658"/>
    <cellStyle name="常规 3 4 4 6" xfId="2598"/>
    <cellStyle name="常规 3 4 4 6 2" xfId="5734"/>
    <cellStyle name="常规 3 4 4 6 2 2" xfId="15154"/>
    <cellStyle name="常规 3 4 4 6 2 2 2" xfId="34002"/>
    <cellStyle name="常规 3 4 4 6 2 3" xfId="24578"/>
    <cellStyle name="常规 3 4 4 6 3" xfId="8870"/>
    <cellStyle name="常规 3 4 4 6 3 2" xfId="18290"/>
    <cellStyle name="常规 3 4 4 6 3 2 2" xfId="37138"/>
    <cellStyle name="常规 3 4 4 6 3 3" xfId="27714"/>
    <cellStyle name="常规 3 4 4 6 4" xfId="12018"/>
    <cellStyle name="常规 3 4 4 6 4 2" xfId="30866"/>
    <cellStyle name="常规 3 4 4 6 5" xfId="21442"/>
    <cellStyle name="常规 3 4 4 7" xfId="3418"/>
    <cellStyle name="常规 3 4 4 7 2" xfId="12838"/>
    <cellStyle name="常规 3 4 4 7 2 2" xfId="31686"/>
    <cellStyle name="常规 3 4 4 7 3" xfId="22262"/>
    <cellStyle name="常规 3 4 4 8" xfId="6518"/>
    <cellStyle name="常规 3 4 4 8 2" xfId="15938"/>
    <cellStyle name="常规 3 4 4 8 2 2" xfId="34786"/>
    <cellStyle name="常规 3 4 4 8 3" xfId="25362"/>
    <cellStyle name="常规 3 4 4 9" xfId="9665"/>
    <cellStyle name="常规 3 4 4 9 2" xfId="28510"/>
    <cellStyle name="常规 3 4 5" xfId="244"/>
    <cellStyle name="常规 3 4 5 2" xfId="642"/>
    <cellStyle name="常规 3 4 5 2 2" xfId="1426"/>
    <cellStyle name="常规 3 4 5 2 2 2" xfId="4562"/>
    <cellStyle name="常规 3 4 5 2 2 2 2" xfId="13982"/>
    <cellStyle name="常规 3 4 5 2 2 2 2 2" xfId="32830"/>
    <cellStyle name="常规 3 4 5 2 2 2 3" xfId="23406"/>
    <cellStyle name="常规 3 4 5 2 2 3" xfId="7698"/>
    <cellStyle name="常规 3 4 5 2 2 3 2" xfId="17118"/>
    <cellStyle name="常规 3 4 5 2 2 3 2 2" xfId="35966"/>
    <cellStyle name="常规 3 4 5 2 2 3 3" xfId="26542"/>
    <cellStyle name="常规 3 4 5 2 2 4" xfId="10846"/>
    <cellStyle name="常规 3 4 5 2 2 4 2" xfId="29694"/>
    <cellStyle name="常规 3 4 5 2 2 5" xfId="20270"/>
    <cellStyle name="常规 3 4 5 2 3" xfId="2210"/>
    <cellStyle name="常规 3 4 5 2 3 2" xfId="5346"/>
    <cellStyle name="常规 3 4 5 2 3 2 2" xfId="14766"/>
    <cellStyle name="常规 3 4 5 2 3 2 2 2" xfId="33614"/>
    <cellStyle name="常规 3 4 5 2 3 2 3" xfId="24190"/>
    <cellStyle name="常规 3 4 5 2 3 3" xfId="8482"/>
    <cellStyle name="常规 3 4 5 2 3 3 2" xfId="17902"/>
    <cellStyle name="常规 3 4 5 2 3 3 2 2" xfId="36750"/>
    <cellStyle name="常规 3 4 5 2 3 3 3" xfId="27326"/>
    <cellStyle name="常规 3 4 5 2 3 4" xfId="11630"/>
    <cellStyle name="常规 3 4 5 2 3 4 2" xfId="30478"/>
    <cellStyle name="常规 3 4 5 2 3 5" xfId="21054"/>
    <cellStyle name="常规 3 4 5 2 4" xfId="2994"/>
    <cellStyle name="常规 3 4 5 2 4 2" xfId="6130"/>
    <cellStyle name="常规 3 4 5 2 4 2 2" xfId="15550"/>
    <cellStyle name="常规 3 4 5 2 4 2 2 2" xfId="34398"/>
    <cellStyle name="常规 3 4 5 2 4 2 3" xfId="24974"/>
    <cellStyle name="常规 3 4 5 2 4 3" xfId="9266"/>
    <cellStyle name="常规 3 4 5 2 4 3 2" xfId="18686"/>
    <cellStyle name="常规 3 4 5 2 4 3 2 2" xfId="37534"/>
    <cellStyle name="常规 3 4 5 2 4 3 3" xfId="28110"/>
    <cellStyle name="常规 3 4 5 2 4 4" xfId="12414"/>
    <cellStyle name="常规 3 4 5 2 4 4 2" xfId="31262"/>
    <cellStyle name="常规 3 4 5 2 4 5" xfId="21838"/>
    <cellStyle name="常规 3 4 5 2 5" xfId="3778"/>
    <cellStyle name="常规 3 4 5 2 5 2" xfId="13198"/>
    <cellStyle name="常规 3 4 5 2 5 2 2" xfId="32046"/>
    <cellStyle name="常规 3 4 5 2 5 3" xfId="22622"/>
    <cellStyle name="常规 3 4 5 2 6" xfId="6914"/>
    <cellStyle name="常规 3 4 5 2 6 2" xfId="16334"/>
    <cellStyle name="常规 3 4 5 2 6 2 2" xfId="35182"/>
    <cellStyle name="常规 3 4 5 2 6 3" xfId="25758"/>
    <cellStyle name="常规 3 4 5 2 7" xfId="10062"/>
    <cellStyle name="常规 3 4 5 2 7 2" xfId="28910"/>
    <cellStyle name="常规 3 4 5 2 8" xfId="19486"/>
    <cellStyle name="常规 3 4 5 3" xfId="1032"/>
    <cellStyle name="常规 3 4 5 3 2" xfId="4168"/>
    <cellStyle name="常规 3 4 5 3 2 2" xfId="13588"/>
    <cellStyle name="常规 3 4 5 3 2 2 2" xfId="32436"/>
    <cellStyle name="常规 3 4 5 3 2 3" xfId="23012"/>
    <cellStyle name="常规 3 4 5 3 3" xfId="7304"/>
    <cellStyle name="常规 3 4 5 3 3 2" xfId="16724"/>
    <cellStyle name="常规 3 4 5 3 3 2 2" xfId="35572"/>
    <cellStyle name="常规 3 4 5 3 3 3" xfId="26148"/>
    <cellStyle name="常规 3 4 5 3 4" xfId="10452"/>
    <cellStyle name="常规 3 4 5 3 4 2" xfId="29300"/>
    <cellStyle name="常规 3 4 5 3 5" xfId="19876"/>
    <cellStyle name="常规 3 4 5 4" xfId="1816"/>
    <cellStyle name="常规 3 4 5 4 2" xfId="4952"/>
    <cellStyle name="常规 3 4 5 4 2 2" xfId="14372"/>
    <cellStyle name="常规 3 4 5 4 2 2 2" xfId="33220"/>
    <cellStyle name="常规 3 4 5 4 2 3" xfId="23796"/>
    <cellStyle name="常规 3 4 5 4 3" xfId="8088"/>
    <cellStyle name="常规 3 4 5 4 3 2" xfId="17508"/>
    <cellStyle name="常规 3 4 5 4 3 2 2" xfId="36356"/>
    <cellStyle name="常规 3 4 5 4 3 3" xfId="26932"/>
    <cellStyle name="常规 3 4 5 4 4" xfId="11236"/>
    <cellStyle name="常规 3 4 5 4 4 2" xfId="30084"/>
    <cellStyle name="常规 3 4 5 4 5" xfId="20660"/>
    <cellStyle name="常规 3 4 5 5" xfId="2600"/>
    <cellStyle name="常规 3 4 5 5 2" xfId="5736"/>
    <cellStyle name="常规 3 4 5 5 2 2" xfId="15156"/>
    <cellStyle name="常规 3 4 5 5 2 2 2" xfId="34004"/>
    <cellStyle name="常规 3 4 5 5 2 3" xfId="24580"/>
    <cellStyle name="常规 3 4 5 5 3" xfId="8872"/>
    <cellStyle name="常规 3 4 5 5 3 2" xfId="18292"/>
    <cellStyle name="常规 3 4 5 5 3 2 2" xfId="37140"/>
    <cellStyle name="常规 3 4 5 5 3 3" xfId="27716"/>
    <cellStyle name="常规 3 4 5 5 4" xfId="12020"/>
    <cellStyle name="常规 3 4 5 5 4 2" xfId="30868"/>
    <cellStyle name="常规 3 4 5 5 5" xfId="21444"/>
    <cellStyle name="常规 3 4 5 6" xfId="3420"/>
    <cellStyle name="常规 3 4 5 6 2" xfId="12840"/>
    <cellStyle name="常规 3 4 5 6 2 2" xfId="31688"/>
    <cellStyle name="常规 3 4 5 6 3" xfId="22264"/>
    <cellStyle name="常规 3 4 5 7" xfId="6520"/>
    <cellStyle name="常规 3 4 5 7 2" xfId="15940"/>
    <cellStyle name="常规 3 4 5 7 2 2" xfId="34788"/>
    <cellStyle name="常规 3 4 5 7 3" xfId="25364"/>
    <cellStyle name="常规 3 4 5 8" xfId="9667"/>
    <cellStyle name="常规 3 4 5 8 2" xfId="28512"/>
    <cellStyle name="常规 3 4 5 9" xfId="19090"/>
    <cellStyle name="常规 3 4 6" xfId="627"/>
    <cellStyle name="常规 3 4 6 2" xfId="1411"/>
    <cellStyle name="常规 3 4 6 2 2" xfId="4547"/>
    <cellStyle name="常规 3 4 6 2 2 2" xfId="13967"/>
    <cellStyle name="常规 3 4 6 2 2 2 2" xfId="32815"/>
    <cellStyle name="常规 3 4 6 2 2 3" xfId="23391"/>
    <cellStyle name="常规 3 4 6 2 3" xfId="7683"/>
    <cellStyle name="常规 3 4 6 2 3 2" xfId="17103"/>
    <cellStyle name="常规 3 4 6 2 3 2 2" xfId="35951"/>
    <cellStyle name="常规 3 4 6 2 3 3" xfId="26527"/>
    <cellStyle name="常规 3 4 6 2 4" xfId="10831"/>
    <cellStyle name="常规 3 4 6 2 4 2" xfId="29679"/>
    <cellStyle name="常规 3 4 6 2 5" xfId="20255"/>
    <cellStyle name="常规 3 4 6 3" xfId="2195"/>
    <cellStyle name="常规 3 4 6 3 2" xfId="5331"/>
    <cellStyle name="常规 3 4 6 3 2 2" xfId="14751"/>
    <cellStyle name="常规 3 4 6 3 2 2 2" xfId="33599"/>
    <cellStyle name="常规 3 4 6 3 2 3" xfId="24175"/>
    <cellStyle name="常规 3 4 6 3 3" xfId="8467"/>
    <cellStyle name="常规 3 4 6 3 3 2" xfId="17887"/>
    <cellStyle name="常规 3 4 6 3 3 2 2" xfId="36735"/>
    <cellStyle name="常规 3 4 6 3 3 3" xfId="27311"/>
    <cellStyle name="常规 3 4 6 3 4" xfId="11615"/>
    <cellStyle name="常规 3 4 6 3 4 2" xfId="30463"/>
    <cellStyle name="常规 3 4 6 3 5" xfId="21039"/>
    <cellStyle name="常规 3 4 6 4" xfId="2979"/>
    <cellStyle name="常规 3 4 6 4 2" xfId="6115"/>
    <cellStyle name="常规 3 4 6 4 2 2" xfId="15535"/>
    <cellStyle name="常规 3 4 6 4 2 2 2" xfId="34383"/>
    <cellStyle name="常规 3 4 6 4 2 3" xfId="24959"/>
    <cellStyle name="常规 3 4 6 4 3" xfId="9251"/>
    <cellStyle name="常规 3 4 6 4 3 2" xfId="18671"/>
    <cellStyle name="常规 3 4 6 4 3 2 2" xfId="37519"/>
    <cellStyle name="常规 3 4 6 4 3 3" xfId="28095"/>
    <cellStyle name="常规 3 4 6 4 4" xfId="12399"/>
    <cellStyle name="常规 3 4 6 4 4 2" xfId="31247"/>
    <cellStyle name="常规 3 4 6 4 5" xfId="21823"/>
    <cellStyle name="常规 3 4 6 5" xfId="3763"/>
    <cellStyle name="常规 3 4 6 5 2" xfId="13183"/>
    <cellStyle name="常规 3 4 6 5 2 2" xfId="32031"/>
    <cellStyle name="常规 3 4 6 5 3" xfId="22607"/>
    <cellStyle name="常规 3 4 6 6" xfId="6899"/>
    <cellStyle name="常规 3 4 6 6 2" xfId="16319"/>
    <cellStyle name="常规 3 4 6 6 2 2" xfId="35167"/>
    <cellStyle name="常规 3 4 6 6 3" xfId="25743"/>
    <cellStyle name="常规 3 4 6 7" xfId="10047"/>
    <cellStyle name="常规 3 4 6 7 2" xfId="28895"/>
    <cellStyle name="常规 3 4 6 8" xfId="19471"/>
    <cellStyle name="常规 3 4 7" xfId="1017"/>
    <cellStyle name="常规 3 4 7 2" xfId="4153"/>
    <cellStyle name="常规 3 4 7 2 2" xfId="13573"/>
    <cellStyle name="常规 3 4 7 2 2 2" xfId="32421"/>
    <cellStyle name="常规 3 4 7 2 3" xfId="22997"/>
    <cellStyle name="常规 3 4 7 3" xfId="7289"/>
    <cellStyle name="常规 3 4 7 3 2" xfId="16709"/>
    <cellStyle name="常规 3 4 7 3 2 2" xfId="35557"/>
    <cellStyle name="常规 3 4 7 3 3" xfId="26133"/>
    <cellStyle name="常规 3 4 7 4" xfId="10437"/>
    <cellStyle name="常规 3 4 7 4 2" xfId="29285"/>
    <cellStyle name="常规 3 4 7 5" xfId="19861"/>
    <cellStyle name="常规 3 4 8" xfId="1801"/>
    <cellStyle name="常规 3 4 8 2" xfId="4937"/>
    <cellStyle name="常规 3 4 8 2 2" xfId="14357"/>
    <cellStyle name="常规 3 4 8 2 2 2" xfId="33205"/>
    <cellStyle name="常规 3 4 8 2 3" xfId="23781"/>
    <cellStyle name="常规 3 4 8 3" xfId="8073"/>
    <cellStyle name="常规 3 4 8 3 2" xfId="17493"/>
    <cellStyle name="常规 3 4 8 3 2 2" xfId="36341"/>
    <cellStyle name="常规 3 4 8 3 3" xfId="26917"/>
    <cellStyle name="常规 3 4 8 4" xfId="11221"/>
    <cellStyle name="常规 3 4 8 4 2" xfId="30069"/>
    <cellStyle name="常规 3 4 8 5" xfId="20645"/>
    <cellStyle name="常规 3 4 9" xfId="2585"/>
    <cellStyle name="常规 3 4 9 2" xfId="5721"/>
    <cellStyle name="常规 3 4 9 2 2" xfId="15141"/>
    <cellStyle name="常规 3 4 9 2 2 2" xfId="33989"/>
    <cellStyle name="常规 3 4 9 2 3" xfId="24565"/>
    <cellStyle name="常规 3 4 9 3" xfId="8857"/>
    <cellStyle name="常规 3 4 9 3 2" xfId="18277"/>
    <cellStyle name="常规 3 4 9 3 2 2" xfId="37125"/>
    <cellStyle name="常规 3 4 9 3 3" xfId="27701"/>
    <cellStyle name="常规 3 4 9 4" xfId="12005"/>
    <cellStyle name="常规 3 4 9 4 2" xfId="30853"/>
    <cellStyle name="常规 3 4 9 5" xfId="21429"/>
    <cellStyle name="常规 3 5" xfId="245"/>
    <cellStyle name="常规 3 5 10" xfId="6521"/>
    <cellStyle name="常规 3 5 10 2" xfId="15941"/>
    <cellStyle name="常规 3 5 10 2 2" xfId="34789"/>
    <cellStyle name="常规 3 5 10 3" xfId="25365"/>
    <cellStyle name="常规 3 5 11" xfId="9668"/>
    <cellStyle name="常规 3 5 11 2" xfId="28513"/>
    <cellStyle name="常规 3 5 12" xfId="19091"/>
    <cellStyle name="常规 3 5 2" xfId="246"/>
    <cellStyle name="常规 3 5 2 10" xfId="9669"/>
    <cellStyle name="常规 3 5 2 10 2" xfId="28514"/>
    <cellStyle name="常规 3 5 2 11" xfId="19092"/>
    <cellStyle name="常规 3 5 2 2" xfId="247"/>
    <cellStyle name="常规 3 5 2 2 10" xfId="19093"/>
    <cellStyle name="常规 3 5 2 2 2" xfId="248"/>
    <cellStyle name="常规 3 5 2 2 2 2" xfId="646"/>
    <cellStyle name="常规 3 5 2 2 2 2 2" xfId="1430"/>
    <cellStyle name="常规 3 5 2 2 2 2 2 2" xfId="4566"/>
    <cellStyle name="常规 3 5 2 2 2 2 2 2 2" xfId="13986"/>
    <cellStyle name="常规 3 5 2 2 2 2 2 2 2 2" xfId="32834"/>
    <cellStyle name="常规 3 5 2 2 2 2 2 2 3" xfId="23410"/>
    <cellStyle name="常规 3 5 2 2 2 2 2 3" xfId="7702"/>
    <cellStyle name="常规 3 5 2 2 2 2 2 3 2" xfId="17122"/>
    <cellStyle name="常规 3 5 2 2 2 2 2 3 2 2" xfId="35970"/>
    <cellStyle name="常规 3 5 2 2 2 2 2 3 3" xfId="26546"/>
    <cellStyle name="常规 3 5 2 2 2 2 2 4" xfId="10850"/>
    <cellStyle name="常规 3 5 2 2 2 2 2 4 2" xfId="29698"/>
    <cellStyle name="常规 3 5 2 2 2 2 2 5" xfId="20274"/>
    <cellStyle name="常规 3 5 2 2 2 2 3" xfId="2214"/>
    <cellStyle name="常规 3 5 2 2 2 2 3 2" xfId="5350"/>
    <cellStyle name="常规 3 5 2 2 2 2 3 2 2" xfId="14770"/>
    <cellStyle name="常规 3 5 2 2 2 2 3 2 2 2" xfId="33618"/>
    <cellStyle name="常规 3 5 2 2 2 2 3 2 3" xfId="24194"/>
    <cellStyle name="常规 3 5 2 2 2 2 3 3" xfId="8486"/>
    <cellStyle name="常规 3 5 2 2 2 2 3 3 2" xfId="17906"/>
    <cellStyle name="常规 3 5 2 2 2 2 3 3 2 2" xfId="36754"/>
    <cellStyle name="常规 3 5 2 2 2 2 3 3 3" xfId="27330"/>
    <cellStyle name="常规 3 5 2 2 2 2 3 4" xfId="11634"/>
    <cellStyle name="常规 3 5 2 2 2 2 3 4 2" xfId="30482"/>
    <cellStyle name="常规 3 5 2 2 2 2 3 5" xfId="21058"/>
    <cellStyle name="常规 3 5 2 2 2 2 4" xfId="2998"/>
    <cellStyle name="常规 3 5 2 2 2 2 4 2" xfId="6134"/>
    <cellStyle name="常规 3 5 2 2 2 2 4 2 2" xfId="15554"/>
    <cellStyle name="常规 3 5 2 2 2 2 4 2 2 2" xfId="34402"/>
    <cellStyle name="常规 3 5 2 2 2 2 4 2 3" xfId="24978"/>
    <cellStyle name="常规 3 5 2 2 2 2 4 3" xfId="9270"/>
    <cellStyle name="常规 3 5 2 2 2 2 4 3 2" xfId="18690"/>
    <cellStyle name="常规 3 5 2 2 2 2 4 3 2 2" xfId="37538"/>
    <cellStyle name="常规 3 5 2 2 2 2 4 3 3" xfId="28114"/>
    <cellStyle name="常规 3 5 2 2 2 2 4 4" xfId="12418"/>
    <cellStyle name="常规 3 5 2 2 2 2 4 4 2" xfId="31266"/>
    <cellStyle name="常规 3 5 2 2 2 2 4 5" xfId="21842"/>
    <cellStyle name="常规 3 5 2 2 2 2 5" xfId="3782"/>
    <cellStyle name="常规 3 5 2 2 2 2 5 2" xfId="13202"/>
    <cellStyle name="常规 3 5 2 2 2 2 5 2 2" xfId="32050"/>
    <cellStyle name="常规 3 5 2 2 2 2 5 3" xfId="22626"/>
    <cellStyle name="常规 3 5 2 2 2 2 6" xfId="6918"/>
    <cellStyle name="常规 3 5 2 2 2 2 6 2" xfId="16338"/>
    <cellStyle name="常规 3 5 2 2 2 2 6 2 2" xfId="35186"/>
    <cellStyle name="常规 3 5 2 2 2 2 6 3" xfId="25762"/>
    <cellStyle name="常规 3 5 2 2 2 2 7" xfId="10066"/>
    <cellStyle name="常规 3 5 2 2 2 2 7 2" xfId="28914"/>
    <cellStyle name="常规 3 5 2 2 2 2 8" xfId="19490"/>
    <cellStyle name="常规 3 5 2 2 2 3" xfId="1036"/>
    <cellStyle name="常规 3 5 2 2 2 3 2" xfId="4172"/>
    <cellStyle name="常规 3 5 2 2 2 3 2 2" xfId="13592"/>
    <cellStyle name="常规 3 5 2 2 2 3 2 2 2" xfId="32440"/>
    <cellStyle name="常规 3 5 2 2 2 3 2 3" xfId="23016"/>
    <cellStyle name="常规 3 5 2 2 2 3 3" xfId="7308"/>
    <cellStyle name="常规 3 5 2 2 2 3 3 2" xfId="16728"/>
    <cellStyle name="常规 3 5 2 2 2 3 3 2 2" xfId="35576"/>
    <cellStyle name="常规 3 5 2 2 2 3 3 3" xfId="26152"/>
    <cellStyle name="常规 3 5 2 2 2 3 4" xfId="10456"/>
    <cellStyle name="常规 3 5 2 2 2 3 4 2" xfId="29304"/>
    <cellStyle name="常规 3 5 2 2 2 3 5" xfId="19880"/>
    <cellStyle name="常规 3 5 2 2 2 4" xfId="1820"/>
    <cellStyle name="常规 3 5 2 2 2 4 2" xfId="4956"/>
    <cellStyle name="常规 3 5 2 2 2 4 2 2" xfId="14376"/>
    <cellStyle name="常规 3 5 2 2 2 4 2 2 2" xfId="33224"/>
    <cellStyle name="常规 3 5 2 2 2 4 2 3" xfId="23800"/>
    <cellStyle name="常规 3 5 2 2 2 4 3" xfId="8092"/>
    <cellStyle name="常规 3 5 2 2 2 4 3 2" xfId="17512"/>
    <cellStyle name="常规 3 5 2 2 2 4 3 2 2" xfId="36360"/>
    <cellStyle name="常规 3 5 2 2 2 4 3 3" xfId="26936"/>
    <cellStyle name="常规 3 5 2 2 2 4 4" xfId="11240"/>
    <cellStyle name="常规 3 5 2 2 2 4 4 2" xfId="30088"/>
    <cellStyle name="常规 3 5 2 2 2 4 5" xfId="20664"/>
    <cellStyle name="常规 3 5 2 2 2 5" xfId="2604"/>
    <cellStyle name="常规 3 5 2 2 2 5 2" xfId="5740"/>
    <cellStyle name="常规 3 5 2 2 2 5 2 2" xfId="15160"/>
    <cellStyle name="常规 3 5 2 2 2 5 2 2 2" xfId="34008"/>
    <cellStyle name="常规 3 5 2 2 2 5 2 3" xfId="24584"/>
    <cellStyle name="常规 3 5 2 2 2 5 3" xfId="8876"/>
    <cellStyle name="常规 3 5 2 2 2 5 3 2" xfId="18296"/>
    <cellStyle name="常规 3 5 2 2 2 5 3 2 2" xfId="37144"/>
    <cellStyle name="常规 3 5 2 2 2 5 3 3" xfId="27720"/>
    <cellStyle name="常规 3 5 2 2 2 5 4" xfId="12024"/>
    <cellStyle name="常规 3 5 2 2 2 5 4 2" xfId="30872"/>
    <cellStyle name="常规 3 5 2 2 2 5 5" xfId="21448"/>
    <cellStyle name="常规 3 5 2 2 2 6" xfId="3422"/>
    <cellStyle name="常规 3 5 2 2 2 6 2" xfId="12842"/>
    <cellStyle name="常规 3 5 2 2 2 6 2 2" xfId="31690"/>
    <cellStyle name="常规 3 5 2 2 2 6 3" xfId="22266"/>
    <cellStyle name="常规 3 5 2 2 2 7" xfId="6524"/>
    <cellStyle name="常规 3 5 2 2 2 7 2" xfId="15944"/>
    <cellStyle name="常规 3 5 2 2 2 7 2 2" xfId="34792"/>
    <cellStyle name="常规 3 5 2 2 2 7 3" xfId="25368"/>
    <cellStyle name="常规 3 5 2 2 2 8" xfId="9671"/>
    <cellStyle name="常规 3 5 2 2 2 8 2" xfId="28516"/>
    <cellStyle name="常规 3 5 2 2 2 9" xfId="19094"/>
    <cellStyle name="常规 3 5 2 2 3" xfId="645"/>
    <cellStyle name="常规 3 5 2 2 3 2" xfId="1429"/>
    <cellStyle name="常规 3 5 2 2 3 2 2" xfId="4565"/>
    <cellStyle name="常规 3 5 2 2 3 2 2 2" xfId="13985"/>
    <cellStyle name="常规 3 5 2 2 3 2 2 2 2" xfId="32833"/>
    <cellStyle name="常规 3 5 2 2 3 2 2 3" xfId="23409"/>
    <cellStyle name="常规 3 5 2 2 3 2 3" xfId="7701"/>
    <cellStyle name="常规 3 5 2 2 3 2 3 2" xfId="17121"/>
    <cellStyle name="常规 3 5 2 2 3 2 3 2 2" xfId="35969"/>
    <cellStyle name="常规 3 5 2 2 3 2 3 3" xfId="26545"/>
    <cellStyle name="常规 3 5 2 2 3 2 4" xfId="10849"/>
    <cellStyle name="常规 3 5 2 2 3 2 4 2" xfId="29697"/>
    <cellStyle name="常规 3 5 2 2 3 2 5" xfId="20273"/>
    <cellStyle name="常规 3 5 2 2 3 3" xfId="2213"/>
    <cellStyle name="常规 3 5 2 2 3 3 2" xfId="5349"/>
    <cellStyle name="常规 3 5 2 2 3 3 2 2" xfId="14769"/>
    <cellStyle name="常规 3 5 2 2 3 3 2 2 2" xfId="33617"/>
    <cellStyle name="常规 3 5 2 2 3 3 2 3" xfId="24193"/>
    <cellStyle name="常规 3 5 2 2 3 3 3" xfId="8485"/>
    <cellStyle name="常规 3 5 2 2 3 3 3 2" xfId="17905"/>
    <cellStyle name="常规 3 5 2 2 3 3 3 2 2" xfId="36753"/>
    <cellStyle name="常规 3 5 2 2 3 3 3 3" xfId="27329"/>
    <cellStyle name="常规 3 5 2 2 3 3 4" xfId="11633"/>
    <cellStyle name="常规 3 5 2 2 3 3 4 2" xfId="30481"/>
    <cellStyle name="常规 3 5 2 2 3 3 5" xfId="21057"/>
    <cellStyle name="常规 3 5 2 2 3 4" xfId="2997"/>
    <cellStyle name="常规 3 5 2 2 3 4 2" xfId="6133"/>
    <cellStyle name="常规 3 5 2 2 3 4 2 2" xfId="15553"/>
    <cellStyle name="常规 3 5 2 2 3 4 2 2 2" xfId="34401"/>
    <cellStyle name="常规 3 5 2 2 3 4 2 3" xfId="24977"/>
    <cellStyle name="常规 3 5 2 2 3 4 3" xfId="9269"/>
    <cellStyle name="常规 3 5 2 2 3 4 3 2" xfId="18689"/>
    <cellStyle name="常规 3 5 2 2 3 4 3 2 2" xfId="37537"/>
    <cellStyle name="常规 3 5 2 2 3 4 3 3" xfId="28113"/>
    <cellStyle name="常规 3 5 2 2 3 4 4" xfId="12417"/>
    <cellStyle name="常规 3 5 2 2 3 4 4 2" xfId="31265"/>
    <cellStyle name="常规 3 5 2 2 3 4 5" xfId="21841"/>
    <cellStyle name="常规 3 5 2 2 3 5" xfId="3781"/>
    <cellStyle name="常规 3 5 2 2 3 5 2" xfId="13201"/>
    <cellStyle name="常规 3 5 2 2 3 5 2 2" xfId="32049"/>
    <cellStyle name="常规 3 5 2 2 3 5 3" xfId="22625"/>
    <cellStyle name="常规 3 5 2 2 3 6" xfId="6917"/>
    <cellStyle name="常规 3 5 2 2 3 6 2" xfId="16337"/>
    <cellStyle name="常规 3 5 2 2 3 6 2 2" xfId="35185"/>
    <cellStyle name="常规 3 5 2 2 3 6 3" xfId="25761"/>
    <cellStyle name="常规 3 5 2 2 3 7" xfId="10065"/>
    <cellStyle name="常规 3 5 2 2 3 7 2" xfId="28913"/>
    <cellStyle name="常规 3 5 2 2 3 8" xfId="19489"/>
    <cellStyle name="常规 3 5 2 2 4" xfId="1035"/>
    <cellStyle name="常规 3 5 2 2 4 2" xfId="4171"/>
    <cellStyle name="常规 3 5 2 2 4 2 2" xfId="13591"/>
    <cellStyle name="常规 3 5 2 2 4 2 2 2" xfId="32439"/>
    <cellStyle name="常规 3 5 2 2 4 2 3" xfId="23015"/>
    <cellStyle name="常规 3 5 2 2 4 3" xfId="7307"/>
    <cellStyle name="常规 3 5 2 2 4 3 2" xfId="16727"/>
    <cellStyle name="常规 3 5 2 2 4 3 2 2" xfId="35575"/>
    <cellStyle name="常规 3 5 2 2 4 3 3" xfId="26151"/>
    <cellStyle name="常规 3 5 2 2 4 4" xfId="10455"/>
    <cellStyle name="常规 3 5 2 2 4 4 2" xfId="29303"/>
    <cellStyle name="常规 3 5 2 2 4 5" xfId="19879"/>
    <cellStyle name="常规 3 5 2 2 5" xfId="1819"/>
    <cellStyle name="常规 3 5 2 2 5 2" xfId="4955"/>
    <cellStyle name="常规 3 5 2 2 5 2 2" xfId="14375"/>
    <cellStyle name="常规 3 5 2 2 5 2 2 2" xfId="33223"/>
    <cellStyle name="常规 3 5 2 2 5 2 3" xfId="23799"/>
    <cellStyle name="常规 3 5 2 2 5 3" xfId="8091"/>
    <cellStyle name="常规 3 5 2 2 5 3 2" xfId="17511"/>
    <cellStyle name="常规 3 5 2 2 5 3 2 2" xfId="36359"/>
    <cellStyle name="常规 3 5 2 2 5 3 3" xfId="26935"/>
    <cellStyle name="常规 3 5 2 2 5 4" xfId="11239"/>
    <cellStyle name="常规 3 5 2 2 5 4 2" xfId="30087"/>
    <cellStyle name="常规 3 5 2 2 5 5" xfId="20663"/>
    <cellStyle name="常规 3 5 2 2 6" xfId="2603"/>
    <cellStyle name="常规 3 5 2 2 6 2" xfId="5739"/>
    <cellStyle name="常规 3 5 2 2 6 2 2" xfId="15159"/>
    <cellStyle name="常规 3 5 2 2 6 2 2 2" xfId="34007"/>
    <cellStyle name="常规 3 5 2 2 6 2 3" xfId="24583"/>
    <cellStyle name="常规 3 5 2 2 6 3" xfId="8875"/>
    <cellStyle name="常规 3 5 2 2 6 3 2" xfId="18295"/>
    <cellStyle name="常规 3 5 2 2 6 3 2 2" xfId="37143"/>
    <cellStyle name="常规 3 5 2 2 6 3 3" xfId="27719"/>
    <cellStyle name="常规 3 5 2 2 6 4" xfId="12023"/>
    <cellStyle name="常规 3 5 2 2 6 4 2" xfId="30871"/>
    <cellStyle name="常规 3 5 2 2 6 5" xfId="21447"/>
    <cellStyle name="常规 3 5 2 2 7" xfId="3421"/>
    <cellStyle name="常规 3 5 2 2 7 2" xfId="12841"/>
    <cellStyle name="常规 3 5 2 2 7 2 2" xfId="31689"/>
    <cellStyle name="常规 3 5 2 2 7 3" xfId="22265"/>
    <cellStyle name="常规 3 5 2 2 8" xfId="6523"/>
    <cellStyle name="常规 3 5 2 2 8 2" xfId="15943"/>
    <cellStyle name="常规 3 5 2 2 8 2 2" xfId="34791"/>
    <cellStyle name="常规 3 5 2 2 8 3" xfId="25367"/>
    <cellStyle name="常规 3 5 2 2 9" xfId="9670"/>
    <cellStyle name="常规 3 5 2 2 9 2" xfId="28515"/>
    <cellStyle name="常规 3 5 2 3" xfId="249"/>
    <cellStyle name="常规 3 5 2 3 2" xfId="647"/>
    <cellStyle name="常规 3 5 2 3 2 2" xfId="1431"/>
    <cellStyle name="常规 3 5 2 3 2 2 2" xfId="4567"/>
    <cellStyle name="常规 3 5 2 3 2 2 2 2" xfId="13987"/>
    <cellStyle name="常规 3 5 2 3 2 2 2 2 2" xfId="32835"/>
    <cellStyle name="常规 3 5 2 3 2 2 2 3" xfId="23411"/>
    <cellStyle name="常规 3 5 2 3 2 2 3" xfId="7703"/>
    <cellStyle name="常规 3 5 2 3 2 2 3 2" xfId="17123"/>
    <cellStyle name="常规 3 5 2 3 2 2 3 2 2" xfId="35971"/>
    <cellStyle name="常规 3 5 2 3 2 2 3 3" xfId="26547"/>
    <cellStyle name="常规 3 5 2 3 2 2 4" xfId="10851"/>
    <cellStyle name="常规 3 5 2 3 2 2 4 2" xfId="29699"/>
    <cellStyle name="常规 3 5 2 3 2 2 5" xfId="20275"/>
    <cellStyle name="常规 3 5 2 3 2 3" xfId="2215"/>
    <cellStyle name="常规 3 5 2 3 2 3 2" xfId="5351"/>
    <cellStyle name="常规 3 5 2 3 2 3 2 2" xfId="14771"/>
    <cellStyle name="常规 3 5 2 3 2 3 2 2 2" xfId="33619"/>
    <cellStyle name="常规 3 5 2 3 2 3 2 3" xfId="24195"/>
    <cellStyle name="常规 3 5 2 3 2 3 3" xfId="8487"/>
    <cellStyle name="常规 3 5 2 3 2 3 3 2" xfId="17907"/>
    <cellStyle name="常规 3 5 2 3 2 3 3 2 2" xfId="36755"/>
    <cellStyle name="常规 3 5 2 3 2 3 3 3" xfId="27331"/>
    <cellStyle name="常规 3 5 2 3 2 3 4" xfId="11635"/>
    <cellStyle name="常规 3 5 2 3 2 3 4 2" xfId="30483"/>
    <cellStyle name="常规 3 5 2 3 2 3 5" xfId="21059"/>
    <cellStyle name="常规 3 5 2 3 2 4" xfId="2999"/>
    <cellStyle name="常规 3 5 2 3 2 4 2" xfId="6135"/>
    <cellStyle name="常规 3 5 2 3 2 4 2 2" xfId="15555"/>
    <cellStyle name="常规 3 5 2 3 2 4 2 2 2" xfId="34403"/>
    <cellStyle name="常规 3 5 2 3 2 4 2 3" xfId="24979"/>
    <cellStyle name="常规 3 5 2 3 2 4 3" xfId="9271"/>
    <cellStyle name="常规 3 5 2 3 2 4 3 2" xfId="18691"/>
    <cellStyle name="常规 3 5 2 3 2 4 3 2 2" xfId="37539"/>
    <cellStyle name="常规 3 5 2 3 2 4 3 3" xfId="28115"/>
    <cellStyle name="常规 3 5 2 3 2 4 4" xfId="12419"/>
    <cellStyle name="常规 3 5 2 3 2 4 4 2" xfId="31267"/>
    <cellStyle name="常规 3 5 2 3 2 4 5" xfId="21843"/>
    <cellStyle name="常规 3 5 2 3 2 5" xfId="3783"/>
    <cellStyle name="常规 3 5 2 3 2 5 2" xfId="13203"/>
    <cellStyle name="常规 3 5 2 3 2 5 2 2" xfId="32051"/>
    <cellStyle name="常规 3 5 2 3 2 5 3" xfId="22627"/>
    <cellStyle name="常规 3 5 2 3 2 6" xfId="6919"/>
    <cellStyle name="常规 3 5 2 3 2 6 2" xfId="16339"/>
    <cellStyle name="常规 3 5 2 3 2 6 2 2" xfId="35187"/>
    <cellStyle name="常规 3 5 2 3 2 6 3" xfId="25763"/>
    <cellStyle name="常规 3 5 2 3 2 7" xfId="10067"/>
    <cellStyle name="常规 3 5 2 3 2 7 2" xfId="28915"/>
    <cellStyle name="常规 3 5 2 3 2 8" xfId="19491"/>
    <cellStyle name="常规 3 5 2 3 3" xfId="1037"/>
    <cellStyle name="常规 3 5 2 3 3 2" xfId="4173"/>
    <cellStyle name="常规 3 5 2 3 3 2 2" xfId="13593"/>
    <cellStyle name="常规 3 5 2 3 3 2 2 2" xfId="32441"/>
    <cellStyle name="常规 3 5 2 3 3 2 3" xfId="23017"/>
    <cellStyle name="常规 3 5 2 3 3 3" xfId="7309"/>
    <cellStyle name="常规 3 5 2 3 3 3 2" xfId="16729"/>
    <cellStyle name="常规 3 5 2 3 3 3 2 2" xfId="35577"/>
    <cellStyle name="常规 3 5 2 3 3 3 3" xfId="26153"/>
    <cellStyle name="常规 3 5 2 3 3 4" xfId="10457"/>
    <cellStyle name="常规 3 5 2 3 3 4 2" xfId="29305"/>
    <cellStyle name="常规 3 5 2 3 3 5" xfId="19881"/>
    <cellStyle name="常规 3 5 2 3 4" xfId="1821"/>
    <cellStyle name="常规 3 5 2 3 4 2" xfId="4957"/>
    <cellStyle name="常规 3 5 2 3 4 2 2" xfId="14377"/>
    <cellStyle name="常规 3 5 2 3 4 2 2 2" xfId="33225"/>
    <cellStyle name="常规 3 5 2 3 4 2 3" xfId="23801"/>
    <cellStyle name="常规 3 5 2 3 4 3" xfId="8093"/>
    <cellStyle name="常规 3 5 2 3 4 3 2" xfId="17513"/>
    <cellStyle name="常规 3 5 2 3 4 3 2 2" xfId="36361"/>
    <cellStyle name="常规 3 5 2 3 4 3 3" xfId="26937"/>
    <cellStyle name="常规 3 5 2 3 4 4" xfId="11241"/>
    <cellStyle name="常规 3 5 2 3 4 4 2" xfId="30089"/>
    <cellStyle name="常规 3 5 2 3 4 5" xfId="20665"/>
    <cellStyle name="常规 3 5 2 3 5" xfId="2605"/>
    <cellStyle name="常规 3 5 2 3 5 2" xfId="5741"/>
    <cellStyle name="常规 3 5 2 3 5 2 2" xfId="15161"/>
    <cellStyle name="常规 3 5 2 3 5 2 2 2" xfId="34009"/>
    <cellStyle name="常规 3 5 2 3 5 2 3" xfId="24585"/>
    <cellStyle name="常规 3 5 2 3 5 3" xfId="8877"/>
    <cellStyle name="常规 3 5 2 3 5 3 2" xfId="18297"/>
    <cellStyle name="常规 3 5 2 3 5 3 2 2" xfId="37145"/>
    <cellStyle name="常规 3 5 2 3 5 3 3" xfId="27721"/>
    <cellStyle name="常规 3 5 2 3 5 4" xfId="12025"/>
    <cellStyle name="常规 3 5 2 3 5 4 2" xfId="30873"/>
    <cellStyle name="常规 3 5 2 3 5 5" xfId="21449"/>
    <cellStyle name="常规 3 5 2 3 6" xfId="3423"/>
    <cellStyle name="常规 3 5 2 3 6 2" xfId="12843"/>
    <cellStyle name="常规 3 5 2 3 6 2 2" xfId="31691"/>
    <cellStyle name="常规 3 5 2 3 6 3" xfId="22267"/>
    <cellStyle name="常规 3 5 2 3 7" xfId="6525"/>
    <cellStyle name="常规 3 5 2 3 7 2" xfId="15945"/>
    <cellStyle name="常规 3 5 2 3 7 2 2" xfId="34793"/>
    <cellStyle name="常规 3 5 2 3 7 3" xfId="25369"/>
    <cellStyle name="常规 3 5 2 3 8" xfId="9672"/>
    <cellStyle name="常规 3 5 2 3 8 2" xfId="28517"/>
    <cellStyle name="常规 3 5 2 3 9" xfId="19095"/>
    <cellStyle name="常规 3 5 2 4" xfId="644"/>
    <cellStyle name="常规 3 5 2 4 2" xfId="1428"/>
    <cellStyle name="常规 3 5 2 4 2 2" xfId="4564"/>
    <cellStyle name="常规 3 5 2 4 2 2 2" xfId="13984"/>
    <cellStyle name="常规 3 5 2 4 2 2 2 2" xfId="32832"/>
    <cellStyle name="常规 3 5 2 4 2 2 3" xfId="23408"/>
    <cellStyle name="常规 3 5 2 4 2 3" xfId="7700"/>
    <cellStyle name="常规 3 5 2 4 2 3 2" xfId="17120"/>
    <cellStyle name="常规 3 5 2 4 2 3 2 2" xfId="35968"/>
    <cellStyle name="常规 3 5 2 4 2 3 3" xfId="26544"/>
    <cellStyle name="常规 3 5 2 4 2 4" xfId="10848"/>
    <cellStyle name="常规 3 5 2 4 2 4 2" xfId="29696"/>
    <cellStyle name="常规 3 5 2 4 2 5" xfId="20272"/>
    <cellStyle name="常规 3 5 2 4 3" xfId="2212"/>
    <cellStyle name="常规 3 5 2 4 3 2" xfId="5348"/>
    <cellStyle name="常规 3 5 2 4 3 2 2" xfId="14768"/>
    <cellStyle name="常规 3 5 2 4 3 2 2 2" xfId="33616"/>
    <cellStyle name="常规 3 5 2 4 3 2 3" xfId="24192"/>
    <cellStyle name="常规 3 5 2 4 3 3" xfId="8484"/>
    <cellStyle name="常规 3 5 2 4 3 3 2" xfId="17904"/>
    <cellStyle name="常规 3 5 2 4 3 3 2 2" xfId="36752"/>
    <cellStyle name="常规 3 5 2 4 3 3 3" xfId="27328"/>
    <cellStyle name="常规 3 5 2 4 3 4" xfId="11632"/>
    <cellStyle name="常规 3 5 2 4 3 4 2" xfId="30480"/>
    <cellStyle name="常规 3 5 2 4 3 5" xfId="21056"/>
    <cellStyle name="常规 3 5 2 4 4" xfId="2996"/>
    <cellStyle name="常规 3 5 2 4 4 2" xfId="6132"/>
    <cellStyle name="常规 3 5 2 4 4 2 2" xfId="15552"/>
    <cellStyle name="常规 3 5 2 4 4 2 2 2" xfId="34400"/>
    <cellStyle name="常规 3 5 2 4 4 2 3" xfId="24976"/>
    <cellStyle name="常规 3 5 2 4 4 3" xfId="9268"/>
    <cellStyle name="常规 3 5 2 4 4 3 2" xfId="18688"/>
    <cellStyle name="常规 3 5 2 4 4 3 2 2" xfId="37536"/>
    <cellStyle name="常规 3 5 2 4 4 3 3" xfId="28112"/>
    <cellStyle name="常规 3 5 2 4 4 4" xfId="12416"/>
    <cellStyle name="常规 3 5 2 4 4 4 2" xfId="31264"/>
    <cellStyle name="常规 3 5 2 4 4 5" xfId="21840"/>
    <cellStyle name="常规 3 5 2 4 5" xfId="3780"/>
    <cellStyle name="常规 3 5 2 4 5 2" xfId="13200"/>
    <cellStyle name="常规 3 5 2 4 5 2 2" xfId="32048"/>
    <cellStyle name="常规 3 5 2 4 5 3" xfId="22624"/>
    <cellStyle name="常规 3 5 2 4 6" xfId="6916"/>
    <cellStyle name="常规 3 5 2 4 6 2" xfId="16336"/>
    <cellStyle name="常规 3 5 2 4 6 2 2" xfId="35184"/>
    <cellStyle name="常规 3 5 2 4 6 3" xfId="25760"/>
    <cellStyle name="常规 3 5 2 4 7" xfId="10064"/>
    <cellStyle name="常规 3 5 2 4 7 2" xfId="28912"/>
    <cellStyle name="常规 3 5 2 4 8" xfId="19488"/>
    <cellStyle name="常规 3 5 2 5" xfId="1034"/>
    <cellStyle name="常规 3 5 2 5 2" xfId="4170"/>
    <cellStyle name="常规 3 5 2 5 2 2" xfId="13590"/>
    <cellStyle name="常规 3 5 2 5 2 2 2" xfId="32438"/>
    <cellStyle name="常规 3 5 2 5 2 3" xfId="23014"/>
    <cellStyle name="常规 3 5 2 5 3" xfId="7306"/>
    <cellStyle name="常规 3 5 2 5 3 2" xfId="16726"/>
    <cellStyle name="常规 3 5 2 5 3 2 2" xfId="35574"/>
    <cellStyle name="常规 3 5 2 5 3 3" xfId="26150"/>
    <cellStyle name="常规 3 5 2 5 4" xfId="10454"/>
    <cellStyle name="常规 3 5 2 5 4 2" xfId="29302"/>
    <cellStyle name="常规 3 5 2 5 5" xfId="19878"/>
    <cellStyle name="常规 3 5 2 6" xfId="1818"/>
    <cellStyle name="常规 3 5 2 6 2" xfId="4954"/>
    <cellStyle name="常规 3 5 2 6 2 2" xfId="14374"/>
    <cellStyle name="常规 3 5 2 6 2 2 2" xfId="33222"/>
    <cellStyle name="常规 3 5 2 6 2 3" xfId="23798"/>
    <cellStyle name="常规 3 5 2 6 3" xfId="8090"/>
    <cellStyle name="常规 3 5 2 6 3 2" xfId="17510"/>
    <cellStyle name="常规 3 5 2 6 3 2 2" xfId="36358"/>
    <cellStyle name="常规 3 5 2 6 3 3" xfId="26934"/>
    <cellStyle name="常规 3 5 2 6 4" xfId="11238"/>
    <cellStyle name="常规 3 5 2 6 4 2" xfId="30086"/>
    <cellStyle name="常规 3 5 2 6 5" xfId="20662"/>
    <cellStyle name="常规 3 5 2 7" xfId="2602"/>
    <cellStyle name="常规 3 5 2 7 2" xfId="5738"/>
    <cellStyle name="常规 3 5 2 7 2 2" xfId="15158"/>
    <cellStyle name="常规 3 5 2 7 2 2 2" xfId="34006"/>
    <cellStyle name="常规 3 5 2 7 2 3" xfId="24582"/>
    <cellStyle name="常规 3 5 2 7 3" xfId="8874"/>
    <cellStyle name="常规 3 5 2 7 3 2" xfId="18294"/>
    <cellStyle name="常规 3 5 2 7 3 2 2" xfId="37142"/>
    <cellStyle name="常规 3 5 2 7 3 3" xfId="27718"/>
    <cellStyle name="常规 3 5 2 7 4" xfId="12022"/>
    <cellStyle name="常规 3 5 2 7 4 2" xfId="30870"/>
    <cellStyle name="常规 3 5 2 7 5" xfId="21446"/>
    <cellStyle name="常规 3 5 2 8" xfId="3223"/>
    <cellStyle name="常规 3 5 2 8 2" xfId="12643"/>
    <cellStyle name="常规 3 5 2 8 2 2" xfId="31491"/>
    <cellStyle name="常规 3 5 2 8 3" xfId="22067"/>
    <cellStyle name="常规 3 5 2 9" xfId="6522"/>
    <cellStyle name="常规 3 5 2 9 2" xfId="15942"/>
    <cellStyle name="常规 3 5 2 9 2 2" xfId="34790"/>
    <cellStyle name="常规 3 5 2 9 3" xfId="25366"/>
    <cellStyle name="常规 3 5 3" xfId="250"/>
    <cellStyle name="常规 3 5 3 10" xfId="19096"/>
    <cellStyle name="常规 3 5 3 2" xfId="251"/>
    <cellStyle name="常规 3 5 3 2 2" xfId="649"/>
    <cellStyle name="常规 3 5 3 2 2 2" xfId="1433"/>
    <cellStyle name="常规 3 5 3 2 2 2 2" xfId="4569"/>
    <cellStyle name="常规 3 5 3 2 2 2 2 2" xfId="13989"/>
    <cellStyle name="常规 3 5 3 2 2 2 2 2 2" xfId="32837"/>
    <cellStyle name="常规 3 5 3 2 2 2 2 3" xfId="23413"/>
    <cellStyle name="常规 3 5 3 2 2 2 3" xfId="7705"/>
    <cellStyle name="常规 3 5 3 2 2 2 3 2" xfId="17125"/>
    <cellStyle name="常规 3 5 3 2 2 2 3 2 2" xfId="35973"/>
    <cellStyle name="常规 3 5 3 2 2 2 3 3" xfId="26549"/>
    <cellStyle name="常规 3 5 3 2 2 2 4" xfId="10853"/>
    <cellStyle name="常规 3 5 3 2 2 2 4 2" xfId="29701"/>
    <cellStyle name="常规 3 5 3 2 2 2 5" xfId="20277"/>
    <cellStyle name="常规 3 5 3 2 2 3" xfId="2217"/>
    <cellStyle name="常规 3 5 3 2 2 3 2" xfId="5353"/>
    <cellStyle name="常规 3 5 3 2 2 3 2 2" xfId="14773"/>
    <cellStyle name="常规 3 5 3 2 2 3 2 2 2" xfId="33621"/>
    <cellStyle name="常规 3 5 3 2 2 3 2 3" xfId="24197"/>
    <cellStyle name="常规 3 5 3 2 2 3 3" xfId="8489"/>
    <cellStyle name="常规 3 5 3 2 2 3 3 2" xfId="17909"/>
    <cellStyle name="常规 3 5 3 2 2 3 3 2 2" xfId="36757"/>
    <cellStyle name="常规 3 5 3 2 2 3 3 3" xfId="27333"/>
    <cellStyle name="常规 3 5 3 2 2 3 4" xfId="11637"/>
    <cellStyle name="常规 3 5 3 2 2 3 4 2" xfId="30485"/>
    <cellStyle name="常规 3 5 3 2 2 3 5" xfId="21061"/>
    <cellStyle name="常规 3 5 3 2 2 4" xfId="3001"/>
    <cellStyle name="常规 3 5 3 2 2 4 2" xfId="6137"/>
    <cellStyle name="常规 3 5 3 2 2 4 2 2" xfId="15557"/>
    <cellStyle name="常规 3 5 3 2 2 4 2 2 2" xfId="34405"/>
    <cellStyle name="常规 3 5 3 2 2 4 2 3" xfId="24981"/>
    <cellStyle name="常规 3 5 3 2 2 4 3" xfId="9273"/>
    <cellStyle name="常规 3 5 3 2 2 4 3 2" xfId="18693"/>
    <cellStyle name="常规 3 5 3 2 2 4 3 2 2" xfId="37541"/>
    <cellStyle name="常规 3 5 3 2 2 4 3 3" xfId="28117"/>
    <cellStyle name="常规 3 5 3 2 2 4 4" xfId="12421"/>
    <cellStyle name="常规 3 5 3 2 2 4 4 2" xfId="31269"/>
    <cellStyle name="常规 3 5 3 2 2 4 5" xfId="21845"/>
    <cellStyle name="常规 3 5 3 2 2 5" xfId="3785"/>
    <cellStyle name="常规 3 5 3 2 2 5 2" xfId="13205"/>
    <cellStyle name="常规 3 5 3 2 2 5 2 2" xfId="32053"/>
    <cellStyle name="常规 3 5 3 2 2 5 3" xfId="22629"/>
    <cellStyle name="常规 3 5 3 2 2 6" xfId="6921"/>
    <cellStyle name="常规 3 5 3 2 2 6 2" xfId="16341"/>
    <cellStyle name="常规 3 5 3 2 2 6 2 2" xfId="35189"/>
    <cellStyle name="常规 3 5 3 2 2 6 3" xfId="25765"/>
    <cellStyle name="常规 3 5 3 2 2 7" xfId="10069"/>
    <cellStyle name="常规 3 5 3 2 2 7 2" xfId="28917"/>
    <cellStyle name="常规 3 5 3 2 2 8" xfId="19493"/>
    <cellStyle name="常规 3 5 3 2 3" xfId="1039"/>
    <cellStyle name="常规 3 5 3 2 3 2" xfId="4175"/>
    <cellStyle name="常规 3 5 3 2 3 2 2" xfId="13595"/>
    <cellStyle name="常规 3 5 3 2 3 2 2 2" xfId="32443"/>
    <cellStyle name="常规 3 5 3 2 3 2 3" xfId="23019"/>
    <cellStyle name="常规 3 5 3 2 3 3" xfId="7311"/>
    <cellStyle name="常规 3 5 3 2 3 3 2" xfId="16731"/>
    <cellStyle name="常规 3 5 3 2 3 3 2 2" xfId="35579"/>
    <cellStyle name="常规 3 5 3 2 3 3 3" xfId="26155"/>
    <cellStyle name="常规 3 5 3 2 3 4" xfId="10459"/>
    <cellStyle name="常规 3 5 3 2 3 4 2" xfId="29307"/>
    <cellStyle name="常规 3 5 3 2 3 5" xfId="19883"/>
    <cellStyle name="常规 3 5 3 2 4" xfId="1823"/>
    <cellStyle name="常规 3 5 3 2 4 2" xfId="4959"/>
    <cellStyle name="常规 3 5 3 2 4 2 2" xfId="14379"/>
    <cellStyle name="常规 3 5 3 2 4 2 2 2" xfId="33227"/>
    <cellStyle name="常规 3 5 3 2 4 2 3" xfId="23803"/>
    <cellStyle name="常规 3 5 3 2 4 3" xfId="8095"/>
    <cellStyle name="常规 3 5 3 2 4 3 2" xfId="17515"/>
    <cellStyle name="常规 3 5 3 2 4 3 2 2" xfId="36363"/>
    <cellStyle name="常规 3 5 3 2 4 3 3" xfId="26939"/>
    <cellStyle name="常规 3 5 3 2 4 4" xfId="11243"/>
    <cellStyle name="常规 3 5 3 2 4 4 2" xfId="30091"/>
    <cellStyle name="常规 3 5 3 2 4 5" xfId="20667"/>
    <cellStyle name="常规 3 5 3 2 5" xfId="2607"/>
    <cellStyle name="常规 3 5 3 2 5 2" xfId="5743"/>
    <cellStyle name="常规 3 5 3 2 5 2 2" xfId="15163"/>
    <cellStyle name="常规 3 5 3 2 5 2 2 2" xfId="34011"/>
    <cellStyle name="常规 3 5 3 2 5 2 3" xfId="24587"/>
    <cellStyle name="常规 3 5 3 2 5 3" xfId="8879"/>
    <cellStyle name="常规 3 5 3 2 5 3 2" xfId="18299"/>
    <cellStyle name="常规 3 5 3 2 5 3 2 2" xfId="37147"/>
    <cellStyle name="常规 3 5 3 2 5 3 3" xfId="27723"/>
    <cellStyle name="常规 3 5 3 2 5 4" xfId="12027"/>
    <cellStyle name="常规 3 5 3 2 5 4 2" xfId="30875"/>
    <cellStyle name="常规 3 5 3 2 5 5" xfId="21451"/>
    <cellStyle name="常规 3 5 3 2 6" xfId="3425"/>
    <cellStyle name="常规 3 5 3 2 6 2" xfId="12845"/>
    <cellStyle name="常规 3 5 3 2 6 2 2" xfId="31693"/>
    <cellStyle name="常规 3 5 3 2 6 3" xfId="22269"/>
    <cellStyle name="常规 3 5 3 2 7" xfId="6527"/>
    <cellStyle name="常规 3 5 3 2 7 2" xfId="15947"/>
    <cellStyle name="常规 3 5 3 2 7 2 2" xfId="34795"/>
    <cellStyle name="常规 3 5 3 2 7 3" xfId="25371"/>
    <cellStyle name="常规 3 5 3 2 8" xfId="9674"/>
    <cellStyle name="常规 3 5 3 2 8 2" xfId="28519"/>
    <cellStyle name="常规 3 5 3 2 9" xfId="19097"/>
    <cellStyle name="常规 3 5 3 3" xfId="648"/>
    <cellStyle name="常规 3 5 3 3 2" xfId="1432"/>
    <cellStyle name="常规 3 5 3 3 2 2" xfId="4568"/>
    <cellStyle name="常规 3 5 3 3 2 2 2" xfId="13988"/>
    <cellStyle name="常规 3 5 3 3 2 2 2 2" xfId="32836"/>
    <cellStyle name="常规 3 5 3 3 2 2 3" xfId="23412"/>
    <cellStyle name="常规 3 5 3 3 2 3" xfId="7704"/>
    <cellStyle name="常规 3 5 3 3 2 3 2" xfId="17124"/>
    <cellStyle name="常规 3 5 3 3 2 3 2 2" xfId="35972"/>
    <cellStyle name="常规 3 5 3 3 2 3 3" xfId="26548"/>
    <cellStyle name="常规 3 5 3 3 2 4" xfId="10852"/>
    <cellStyle name="常规 3 5 3 3 2 4 2" xfId="29700"/>
    <cellStyle name="常规 3 5 3 3 2 5" xfId="20276"/>
    <cellStyle name="常规 3 5 3 3 3" xfId="2216"/>
    <cellStyle name="常规 3 5 3 3 3 2" xfId="5352"/>
    <cellStyle name="常规 3 5 3 3 3 2 2" xfId="14772"/>
    <cellStyle name="常规 3 5 3 3 3 2 2 2" xfId="33620"/>
    <cellStyle name="常规 3 5 3 3 3 2 3" xfId="24196"/>
    <cellStyle name="常规 3 5 3 3 3 3" xfId="8488"/>
    <cellStyle name="常规 3 5 3 3 3 3 2" xfId="17908"/>
    <cellStyle name="常规 3 5 3 3 3 3 2 2" xfId="36756"/>
    <cellStyle name="常规 3 5 3 3 3 3 3" xfId="27332"/>
    <cellStyle name="常规 3 5 3 3 3 4" xfId="11636"/>
    <cellStyle name="常规 3 5 3 3 3 4 2" xfId="30484"/>
    <cellStyle name="常规 3 5 3 3 3 5" xfId="21060"/>
    <cellStyle name="常规 3 5 3 3 4" xfId="3000"/>
    <cellStyle name="常规 3 5 3 3 4 2" xfId="6136"/>
    <cellStyle name="常规 3 5 3 3 4 2 2" xfId="15556"/>
    <cellStyle name="常规 3 5 3 3 4 2 2 2" xfId="34404"/>
    <cellStyle name="常规 3 5 3 3 4 2 3" xfId="24980"/>
    <cellStyle name="常规 3 5 3 3 4 3" xfId="9272"/>
    <cellStyle name="常规 3 5 3 3 4 3 2" xfId="18692"/>
    <cellStyle name="常规 3 5 3 3 4 3 2 2" xfId="37540"/>
    <cellStyle name="常规 3 5 3 3 4 3 3" xfId="28116"/>
    <cellStyle name="常规 3 5 3 3 4 4" xfId="12420"/>
    <cellStyle name="常规 3 5 3 3 4 4 2" xfId="31268"/>
    <cellStyle name="常规 3 5 3 3 4 5" xfId="21844"/>
    <cellStyle name="常规 3 5 3 3 5" xfId="3784"/>
    <cellStyle name="常规 3 5 3 3 5 2" xfId="13204"/>
    <cellStyle name="常规 3 5 3 3 5 2 2" xfId="32052"/>
    <cellStyle name="常规 3 5 3 3 5 3" xfId="22628"/>
    <cellStyle name="常规 3 5 3 3 6" xfId="6920"/>
    <cellStyle name="常规 3 5 3 3 6 2" xfId="16340"/>
    <cellStyle name="常规 3 5 3 3 6 2 2" xfId="35188"/>
    <cellStyle name="常规 3 5 3 3 6 3" xfId="25764"/>
    <cellStyle name="常规 3 5 3 3 7" xfId="10068"/>
    <cellStyle name="常规 3 5 3 3 7 2" xfId="28916"/>
    <cellStyle name="常规 3 5 3 3 8" xfId="19492"/>
    <cellStyle name="常规 3 5 3 4" xfId="1038"/>
    <cellStyle name="常规 3 5 3 4 2" xfId="4174"/>
    <cellStyle name="常规 3 5 3 4 2 2" xfId="13594"/>
    <cellStyle name="常规 3 5 3 4 2 2 2" xfId="32442"/>
    <cellStyle name="常规 3 5 3 4 2 3" xfId="23018"/>
    <cellStyle name="常规 3 5 3 4 3" xfId="7310"/>
    <cellStyle name="常规 3 5 3 4 3 2" xfId="16730"/>
    <cellStyle name="常规 3 5 3 4 3 2 2" xfId="35578"/>
    <cellStyle name="常规 3 5 3 4 3 3" xfId="26154"/>
    <cellStyle name="常规 3 5 3 4 4" xfId="10458"/>
    <cellStyle name="常规 3 5 3 4 4 2" xfId="29306"/>
    <cellStyle name="常规 3 5 3 4 5" xfId="19882"/>
    <cellStyle name="常规 3 5 3 5" xfId="1822"/>
    <cellStyle name="常规 3 5 3 5 2" xfId="4958"/>
    <cellStyle name="常规 3 5 3 5 2 2" xfId="14378"/>
    <cellStyle name="常规 3 5 3 5 2 2 2" xfId="33226"/>
    <cellStyle name="常规 3 5 3 5 2 3" xfId="23802"/>
    <cellStyle name="常规 3 5 3 5 3" xfId="8094"/>
    <cellStyle name="常规 3 5 3 5 3 2" xfId="17514"/>
    <cellStyle name="常规 3 5 3 5 3 2 2" xfId="36362"/>
    <cellStyle name="常规 3 5 3 5 3 3" xfId="26938"/>
    <cellStyle name="常规 3 5 3 5 4" xfId="11242"/>
    <cellStyle name="常规 3 5 3 5 4 2" xfId="30090"/>
    <cellStyle name="常规 3 5 3 5 5" xfId="20666"/>
    <cellStyle name="常规 3 5 3 6" xfId="2606"/>
    <cellStyle name="常规 3 5 3 6 2" xfId="5742"/>
    <cellStyle name="常规 3 5 3 6 2 2" xfId="15162"/>
    <cellStyle name="常规 3 5 3 6 2 2 2" xfId="34010"/>
    <cellStyle name="常规 3 5 3 6 2 3" xfId="24586"/>
    <cellStyle name="常规 3 5 3 6 3" xfId="8878"/>
    <cellStyle name="常规 3 5 3 6 3 2" xfId="18298"/>
    <cellStyle name="常规 3 5 3 6 3 2 2" xfId="37146"/>
    <cellStyle name="常规 3 5 3 6 3 3" xfId="27722"/>
    <cellStyle name="常规 3 5 3 6 4" xfId="12026"/>
    <cellStyle name="常规 3 5 3 6 4 2" xfId="30874"/>
    <cellStyle name="常规 3 5 3 6 5" xfId="21450"/>
    <cellStyle name="常规 3 5 3 7" xfId="3424"/>
    <cellStyle name="常规 3 5 3 7 2" xfId="12844"/>
    <cellStyle name="常规 3 5 3 7 2 2" xfId="31692"/>
    <cellStyle name="常规 3 5 3 7 3" xfId="22268"/>
    <cellStyle name="常规 3 5 3 8" xfId="6526"/>
    <cellStyle name="常规 3 5 3 8 2" xfId="15946"/>
    <cellStyle name="常规 3 5 3 8 2 2" xfId="34794"/>
    <cellStyle name="常规 3 5 3 8 3" xfId="25370"/>
    <cellStyle name="常规 3 5 3 9" xfId="9673"/>
    <cellStyle name="常规 3 5 3 9 2" xfId="28518"/>
    <cellStyle name="常规 3 5 4" xfId="252"/>
    <cellStyle name="常规 3 5 4 2" xfId="650"/>
    <cellStyle name="常规 3 5 4 2 2" xfId="1434"/>
    <cellStyle name="常规 3 5 4 2 2 2" xfId="4570"/>
    <cellStyle name="常规 3 5 4 2 2 2 2" xfId="13990"/>
    <cellStyle name="常规 3 5 4 2 2 2 2 2" xfId="32838"/>
    <cellStyle name="常规 3 5 4 2 2 2 3" xfId="23414"/>
    <cellStyle name="常规 3 5 4 2 2 3" xfId="7706"/>
    <cellStyle name="常规 3 5 4 2 2 3 2" xfId="17126"/>
    <cellStyle name="常规 3 5 4 2 2 3 2 2" xfId="35974"/>
    <cellStyle name="常规 3 5 4 2 2 3 3" xfId="26550"/>
    <cellStyle name="常规 3 5 4 2 2 4" xfId="10854"/>
    <cellStyle name="常规 3 5 4 2 2 4 2" xfId="29702"/>
    <cellStyle name="常规 3 5 4 2 2 5" xfId="20278"/>
    <cellStyle name="常规 3 5 4 2 3" xfId="2218"/>
    <cellStyle name="常规 3 5 4 2 3 2" xfId="5354"/>
    <cellStyle name="常规 3 5 4 2 3 2 2" xfId="14774"/>
    <cellStyle name="常规 3 5 4 2 3 2 2 2" xfId="33622"/>
    <cellStyle name="常规 3 5 4 2 3 2 3" xfId="24198"/>
    <cellStyle name="常规 3 5 4 2 3 3" xfId="8490"/>
    <cellStyle name="常规 3 5 4 2 3 3 2" xfId="17910"/>
    <cellStyle name="常规 3 5 4 2 3 3 2 2" xfId="36758"/>
    <cellStyle name="常规 3 5 4 2 3 3 3" xfId="27334"/>
    <cellStyle name="常规 3 5 4 2 3 4" xfId="11638"/>
    <cellStyle name="常规 3 5 4 2 3 4 2" xfId="30486"/>
    <cellStyle name="常规 3 5 4 2 3 5" xfId="21062"/>
    <cellStyle name="常规 3 5 4 2 4" xfId="3002"/>
    <cellStyle name="常规 3 5 4 2 4 2" xfId="6138"/>
    <cellStyle name="常规 3 5 4 2 4 2 2" xfId="15558"/>
    <cellStyle name="常规 3 5 4 2 4 2 2 2" xfId="34406"/>
    <cellStyle name="常规 3 5 4 2 4 2 3" xfId="24982"/>
    <cellStyle name="常规 3 5 4 2 4 3" xfId="9274"/>
    <cellStyle name="常规 3 5 4 2 4 3 2" xfId="18694"/>
    <cellStyle name="常规 3 5 4 2 4 3 2 2" xfId="37542"/>
    <cellStyle name="常规 3 5 4 2 4 3 3" xfId="28118"/>
    <cellStyle name="常规 3 5 4 2 4 4" xfId="12422"/>
    <cellStyle name="常规 3 5 4 2 4 4 2" xfId="31270"/>
    <cellStyle name="常规 3 5 4 2 4 5" xfId="21846"/>
    <cellStyle name="常规 3 5 4 2 5" xfId="3786"/>
    <cellStyle name="常规 3 5 4 2 5 2" xfId="13206"/>
    <cellStyle name="常规 3 5 4 2 5 2 2" xfId="32054"/>
    <cellStyle name="常规 3 5 4 2 5 3" xfId="22630"/>
    <cellStyle name="常规 3 5 4 2 6" xfId="6922"/>
    <cellStyle name="常规 3 5 4 2 6 2" xfId="16342"/>
    <cellStyle name="常规 3 5 4 2 6 2 2" xfId="35190"/>
    <cellStyle name="常规 3 5 4 2 6 3" xfId="25766"/>
    <cellStyle name="常规 3 5 4 2 7" xfId="10070"/>
    <cellStyle name="常规 3 5 4 2 7 2" xfId="28918"/>
    <cellStyle name="常规 3 5 4 2 8" xfId="19494"/>
    <cellStyle name="常规 3 5 4 3" xfId="1040"/>
    <cellStyle name="常规 3 5 4 3 2" xfId="4176"/>
    <cellStyle name="常规 3 5 4 3 2 2" xfId="13596"/>
    <cellStyle name="常规 3 5 4 3 2 2 2" xfId="32444"/>
    <cellStyle name="常规 3 5 4 3 2 3" xfId="23020"/>
    <cellStyle name="常规 3 5 4 3 3" xfId="7312"/>
    <cellStyle name="常规 3 5 4 3 3 2" xfId="16732"/>
    <cellStyle name="常规 3 5 4 3 3 2 2" xfId="35580"/>
    <cellStyle name="常规 3 5 4 3 3 3" xfId="26156"/>
    <cellStyle name="常规 3 5 4 3 4" xfId="10460"/>
    <cellStyle name="常规 3 5 4 3 4 2" xfId="29308"/>
    <cellStyle name="常规 3 5 4 3 5" xfId="19884"/>
    <cellStyle name="常规 3 5 4 4" xfId="1824"/>
    <cellStyle name="常规 3 5 4 4 2" xfId="4960"/>
    <cellStyle name="常规 3 5 4 4 2 2" xfId="14380"/>
    <cellStyle name="常规 3 5 4 4 2 2 2" xfId="33228"/>
    <cellStyle name="常规 3 5 4 4 2 3" xfId="23804"/>
    <cellStyle name="常规 3 5 4 4 3" xfId="8096"/>
    <cellStyle name="常规 3 5 4 4 3 2" xfId="17516"/>
    <cellStyle name="常规 3 5 4 4 3 2 2" xfId="36364"/>
    <cellStyle name="常规 3 5 4 4 3 3" xfId="26940"/>
    <cellStyle name="常规 3 5 4 4 4" xfId="11244"/>
    <cellStyle name="常规 3 5 4 4 4 2" xfId="30092"/>
    <cellStyle name="常规 3 5 4 4 5" xfId="20668"/>
    <cellStyle name="常规 3 5 4 5" xfId="2608"/>
    <cellStyle name="常规 3 5 4 5 2" xfId="5744"/>
    <cellStyle name="常规 3 5 4 5 2 2" xfId="15164"/>
    <cellStyle name="常规 3 5 4 5 2 2 2" xfId="34012"/>
    <cellStyle name="常规 3 5 4 5 2 3" xfId="24588"/>
    <cellStyle name="常规 3 5 4 5 3" xfId="8880"/>
    <cellStyle name="常规 3 5 4 5 3 2" xfId="18300"/>
    <cellStyle name="常规 3 5 4 5 3 2 2" xfId="37148"/>
    <cellStyle name="常规 3 5 4 5 3 3" xfId="27724"/>
    <cellStyle name="常规 3 5 4 5 4" xfId="12028"/>
    <cellStyle name="常规 3 5 4 5 4 2" xfId="30876"/>
    <cellStyle name="常规 3 5 4 5 5" xfId="21452"/>
    <cellStyle name="常规 3 5 4 6" xfId="3426"/>
    <cellStyle name="常规 3 5 4 6 2" xfId="12846"/>
    <cellStyle name="常规 3 5 4 6 2 2" xfId="31694"/>
    <cellStyle name="常规 3 5 4 6 3" xfId="22270"/>
    <cellStyle name="常规 3 5 4 7" xfId="6528"/>
    <cellStyle name="常规 3 5 4 7 2" xfId="15948"/>
    <cellStyle name="常规 3 5 4 7 2 2" xfId="34796"/>
    <cellStyle name="常规 3 5 4 7 3" xfId="25372"/>
    <cellStyle name="常规 3 5 4 8" xfId="9675"/>
    <cellStyle name="常规 3 5 4 8 2" xfId="28520"/>
    <cellStyle name="常规 3 5 4 9" xfId="19098"/>
    <cellStyle name="常规 3 5 5" xfId="643"/>
    <cellStyle name="常规 3 5 5 2" xfId="1427"/>
    <cellStyle name="常规 3 5 5 2 2" xfId="4563"/>
    <cellStyle name="常规 3 5 5 2 2 2" xfId="13983"/>
    <cellStyle name="常规 3 5 5 2 2 2 2" xfId="32831"/>
    <cellStyle name="常规 3 5 5 2 2 3" xfId="23407"/>
    <cellStyle name="常规 3 5 5 2 3" xfId="7699"/>
    <cellStyle name="常规 3 5 5 2 3 2" xfId="17119"/>
    <cellStyle name="常规 3 5 5 2 3 2 2" xfId="35967"/>
    <cellStyle name="常规 3 5 5 2 3 3" xfId="26543"/>
    <cellStyle name="常规 3 5 5 2 4" xfId="10847"/>
    <cellStyle name="常规 3 5 5 2 4 2" xfId="29695"/>
    <cellStyle name="常规 3 5 5 2 5" xfId="20271"/>
    <cellStyle name="常规 3 5 5 3" xfId="2211"/>
    <cellStyle name="常规 3 5 5 3 2" xfId="5347"/>
    <cellStyle name="常规 3 5 5 3 2 2" xfId="14767"/>
    <cellStyle name="常规 3 5 5 3 2 2 2" xfId="33615"/>
    <cellStyle name="常规 3 5 5 3 2 3" xfId="24191"/>
    <cellStyle name="常规 3 5 5 3 3" xfId="8483"/>
    <cellStyle name="常规 3 5 5 3 3 2" xfId="17903"/>
    <cellStyle name="常规 3 5 5 3 3 2 2" xfId="36751"/>
    <cellStyle name="常规 3 5 5 3 3 3" xfId="27327"/>
    <cellStyle name="常规 3 5 5 3 4" xfId="11631"/>
    <cellStyle name="常规 3 5 5 3 4 2" xfId="30479"/>
    <cellStyle name="常规 3 5 5 3 5" xfId="21055"/>
    <cellStyle name="常规 3 5 5 4" xfId="2995"/>
    <cellStyle name="常规 3 5 5 4 2" xfId="6131"/>
    <cellStyle name="常规 3 5 5 4 2 2" xfId="15551"/>
    <cellStyle name="常规 3 5 5 4 2 2 2" xfId="34399"/>
    <cellStyle name="常规 3 5 5 4 2 3" xfId="24975"/>
    <cellStyle name="常规 3 5 5 4 3" xfId="9267"/>
    <cellStyle name="常规 3 5 5 4 3 2" xfId="18687"/>
    <cellStyle name="常规 3 5 5 4 3 2 2" xfId="37535"/>
    <cellStyle name="常规 3 5 5 4 3 3" xfId="28111"/>
    <cellStyle name="常规 3 5 5 4 4" xfId="12415"/>
    <cellStyle name="常规 3 5 5 4 4 2" xfId="31263"/>
    <cellStyle name="常规 3 5 5 4 5" xfId="21839"/>
    <cellStyle name="常规 3 5 5 5" xfId="3779"/>
    <cellStyle name="常规 3 5 5 5 2" xfId="13199"/>
    <cellStyle name="常规 3 5 5 5 2 2" xfId="32047"/>
    <cellStyle name="常规 3 5 5 5 3" xfId="22623"/>
    <cellStyle name="常规 3 5 5 6" xfId="6915"/>
    <cellStyle name="常规 3 5 5 6 2" xfId="16335"/>
    <cellStyle name="常规 3 5 5 6 2 2" xfId="35183"/>
    <cellStyle name="常规 3 5 5 6 3" xfId="25759"/>
    <cellStyle name="常规 3 5 5 7" xfId="10063"/>
    <cellStyle name="常规 3 5 5 7 2" xfId="28911"/>
    <cellStyle name="常规 3 5 5 8" xfId="19487"/>
    <cellStyle name="常规 3 5 6" xfId="1033"/>
    <cellStyle name="常规 3 5 6 2" xfId="4169"/>
    <cellStyle name="常规 3 5 6 2 2" xfId="13589"/>
    <cellStyle name="常规 3 5 6 2 2 2" xfId="32437"/>
    <cellStyle name="常规 3 5 6 2 3" xfId="23013"/>
    <cellStyle name="常规 3 5 6 3" xfId="7305"/>
    <cellStyle name="常规 3 5 6 3 2" xfId="16725"/>
    <cellStyle name="常规 3 5 6 3 2 2" xfId="35573"/>
    <cellStyle name="常规 3 5 6 3 3" xfId="26149"/>
    <cellStyle name="常规 3 5 6 4" xfId="10453"/>
    <cellStyle name="常规 3 5 6 4 2" xfId="29301"/>
    <cellStyle name="常规 3 5 6 5" xfId="19877"/>
    <cellStyle name="常规 3 5 7" xfId="1817"/>
    <cellStyle name="常规 3 5 7 2" xfId="4953"/>
    <cellStyle name="常规 3 5 7 2 2" xfId="14373"/>
    <cellStyle name="常规 3 5 7 2 2 2" xfId="33221"/>
    <cellStyle name="常规 3 5 7 2 3" xfId="23797"/>
    <cellStyle name="常规 3 5 7 3" xfId="8089"/>
    <cellStyle name="常规 3 5 7 3 2" xfId="17509"/>
    <cellStyle name="常规 3 5 7 3 2 2" xfId="36357"/>
    <cellStyle name="常规 3 5 7 3 3" xfId="26933"/>
    <cellStyle name="常规 3 5 7 4" xfId="11237"/>
    <cellStyle name="常规 3 5 7 4 2" xfId="30085"/>
    <cellStyle name="常规 3 5 7 5" xfId="20661"/>
    <cellStyle name="常规 3 5 8" xfId="2601"/>
    <cellStyle name="常规 3 5 8 2" xfId="5737"/>
    <cellStyle name="常规 3 5 8 2 2" xfId="15157"/>
    <cellStyle name="常规 3 5 8 2 2 2" xfId="34005"/>
    <cellStyle name="常规 3 5 8 2 3" xfId="24581"/>
    <cellStyle name="常规 3 5 8 3" xfId="8873"/>
    <cellStyle name="常规 3 5 8 3 2" xfId="18293"/>
    <cellStyle name="常规 3 5 8 3 2 2" xfId="37141"/>
    <cellStyle name="常规 3 5 8 3 3" xfId="27717"/>
    <cellStyle name="常规 3 5 8 4" xfId="12021"/>
    <cellStyle name="常规 3 5 8 4 2" xfId="30869"/>
    <cellStyle name="常规 3 5 8 5" xfId="21445"/>
    <cellStyle name="常规 3 5 9" xfId="3175"/>
    <cellStyle name="常规 3 5 9 2" xfId="12595"/>
    <cellStyle name="常规 3 5 9 2 2" xfId="31443"/>
    <cellStyle name="常规 3 5 9 3" xfId="22019"/>
    <cellStyle name="常规 3 6" xfId="253"/>
    <cellStyle name="常规 3 6 10" xfId="9676"/>
    <cellStyle name="常规 3 6 10 2" xfId="28521"/>
    <cellStyle name="常规 3 6 11" xfId="19099"/>
    <cellStyle name="常规 3 6 2" xfId="254"/>
    <cellStyle name="常规 3 6 2 10" xfId="19100"/>
    <cellStyle name="常规 3 6 2 2" xfId="255"/>
    <cellStyle name="常规 3 6 2 2 2" xfId="653"/>
    <cellStyle name="常规 3 6 2 2 2 2" xfId="1437"/>
    <cellStyle name="常规 3 6 2 2 2 2 2" xfId="4573"/>
    <cellStyle name="常规 3 6 2 2 2 2 2 2" xfId="13993"/>
    <cellStyle name="常规 3 6 2 2 2 2 2 2 2" xfId="32841"/>
    <cellStyle name="常规 3 6 2 2 2 2 2 3" xfId="23417"/>
    <cellStyle name="常规 3 6 2 2 2 2 3" xfId="7709"/>
    <cellStyle name="常规 3 6 2 2 2 2 3 2" xfId="17129"/>
    <cellStyle name="常规 3 6 2 2 2 2 3 2 2" xfId="35977"/>
    <cellStyle name="常规 3 6 2 2 2 2 3 3" xfId="26553"/>
    <cellStyle name="常规 3 6 2 2 2 2 4" xfId="10857"/>
    <cellStyle name="常规 3 6 2 2 2 2 4 2" xfId="29705"/>
    <cellStyle name="常规 3 6 2 2 2 2 5" xfId="20281"/>
    <cellStyle name="常规 3 6 2 2 2 3" xfId="2221"/>
    <cellStyle name="常规 3 6 2 2 2 3 2" xfId="5357"/>
    <cellStyle name="常规 3 6 2 2 2 3 2 2" xfId="14777"/>
    <cellStyle name="常规 3 6 2 2 2 3 2 2 2" xfId="33625"/>
    <cellStyle name="常规 3 6 2 2 2 3 2 3" xfId="24201"/>
    <cellStyle name="常规 3 6 2 2 2 3 3" xfId="8493"/>
    <cellStyle name="常规 3 6 2 2 2 3 3 2" xfId="17913"/>
    <cellStyle name="常规 3 6 2 2 2 3 3 2 2" xfId="36761"/>
    <cellStyle name="常规 3 6 2 2 2 3 3 3" xfId="27337"/>
    <cellStyle name="常规 3 6 2 2 2 3 4" xfId="11641"/>
    <cellStyle name="常规 3 6 2 2 2 3 4 2" xfId="30489"/>
    <cellStyle name="常规 3 6 2 2 2 3 5" xfId="21065"/>
    <cellStyle name="常规 3 6 2 2 2 4" xfId="3005"/>
    <cellStyle name="常规 3 6 2 2 2 4 2" xfId="6141"/>
    <cellStyle name="常规 3 6 2 2 2 4 2 2" xfId="15561"/>
    <cellStyle name="常规 3 6 2 2 2 4 2 2 2" xfId="34409"/>
    <cellStyle name="常规 3 6 2 2 2 4 2 3" xfId="24985"/>
    <cellStyle name="常规 3 6 2 2 2 4 3" xfId="9277"/>
    <cellStyle name="常规 3 6 2 2 2 4 3 2" xfId="18697"/>
    <cellStyle name="常规 3 6 2 2 2 4 3 2 2" xfId="37545"/>
    <cellStyle name="常规 3 6 2 2 2 4 3 3" xfId="28121"/>
    <cellStyle name="常规 3 6 2 2 2 4 4" xfId="12425"/>
    <cellStyle name="常规 3 6 2 2 2 4 4 2" xfId="31273"/>
    <cellStyle name="常规 3 6 2 2 2 4 5" xfId="21849"/>
    <cellStyle name="常规 3 6 2 2 2 5" xfId="3789"/>
    <cellStyle name="常规 3 6 2 2 2 5 2" xfId="13209"/>
    <cellStyle name="常规 3 6 2 2 2 5 2 2" xfId="32057"/>
    <cellStyle name="常规 3 6 2 2 2 5 3" xfId="22633"/>
    <cellStyle name="常规 3 6 2 2 2 6" xfId="6925"/>
    <cellStyle name="常规 3 6 2 2 2 6 2" xfId="16345"/>
    <cellStyle name="常规 3 6 2 2 2 6 2 2" xfId="35193"/>
    <cellStyle name="常规 3 6 2 2 2 6 3" xfId="25769"/>
    <cellStyle name="常规 3 6 2 2 2 7" xfId="10073"/>
    <cellStyle name="常规 3 6 2 2 2 7 2" xfId="28921"/>
    <cellStyle name="常规 3 6 2 2 2 8" xfId="19497"/>
    <cellStyle name="常规 3 6 2 2 3" xfId="1043"/>
    <cellStyle name="常规 3 6 2 2 3 2" xfId="4179"/>
    <cellStyle name="常规 3 6 2 2 3 2 2" xfId="13599"/>
    <cellStyle name="常规 3 6 2 2 3 2 2 2" xfId="32447"/>
    <cellStyle name="常规 3 6 2 2 3 2 3" xfId="23023"/>
    <cellStyle name="常规 3 6 2 2 3 3" xfId="7315"/>
    <cellStyle name="常规 3 6 2 2 3 3 2" xfId="16735"/>
    <cellStyle name="常规 3 6 2 2 3 3 2 2" xfId="35583"/>
    <cellStyle name="常规 3 6 2 2 3 3 3" xfId="26159"/>
    <cellStyle name="常规 3 6 2 2 3 4" xfId="10463"/>
    <cellStyle name="常规 3 6 2 2 3 4 2" xfId="29311"/>
    <cellStyle name="常规 3 6 2 2 3 5" xfId="19887"/>
    <cellStyle name="常规 3 6 2 2 4" xfId="1827"/>
    <cellStyle name="常规 3 6 2 2 4 2" xfId="4963"/>
    <cellStyle name="常规 3 6 2 2 4 2 2" xfId="14383"/>
    <cellStyle name="常规 3 6 2 2 4 2 2 2" xfId="33231"/>
    <cellStyle name="常规 3 6 2 2 4 2 3" xfId="23807"/>
    <cellStyle name="常规 3 6 2 2 4 3" xfId="8099"/>
    <cellStyle name="常规 3 6 2 2 4 3 2" xfId="17519"/>
    <cellStyle name="常规 3 6 2 2 4 3 2 2" xfId="36367"/>
    <cellStyle name="常规 3 6 2 2 4 3 3" xfId="26943"/>
    <cellStyle name="常规 3 6 2 2 4 4" xfId="11247"/>
    <cellStyle name="常规 3 6 2 2 4 4 2" xfId="30095"/>
    <cellStyle name="常规 3 6 2 2 4 5" xfId="20671"/>
    <cellStyle name="常规 3 6 2 2 5" xfId="2611"/>
    <cellStyle name="常规 3 6 2 2 5 2" xfId="5747"/>
    <cellStyle name="常规 3 6 2 2 5 2 2" xfId="15167"/>
    <cellStyle name="常规 3 6 2 2 5 2 2 2" xfId="34015"/>
    <cellStyle name="常规 3 6 2 2 5 2 3" xfId="24591"/>
    <cellStyle name="常规 3 6 2 2 5 3" xfId="8883"/>
    <cellStyle name="常规 3 6 2 2 5 3 2" xfId="18303"/>
    <cellStyle name="常规 3 6 2 2 5 3 2 2" xfId="37151"/>
    <cellStyle name="常规 3 6 2 2 5 3 3" xfId="27727"/>
    <cellStyle name="常规 3 6 2 2 5 4" xfId="12031"/>
    <cellStyle name="常规 3 6 2 2 5 4 2" xfId="30879"/>
    <cellStyle name="常规 3 6 2 2 5 5" xfId="21455"/>
    <cellStyle name="常规 3 6 2 2 6" xfId="3428"/>
    <cellStyle name="常规 3 6 2 2 6 2" xfId="12848"/>
    <cellStyle name="常规 3 6 2 2 6 2 2" xfId="31696"/>
    <cellStyle name="常规 3 6 2 2 6 3" xfId="22272"/>
    <cellStyle name="常规 3 6 2 2 7" xfId="6531"/>
    <cellStyle name="常规 3 6 2 2 7 2" xfId="15951"/>
    <cellStyle name="常规 3 6 2 2 7 2 2" xfId="34799"/>
    <cellStyle name="常规 3 6 2 2 7 3" xfId="25375"/>
    <cellStyle name="常规 3 6 2 2 8" xfId="9678"/>
    <cellStyle name="常规 3 6 2 2 8 2" xfId="28523"/>
    <cellStyle name="常规 3 6 2 2 9" xfId="19101"/>
    <cellStyle name="常规 3 6 2 3" xfId="652"/>
    <cellStyle name="常规 3 6 2 3 2" xfId="1436"/>
    <cellStyle name="常规 3 6 2 3 2 2" xfId="4572"/>
    <cellStyle name="常规 3 6 2 3 2 2 2" xfId="13992"/>
    <cellStyle name="常规 3 6 2 3 2 2 2 2" xfId="32840"/>
    <cellStyle name="常规 3 6 2 3 2 2 3" xfId="23416"/>
    <cellStyle name="常规 3 6 2 3 2 3" xfId="7708"/>
    <cellStyle name="常规 3 6 2 3 2 3 2" xfId="17128"/>
    <cellStyle name="常规 3 6 2 3 2 3 2 2" xfId="35976"/>
    <cellStyle name="常规 3 6 2 3 2 3 3" xfId="26552"/>
    <cellStyle name="常规 3 6 2 3 2 4" xfId="10856"/>
    <cellStyle name="常规 3 6 2 3 2 4 2" xfId="29704"/>
    <cellStyle name="常规 3 6 2 3 2 5" xfId="20280"/>
    <cellStyle name="常规 3 6 2 3 3" xfId="2220"/>
    <cellStyle name="常规 3 6 2 3 3 2" xfId="5356"/>
    <cellStyle name="常规 3 6 2 3 3 2 2" xfId="14776"/>
    <cellStyle name="常规 3 6 2 3 3 2 2 2" xfId="33624"/>
    <cellStyle name="常规 3 6 2 3 3 2 3" xfId="24200"/>
    <cellStyle name="常规 3 6 2 3 3 3" xfId="8492"/>
    <cellStyle name="常规 3 6 2 3 3 3 2" xfId="17912"/>
    <cellStyle name="常规 3 6 2 3 3 3 2 2" xfId="36760"/>
    <cellStyle name="常规 3 6 2 3 3 3 3" xfId="27336"/>
    <cellStyle name="常规 3 6 2 3 3 4" xfId="11640"/>
    <cellStyle name="常规 3 6 2 3 3 4 2" xfId="30488"/>
    <cellStyle name="常规 3 6 2 3 3 5" xfId="21064"/>
    <cellStyle name="常规 3 6 2 3 4" xfId="3004"/>
    <cellStyle name="常规 3 6 2 3 4 2" xfId="6140"/>
    <cellStyle name="常规 3 6 2 3 4 2 2" xfId="15560"/>
    <cellStyle name="常规 3 6 2 3 4 2 2 2" xfId="34408"/>
    <cellStyle name="常规 3 6 2 3 4 2 3" xfId="24984"/>
    <cellStyle name="常规 3 6 2 3 4 3" xfId="9276"/>
    <cellStyle name="常规 3 6 2 3 4 3 2" xfId="18696"/>
    <cellStyle name="常规 3 6 2 3 4 3 2 2" xfId="37544"/>
    <cellStyle name="常规 3 6 2 3 4 3 3" xfId="28120"/>
    <cellStyle name="常规 3 6 2 3 4 4" xfId="12424"/>
    <cellStyle name="常规 3 6 2 3 4 4 2" xfId="31272"/>
    <cellStyle name="常规 3 6 2 3 4 5" xfId="21848"/>
    <cellStyle name="常规 3 6 2 3 5" xfId="3788"/>
    <cellStyle name="常规 3 6 2 3 5 2" xfId="13208"/>
    <cellStyle name="常规 3 6 2 3 5 2 2" xfId="32056"/>
    <cellStyle name="常规 3 6 2 3 5 3" xfId="22632"/>
    <cellStyle name="常规 3 6 2 3 6" xfId="6924"/>
    <cellStyle name="常规 3 6 2 3 6 2" xfId="16344"/>
    <cellStyle name="常规 3 6 2 3 6 2 2" xfId="35192"/>
    <cellStyle name="常规 3 6 2 3 6 3" xfId="25768"/>
    <cellStyle name="常规 3 6 2 3 7" xfId="10072"/>
    <cellStyle name="常规 3 6 2 3 7 2" xfId="28920"/>
    <cellStyle name="常规 3 6 2 3 8" xfId="19496"/>
    <cellStyle name="常规 3 6 2 4" xfId="1042"/>
    <cellStyle name="常规 3 6 2 4 2" xfId="4178"/>
    <cellStyle name="常规 3 6 2 4 2 2" xfId="13598"/>
    <cellStyle name="常规 3 6 2 4 2 2 2" xfId="32446"/>
    <cellStyle name="常规 3 6 2 4 2 3" xfId="23022"/>
    <cellStyle name="常规 3 6 2 4 3" xfId="7314"/>
    <cellStyle name="常规 3 6 2 4 3 2" xfId="16734"/>
    <cellStyle name="常规 3 6 2 4 3 2 2" xfId="35582"/>
    <cellStyle name="常规 3 6 2 4 3 3" xfId="26158"/>
    <cellStyle name="常规 3 6 2 4 4" xfId="10462"/>
    <cellStyle name="常规 3 6 2 4 4 2" xfId="29310"/>
    <cellStyle name="常规 3 6 2 4 5" xfId="19886"/>
    <cellStyle name="常规 3 6 2 5" xfId="1826"/>
    <cellStyle name="常规 3 6 2 5 2" xfId="4962"/>
    <cellStyle name="常规 3 6 2 5 2 2" xfId="14382"/>
    <cellStyle name="常规 3 6 2 5 2 2 2" xfId="33230"/>
    <cellStyle name="常规 3 6 2 5 2 3" xfId="23806"/>
    <cellStyle name="常规 3 6 2 5 3" xfId="8098"/>
    <cellStyle name="常规 3 6 2 5 3 2" xfId="17518"/>
    <cellStyle name="常规 3 6 2 5 3 2 2" xfId="36366"/>
    <cellStyle name="常规 3 6 2 5 3 3" xfId="26942"/>
    <cellStyle name="常规 3 6 2 5 4" xfId="11246"/>
    <cellStyle name="常规 3 6 2 5 4 2" xfId="30094"/>
    <cellStyle name="常规 3 6 2 5 5" xfId="20670"/>
    <cellStyle name="常规 3 6 2 6" xfId="2610"/>
    <cellStyle name="常规 3 6 2 6 2" xfId="5746"/>
    <cellStyle name="常规 3 6 2 6 2 2" xfId="15166"/>
    <cellStyle name="常规 3 6 2 6 2 2 2" xfId="34014"/>
    <cellStyle name="常规 3 6 2 6 2 3" xfId="24590"/>
    <cellStyle name="常规 3 6 2 6 3" xfId="8882"/>
    <cellStyle name="常规 3 6 2 6 3 2" xfId="18302"/>
    <cellStyle name="常规 3 6 2 6 3 2 2" xfId="37150"/>
    <cellStyle name="常规 3 6 2 6 3 3" xfId="27726"/>
    <cellStyle name="常规 3 6 2 6 4" xfId="12030"/>
    <cellStyle name="常规 3 6 2 6 4 2" xfId="30878"/>
    <cellStyle name="常规 3 6 2 6 5" xfId="21454"/>
    <cellStyle name="常规 3 6 2 7" xfId="3427"/>
    <cellStyle name="常规 3 6 2 7 2" xfId="12847"/>
    <cellStyle name="常规 3 6 2 7 2 2" xfId="31695"/>
    <cellStyle name="常规 3 6 2 7 3" xfId="22271"/>
    <cellStyle name="常规 3 6 2 8" xfId="6530"/>
    <cellStyle name="常规 3 6 2 8 2" xfId="15950"/>
    <cellStyle name="常规 3 6 2 8 2 2" xfId="34798"/>
    <cellStyle name="常规 3 6 2 8 3" xfId="25374"/>
    <cellStyle name="常规 3 6 2 9" xfId="9677"/>
    <cellStyle name="常规 3 6 2 9 2" xfId="28522"/>
    <cellStyle name="常规 3 6 3" xfId="256"/>
    <cellStyle name="常规 3 6 3 2" xfId="654"/>
    <cellStyle name="常规 3 6 3 2 2" xfId="1438"/>
    <cellStyle name="常规 3 6 3 2 2 2" xfId="4574"/>
    <cellStyle name="常规 3 6 3 2 2 2 2" xfId="13994"/>
    <cellStyle name="常规 3 6 3 2 2 2 2 2" xfId="32842"/>
    <cellStyle name="常规 3 6 3 2 2 2 3" xfId="23418"/>
    <cellStyle name="常规 3 6 3 2 2 3" xfId="7710"/>
    <cellStyle name="常规 3 6 3 2 2 3 2" xfId="17130"/>
    <cellStyle name="常规 3 6 3 2 2 3 2 2" xfId="35978"/>
    <cellStyle name="常规 3 6 3 2 2 3 3" xfId="26554"/>
    <cellStyle name="常规 3 6 3 2 2 4" xfId="10858"/>
    <cellStyle name="常规 3 6 3 2 2 4 2" xfId="29706"/>
    <cellStyle name="常规 3 6 3 2 2 5" xfId="20282"/>
    <cellStyle name="常规 3 6 3 2 3" xfId="2222"/>
    <cellStyle name="常规 3 6 3 2 3 2" xfId="5358"/>
    <cellStyle name="常规 3 6 3 2 3 2 2" xfId="14778"/>
    <cellStyle name="常规 3 6 3 2 3 2 2 2" xfId="33626"/>
    <cellStyle name="常规 3 6 3 2 3 2 3" xfId="24202"/>
    <cellStyle name="常规 3 6 3 2 3 3" xfId="8494"/>
    <cellStyle name="常规 3 6 3 2 3 3 2" xfId="17914"/>
    <cellStyle name="常规 3 6 3 2 3 3 2 2" xfId="36762"/>
    <cellStyle name="常规 3 6 3 2 3 3 3" xfId="27338"/>
    <cellStyle name="常规 3 6 3 2 3 4" xfId="11642"/>
    <cellStyle name="常规 3 6 3 2 3 4 2" xfId="30490"/>
    <cellStyle name="常规 3 6 3 2 3 5" xfId="21066"/>
    <cellStyle name="常规 3 6 3 2 4" xfId="3006"/>
    <cellStyle name="常规 3 6 3 2 4 2" xfId="6142"/>
    <cellStyle name="常规 3 6 3 2 4 2 2" xfId="15562"/>
    <cellStyle name="常规 3 6 3 2 4 2 2 2" xfId="34410"/>
    <cellStyle name="常规 3 6 3 2 4 2 3" xfId="24986"/>
    <cellStyle name="常规 3 6 3 2 4 3" xfId="9278"/>
    <cellStyle name="常规 3 6 3 2 4 3 2" xfId="18698"/>
    <cellStyle name="常规 3 6 3 2 4 3 2 2" xfId="37546"/>
    <cellStyle name="常规 3 6 3 2 4 3 3" xfId="28122"/>
    <cellStyle name="常规 3 6 3 2 4 4" xfId="12426"/>
    <cellStyle name="常规 3 6 3 2 4 4 2" xfId="31274"/>
    <cellStyle name="常规 3 6 3 2 4 5" xfId="21850"/>
    <cellStyle name="常规 3 6 3 2 5" xfId="3790"/>
    <cellStyle name="常规 3 6 3 2 5 2" xfId="13210"/>
    <cellStyle name="常规 3 6 3 2 5 2 2" xfId="32058"/>
    <cellStyle name="常规 3 6 3 2 5 3" xfId="22634"/>
    <cellStyle name="常规 3 6 3 2 6" xfId="6926"/>
    <cellStyle name="常规 3 6 3 2 6 2" xfId="16346"/>
    <cellStyle name="常规 3 6 3 2 6 2 2" xfId="35194"/>
    <cellStyle name="常规 3 6 3 2 6 3" xfId="25770"/>
    <cellStyle name="常规 3 6 3 2 7" xfId="10074"/>
    <cellStyle name="常规 3 6 3 2 7 2" xfId="28922"/>
    <cellStyle name="常规 3 6 3 2 8" xfId="19498"/>
    <cellStyle name="常规 3 6 3 3" xfId="1044"/>
    <cellStyle name="常规 3 6 3 3 2" xfId="4180"/>
    <cellStyle name="常规 3 6 3 3 2 2" xfId="13600"/>
    <cellStyle name="常规 3 6 3 3 2 2 2" xfId="32448"/>
    <cellStyle name="常规 3 6 3 3 2 3" xfId="23024"/>
    <cellStyle name="常规 3 6 3 3 3" xfId="7316"/>
    <cellStyle name="常规 3 6 3 3 3 2" xfId="16736"/>
    <cellStyle name="常规 3 6 3 3 3 2 2" xfId="35584"/>
    <cellStyle name="常规 3 6 3 3 3 3" xfId="26160"/>
    <cellStyle name="常规 3 6 3 3 4" xfId="10464"/>
    <cellStyle name="常规 3 6 3 3 4 2" xfId="29312"/>
    <cellStyle name="常规 3 6 3 3 5" xfId="19888"/>
    <cellStyle name="常规 3 6 3 4" xfId="1828"/>
    <cellStyle name="常规 3 6 3 4 2" xfId="4964"/>
    <cellStyle name="常规 3 6 3 4 2 2" xfId="14384"/>
    <cellStyle name="常规 3 6 3 4 2 2 2" xfId="33232"/>
    <cellStyle name="常规 3 6 3 4 2 3" xfId="23808"/>
    <cellStyle name="常规 3 6 3 4 3" xfId="8100"/>
    <cellStyle name="常规 3 6 3 4 3 2" xfId="17520"/>
    <cellStyle name="常规 3 6 3 4 3 2 2" xfId="36368"/>
    <cellStyle name="常规 3 6 3 4 3 3" xfId="26944"/>
    <cellStyle name="常规 3 6 3 4 4" xfId="11248"/>
    <cellStyle name="常规 3 6 3 4 4 2" xfId="30096"/>
    <cellStyle name="常规 3 6 3 4 5" xfId="20672"/>
    <cellStyle name="常规 3 6 3 5" xfId="2612"/>
    <cellStyle name="常规 3 6 3 5 2" xfId="5748"/>
    <cellStyle name="常规 3 6 3 5 2 2" xfId="15168"/>
    <cellStyle name="常规 3 6 3 5 2 2 2" xfId="34016"/>
    <cellStyle name="常规 3 6 3 5 2 3" xfId="24592"/>
    <cellStyle name="常规 3 6 3 5 3" xfId="8884"/>
    <cellStyle name="常规 3 6 3 5 3 2" xfId="18304"/>
    <cellStyle name="常规 3 6 3 5 3 2 2" xfId="37152"/>
    <cellStyle name="常规 3 6 3 5 3 3" xfId="27728"/>
    <cellStyle name="常规 3 6 3 5 4" xfId="12032"/>
    <cellStyle name="常规 3 6 3 5 4 2" xfId="30880"/>
    <cellStyle name="常规 3 6 3 5 5" xfId="21456"/>
    <cellStyle name="常规 3 6 3 6" xfId="3429"/>
    <cellStyle name="常规 3 6 3 6 2" xfId="12849"/>
    <cellStyle name="常规 3 6 3 6 2 2" xfId="31697"/>
    <cellStyle name="常规 3 6 3 6 3" xfId="22273"/>
    <cellStyle name="常规 3 6 3 7" xfId="6532"/>
    <cellStyle name="常规 3 6 3 7 2" xfId="15952"/>
    <cellStyle name="常规 3 6 3 7 2 2" xfId="34800"/>
    <cellStyle name="常规 3 6 3 7 3" xfId="25376"/>
    <cellStyle name="常规 3 6 3 8" xfId="9679"/>
    <cellStyle name="常规 3 6 3 8 2" xfId="28524"/>
    <cellStyle name="常规 3 6 3 9" xfId="19102"/>
    <cellStyle name="常规 3 6 4" xfId="651"/>
    <cellStyle name="常规 3 6 4 2" xfId="1435"/>
    <cellStyle name="常规 3 6 4 2 2" xfId="4571"/>
    <cellStyle name="常规 3 6 4 2 2 2" xfId="13991"/>
    <cellStyle name="常规 3 6 4 2 2 2 2" xfId="32839"/>
    <cellStyle name="常规 3 6 4 2 2 3" xfId="23415"/>
    <cellStyle name="常规 3 6 4 2 3" xfId="7707"/>
    <cellStyle name="常规 3 6 4 2 3 2" xfId="17127"/>
    <cellStyle name="常规 3 6 4 2 3 2 2" xfId="35975"/>
    <cellStyle name="常规 3 6 4 2 3 3" xfId="26551"/>
    <cellStyle name="常规 3 6 4 2 4" xfId="10855"/>
    <cellStyle name="常规 3 6 4 2 4 2" xfId="29703"/>
    <cellStyle name="常规 3 6 4 2 5" xfId="20279"/>
    <cellStyle name="常规 3 6 4 3" xfId="2219"/>
    <cellStyle name="常规 3 6 4 3 2" xfId="5355"/>
    <cellStyle name="常规 3 6 4 3 2 2" xfId="14775"/>
    <cellStyle name="常规 3 6 4 3 2 2 2" xfId="33623"/>
    <cellStyle name="常规 3 6 4 3 2 3" xfId="24199"/>
    <cellStyle name="常规 3 6 4 3 3" xfId="8491"/>
    <cellStyle name="常规 3 6 4 3 3 2" xfId="17911"/>
    <cellStyle name="常规 3 6 4 3 3 2 2" xfId="36759"/>
    <cellStyle name="常规 3 6 4 3 3 3" xfId="27335"/>
    <cellStyle name="常规 3 6 4 3 4" xfId="11639"/>
    <cellStyle name="常规 3 6 4 3 4 2" xfId="30487"/>
    <cellStyle name="常规 3 6 4 3 5" xfId="21063"/>
    <cellStyle name="常规 3 6 4 4" xfId="3003"/>
    <cellStyle name="常规 3 6 4 4 2" xfId="6139"/>
    <cellStyle name="常规 3 6 4 4 2 2" xfId="15559"/>
    <cellStyle name="常规 3 6 4 4 2 2 2" xfId="34407"/>
    <cellStyle name="常规 3 6 4 4 2 3" xfId="24983"/>
    <cellStyle name="常规 3 6 4 4 3" xfId="9275"/>
    <cellStyle name="常规 3 6 4 4 3 2" xfId="18695"/>
    <cellStyle name="常规 3 6 4 4 3 2 2" xfId="37543"/>
    <cellStyle name="常规 3 6 4 4 3 3" xfId="28119"/>
    <cellStyle name="常规 3 6 4 4 4" xfId="12423"/>
    <cellStyle name="常规 3 6 4 4 4 2" xfId="31271"/>
    <cellStyle name="常规 3 6 4 4 5" xfId="21847"/>
    <cellStyle name="常规 3 6 4 5" xfId="3787"/>
    <cellStyle name="常规 3 6 4 5 2" xfId="13207"/>
    <cellStyle name="常规 3 6 4 5 2 2" xfId="32055"/>
    <cellStyle name="常规 3 6 4 5 3" xfId="22631"/>
    <cellStyle name="常规 3 6 4 6" xfId="6923"/>
    <cellStyle name="常规 3 6 4 6 2" xfId="16343"/>
    <cellStyle name="常规 3 6 4 6 2 2" xfId="35191"/>
    <cellStyle name="常规 3 6 4 6 3" xfId="25767"/>
    <cellStyle name="常规 3 6 4 7" xfId="10071"/>
    <cellStyle name="常规 3 6 4 7 2" xfId="28919"/>
    <cellStyle name="常规 3 6 4 8" xfId="19495"/>
    <cellStyle name="常规 3 6 5" xfId="1041"/>
    <cellStyle name="常规 3 6 5 2" xfId="4177"/>
    <cellStyle name="常规 3 6 5 2 2" xfId="13597"/>
    <cellStyle name="常规 3 6 5 2 2 2" xfId="32445"/>
    <cellStyle name="常规 3 6 5 2 3" xfId="23021"/>
    <cellStyle name="常规 3 6 5 3" xfId="7313"/>
    <cellStyle name="常规 3 6 5 3 2" xfId="16733"/>
    <cellStyle name="常规 3 6 5 3 2 2" xfId="35581"/>
    <cellStyle name="常规 3 6 5 3 3" xfId="26157"/>
    <cellStyle name="常规 3 6 5 4" xfId="10461"/>
    <cellStyle name="常规 3 6 5 4 2" xfId="29309"/>
    <cellStyle name="常规 3 6 5 5" xfId="19885"/>
    <cellStyle name="常规 3 6 6" xfId="1825"/>
    <cellStyle name="常规 3 6 6 2" xfId="4961"/>
    <cellStyle name="常规 3 6 6 2 2" xfId="14381"/>
    <cellStyle name="常规 3 6 6 2 2 2" xfId="33229"/>
    <cellStyle name="常规 3 6 6 2 3" xfId="23805"/>
    <cellStyle name="常规 3 6 6 3" xfId="8097"/>
    <cellStyle name="常规 3 6 6 3 2" xfId="17517"/>
    <cellStyle name="常规 3 6 6 3 2 2" xfId="36365"/>
    <cellStyle name="常规 3 6 6 3 3" xfId="26941"/>
    <cellStyle name="常规 3 6 6 4" xfId="11245"/>
    <cellStyle name="常规 3 6 6 4 2" xfId="30093"/>
    <cellStyle name="常规 3 6 6 5" xfId="20669"/>
    <cellStyle name="常规 3 6 7" xfId="2609"/>
    <cellStyle name="常规 3 6 7 2" xfId="5745"/>
    <cellStyle name="常规 3 6 7 2 2" xfId="15165"/>
    <cellStyle name="常规 3 6 7 2 2 2" xfId="34013"/>
    <cellStyle name="常规 3 6 7 2 3" xfId="24589"/>
    <cellStyle name="常规 3 6 7 3" xfId="8881"/>
    <cellStyle name="常规 3 6 7 3 2" xfId="18301"/>
    <cellStyle name="常规 3 6 7 3 2 2" xfId="37149"/>
    <cellStyle name="常规 3 6 7 3 3" xfId="27725"/>
    <cellStyle name="常规 3 6 7 4" xfId="12029"/>
    <cellStyle name="常规 3 6 7 4 2" xfId="30877"/>
    <cellStyle name="常规 3 6 7 5" xfId="21453"/>
    <cellStyle name="常规 3 6 8" xfId="3208"/>
    <cellStyle name="常规 3 6 8 2" xfId="12628"/>
    <cellStyle name="常规 3 6 8 2 2" xfId="31476"/>
    <cellStyle name="常规 3 6 8 3" xfId="22052"/>
    <cellStyle name="常规 3 6 9" xfId="6529"/>
    <cellStyle name="常规 3 6 9 2" xfId="15949"/>
    <cellStyle name="常规 3 6 9 2 2" xfId="34797"/>
    <cellStyle name="常规 3 6 9 3" xfId="25373"/>
    <cellStyle name="常规 3 7" xfId="257"/>
    <cellStyle name="常规 3 7 10" xfId="19103"/>
    <cellStyle name="常规 3 7 2" xfId="258"/>
    <cellStyle name="常规 3 7 2 2" xfId="656"/>
    <cellStyle name="常规 3 7 2 2 2" xfId="1440"/>
    <cellStyle name="常规 3 7 2 2 2 2" xfId="4576"/>
    <cellStyle name="常规 3 7 2 2 2 2 2" xfId="13996"/>
    <cellStyle name="常规 3 7 2 2 2 2 2 2" xfId="32844"/>
    <cellStyle name="常规 3 7 2 2 2 2 3" xfId="23420"/>
    <cellStyle name="常规 3 7 2 2 2 3" xfId="7712"/>
    <cellStyle name="常规 3 7 2 2 2 3 2" xfId="17132"/>
    <cellStyle name="常规 3 7 2 2 2 3 2 2" xfId="35980"/>
    <cellStyle name="常规 3 7 2 2 2 3 3" xfId="26556"/>
    <cellStyle name="常规 3 7 2 2 2 4" xfId="10860"/>
    <cellStyle name="常规 3 7 2 2 2 4 2" xfId="29708"/>
    <cellStyle name="常规 3 7 2 2 2 5" xfId="20284"/>
    <cellStyle name="常规 3 7 2 2 3" xfId="2224"/>
    <cellStyle name="常规 3 7 2 2 3 2" xfId="5360"/>
    <cellStyle name="常规 3 7 2 2 3 2 2" xfId="14780"/>
    <cellStyle name="常规 3 7 2 2 3 2 2 2" xfId="33628"/>
    <cellStyle name="常规 3 7 2 2 3 2 3" xfId="24204"/>
    <cellStyle name="常规 3 7 2 2 3 3" xfId="8496"/>
    <cellStyle name="常规 3 7 2 2 3 3 2" xfId="17916"/>
    <cellStyle name="常规 3 7 2 2 3 3 2 2" xfId="36764"/>
    <cellStyle name="常规 3 7 2 2 3 3 3" xfId="27340"/>
    <cellStyle name="常规 3 7 2 2 3 4" xfId="11644"/>
    <cellStyle name="常规 3 7 2 2 3 4 2" xfId="30492"/>
    <cellStyle name="常规 3 7 2 2 3 5" xfId="21068"/>
    <cellStyle name="常规 3 7 2 2 4" xfId="3008"/>
    <cellStyle name="常规 3 7 2 2 4 2" xfId="6144"/>
    <cellStyle name="常规 3 7 2 2 4 2 2" xfId="15564"/>
    <cellStyle name="常规 3 7 2 2 4 2 2 2" xfId="34412"/>
    <cellStyle name="常规 3 7 2 2 4 2 3" xfId="24988"/>
    <cellStyle name="常规 3 7 2 2 4 3" xfId="9280"/>
    <cellStyle name="常规 3 7 2 2 4 3 2" xfId="18700"/>
    <cellStyle name="常规 3 7 2 2 4 3 2 2" xfId="37548"/>
    <cellStyle name="常规 3 7 2 2 4 3 3" xfId="28124"/>
    <cellStyle name="常规 3 7 2 2 4 4" xfId="12428"/>
    <cellStyle name="常规 3 7 2 2 4 4 2" xfId="31276"/>
    <cellStyle name="常规 3 7 2 2 4 5" xfId="21852"/>
    <cellStyle name="常规 3 7 2 2 5" xfId="3792"/>
    <cellStyle name="常规 3 7 2 2 5 2" xfId="13212"/>
    <cellStyle name="常规 3 7 2 2 5 2 2" xfId="32060"/>
    <cellStyle name="常规 3 7 2 2 5 3" xfId="22636"/>
    <cellStyle name="常规 3 7 2 2 6" xfId="6928"/>
    <cellStyle name="常规 3 7 2 2 6 2" xfId="16348"/>
    <cellStyle name="常规 3 7 2 2 6 2 2" xfId="35196"/>
    <cellStyle name="常规 3 7 2 2 6 3" xfId="25772"/>
    <cellStyle name="常规 3 7 2 2 7" xfId="10076"/>
    <cellStyle name="常规 3 7 2 2 7 2" xfId="28924"/>
    <cellStyle name="常规 3 7 2 2 8" xfId="19500"/>
    <cellStyle name="常规 3 7 2 3" xfId="1046"/>
    <cellStyle name="常规 3 7 2 3 2" xfId="4182"/>
    <cellStyle name="常规 3 7 2 3 2 2" xfId="13602"/>
    <cellStyle name="常规 3 7 2 3 2 2 2" xfId="32450"/>
    <cellStyle name="常规 3 7 2 3 2 3" xfId="23026"/>
    <cellStyle name="常规 3 7 2 3 3" xfId="7318"/>
    <cellStyle name="常规 3 7 2 3 3 2" xfId="16738"/>
    <cellStyle name="常规 3 7 2 3 3 2 2" xfId="35586"/>
    <cellStyle name="常规 3 7 2 3 3 3" xfId="26162"/>
    <cellStyle name="常规 3 7 2 3 4" xfId="10466"/>
    <cellStyle name="常规 3 7 2 3 4 2" xfId="29314"/>
    <cellStyle name="常规 3 7 2 3 5" xfId="19890"/>
    <cellStyle name="常规 3 7 2 4" xfId="1830"/>
    <cellStyle name="常规 3 7 2 4 2" xfId="4966"/>
    <cellStyle name="常规 3 7 2 4 2 2" xfId="14386"/>
    <cellStyle name="常规 3 7 2 4 2 2 2" xfId="33234"/>
    <cellStyle name="常规 3 7 2 4 2 3" xfId="23810"/>
    <cellStyle name="常规 3 7 2 4 3" xfId="8102"/>
    <cellStyle name="常规 3 7 2 4 3 2" xfId="17522"/>
    <cellStyle name="常规 3 7 2 4 3 2 2" xfId="36370"/>
    <cellStyle name="常规 3 7 2 4 3 3" xfId="26946"/>
    <cellStyle name="常规 3 7 2 4 4" xfId="11250"/>
    <cellStyle name="常规 3 7 2 4 4 2" xfId="30098"/>
    <cellStyle name="常规 3 7 2 4 5" xfId="20674"/>
    <cellStyle name="常规 3 7 2 5" xfId="2614"/>
    <cellStyle name="常规 3 7 2 5 2" xfId="5750"/>
    <cellStyle name="常规 3 7 2 5 2 2" xfId="15170"/>
    <cellStyle name="常规 3 7 2 5 2 2 2" xfId="34018"/>
    <cellStyle name="常规 3 7 2 5 2 3" xfId="24594"/>
    <cellStyle name="常规 3 7 2 5 3" xfId="8886"/>
    <cellStyle name="常规 3 7 2 5 3 2" xfId="18306"/>
    <cellStyle name="常规 3 7 2 5 3 2 2" xfId="37154"/>
    <cellStyle name="常规 3 7 2 5 3 3" xfId="27730"/>
    <cellStyle name="常规 3 7 2 5 4" xfId="12034"/>
    <cellStyle name="常规 3 7 2 5 4 2" xfId="30882"/>
    <cellStyle name="常规 3 7 2 5 5" xfId="21458"/>
    <cellStyle name="常规 3 7 2 6" xfId="3431"/>
    <cellStyle name="常规 3 7 2 6 2" xfId="12851"/>
    <cellStyle name="常规 3 7 2 6 2 2" xfId="31699"/>
    <cellStyle name="常规 3 7 2 6 3" xfId="22275"/>
    <cellStyle name="常规 3 7 2 7" xfId="6534"/>
    <cellStyle name="常规 3 7 2 7 2" xfId="15954"/>
    <cellStyle name="常规 3 7 2 7 2 2" xfId="34802"/>
    <cellStyle name="常规 3 7 2 7 3" xfId="25378"/>
    <cellStyle name="常规 3 7 2 8" xfId="9681"/>
    <cellStyle name="常规 3 7 2 8 2" xfId="28526"/>
    <cellStyle name="常规 3 7 2 9" xfId="19104"/>
    <cellStyle name="常规 3 7 3" xfId="655"/>
    <cellStyle name="常规 3 7 3 2" xfId="1439"/>
    <cellStyle name="常规 3 7 3 2 2" xfId="4575"/>
    <cellStyle name="常规 3 7 3 2 2 2" xfId="13995"/>
    <cellStyle name="常规 3 7 3 2 2 2 2" xfId="32843"/>
    <cellStyle name="常规 3 7 3 2 2 3" xfId="23419"/>
    <cellStyle name="常规 3 7 3 2 3" xfId="7711"/>
    <cellStyle name="常规 3 7 3 2 3 2" xfId="17131"/>
    <cellStyle name="常规 3 7 3 2 3 2 2" xfId="35979"/>
    <cellStyle name="常规 3 7 3 2 3 3" xfId="26555"/>
    <cellStyle name="常规 3 7 3 2 4" xfId="10859"/>
    <cellStyle name="常规 3 7 3 2 4 2" xfId="29707"/>
    <cellStyle name="常规 3 7 3 2 5" xfId="20283"/>
    <cellStyle name="常规 3 7 3 3" xfId="2223"/>
    <cellStyle name="常规 3 7 3 3 2" xfId="5359"/>
    <cellStyle name="常规 3 7 3 3 2 2" xfId="14779"/>
    <cellStyle name="常规 3 7 3 3 2 2 2" xfId="33627"/>
    <cellStyle name="常规 3 7 3 3 2 3" xfId="24203"/>
    <cellStyle name="常规 3 7 3 3 3" xfId="8495"/>
    <cellStyle name="常规 3 7 3 3 3 2" xfId="17915"/>
    <cellStyle name="常规 3 7 3 3 3 2 2" xfId="36763"/>
    <cellStyle name="常规 3 7 3 3 3 3" xfId="27339"/>
    <cellStyle name="常规 3 7 3 3 4" xfId="11643"/>
    <cellStyle name="常规 3 7 3 3 4 2" xfId="30491"/>
    <cellStyle name="常规 3 7 3 3 5" xfId="21067"/>
    <cellStyle name="常规 3 7 3 4" xfId="3007"/>
    <cellStyle name="常规 3 7 3 4 2" xfId="6143"/>
    <cellStyle name="常规 3 7 3 4 2 2" xfId="15563"/>
    <cellStyle name="常规 3 7 3 4 2 2 2" xfId="34411"/>
    <cellStyle name="常规 3 7 3 4 2 3" xfId="24987"/>
    <cellStyle name="常规 3 7 3 4 3" xfId="9279"/>
    <cellStyle name="常规 3 7 3 4 3 2" xfId="18699"/>
    <cellStyle name="常规 3 7 3 4 3 2 2" xfId="37547"/>
    <cellStyle name="常规 3 7 3 4 3 3" xfId="28123"/>
    <cellStyle name="常规 3 7 3 4 4" xfId="12427"/>
    <cellStyle name="常规 3 7 3 4 4 2" xfId="31275"/>
    <cellStyle name="常规 3 7 3 4 5" xfId="21851"/>
    <cellStyle name="常规 3 7 3 5" xfId="3791"/>
    <cellStyle name="常规 3 7 3 5 2" xfId="13211"/>
    <cellStyle name="常规 3 7 3 5 2 2" xfId="32059"/>
    <cellStyle name="常规 3 7 3 5 3" xfId="22635"/>
    <cellStyle name="常规 3 7 3 6" xfId="6927"/>
    <cellStyle name="常规 3 7 3 6 2" xfId="16347"/>
    <cellStyle name="常规 3 7 3 6 2 2" xfId="35195"/>
    <cellStyle name="常规 3 7 3 6 3" xfId="25771"/>
    <cellStyle name="常规 3 7 3 7" xfId="10075"/>
    <cellStyle name="常规 3 7 3 7 2" xfId="28923"/>
    <cellStyle name="常规 3 7 3 8" xfId="19499"/>
    <cellStyle name="常规 3 7 4" xfId="1045"/>
    <cellStyle name="常规 3 7 4 2" xfId="4181"/>
    <cellStyle name="常规 3 7 4 2 2" xfId="13601"/>
    <cellStyle name="常规 3 7 4 2 2 2" xfId="32449"/>
    <cellStyle name="常规 3 7 4 2 3" xfId="23025"/>
    <cellStyle name="常规 3 7 4 3" xfId="7317"/>
    <cellStyle name="常规 3 7 4 3 2" xfId="16737"/>
    <cellStyle name="常规 3 7 4 3 2 2" xfId="35585"/>
    <cellStyle name="常规 3 7 4 3 3" xfId="26161"/>
    <cellStyle name="常规 3 7 4 4" xfId="10465"/>
    <cellStyle name="常规 3 7 4 4 2" xfId="29313"/>
    <cellStyle name="常规 3 7 4 5" xfId="19889"/>
    <cellStyle name="常规 3 7 5" xfId="1829"/>
    <cellStyle name="常规 3 7 5 2" xfId="4965"/>
    <cellStyle name="常规 3 7 5 2 2" xfId="14385"/>
    <cellStyle name="常规 3 7 5 2 2 2" xfId="33233"/>
    <cellStyle name="常规 3 7 5 2 3" xfId="23809"/>
    <cellStyle name="常规 3 7 5 3" xfId="8101"/>
    <cellStyle name="常规 3 7 5 3 2" xfId="17521"/>
    <cellStyle name="常规 3 7 5 3 2 2" xfId="36369"/>
    <cellStyle name="常规 3 7 5 3 3" xfId="26945"/>
    <cellStyle name="常规 3 7 5 4" xfId="11249"/>
    <cellStyle name="常规 3 7 5 4 2" xfId="30097"/>
    <cellStyle name="常规 3 7 5 5" xfId="20673"/>
    <cellStyle name="常规 3 7 6" xfId="2613"/>
    <cellStyle name="常规 3 7 6 2" xfId="5749"/>
    <cellStyle name="常规 3 7 6 2 2" xfId="15169"/>
    <cellStyle name="常规 3 7 6 2 2 2" xfId="34017"/>
    <cellStyle name="常规 3 7 6 2 3" xfId="24593"/>
    <cellStyle name="常规 3 7 6 3" xfId="8885"/>
    <cellStyle name="常规 3 7 6 3 2" xfId="18305"/>
    <cellStyle name="常规 3 7 6 3 2 2" xfId="37153"/>
    <cellStyle name="常规 3 7 6 3 3" xfId="27729"/>
    <cellStyle name="常规 3 7 6 4" xfId="12033"/>
    <cellStyle name="常规 3 7 6 4 2" xfId="30881"/>
    <cellStyle name="常规 3 7 6 5" xfId="21457"/>
    <cellStyle name="常规 3 7 7" xfId="3430"/>
    <cellStyle name="常规 3 7 7 2" xfId="12850"/>
    <cellStyle name="常规 3 7 7 2 2" xfId="31698"/>
    <cellStyle name="常规 3 7 7 3" xfId="22274"/>
    <cellStyle name="常规 3 7 8" xfId="6533"/>
    <cellStyle name="常规 3 7 8 2" xfId="15953"/>
    <cellStyle name="常规 3 7 8 2 2" xfId="34801"/>
    <cellStyle name="常规 3 7 8 3" xfId="25377"/>
    <cellStyle name="常规 3 7 9" xfId="9680"/>
    <cellStyle name="常规 3 7 9 2" xfId="28525"/>
    <cellStyle name="常规 3 8" xfId="259"/>
    <cellStyle name="常规 3 8 2" xfId="657"/>
    <cellStyle name="常规 3 8 2 2" xfId="1441"/>
    <cellStyle name="常规 3 8 2 2 2" xfId="4577"/>
    <cellStyle name="常规 3 8 2 2 2 2" xfId="13997"/>
    <cellStyle name="常规 3 8 2 2 2 2 2" xfId="32845"/>
    <cellStyle name="常规 3 8 2 2 2 3" xfId="23421"/>
    <cellStyle name="常规 3 8 2 2 3" xfId="7713"/>
    <cellStyle name="常规 3 8 2 2 3 2" xfId="17133"/>
    <cellStyle name="常规 3 8 2 2 3 2 2" xfId="35981"/>
    <cellStyle name="常规 3 8 2 2 3 3" xfId="26557"/>
    <cellStyle name="常规 3 8 2 2 4" xfId="10861"/>
    <cellStyle name="常规 3 8 2 2 4 2" xfId="29709"/>
    <cellStyle name="常规 3 8 2 2 5" xfId="20285"/>
    <cellStyle name="常规 3 8 2 3" xfId="2225"/>
    <cellStyle name="常规 3 8 2 3 2" xfId="5361"/>
    <cellStyle name="常规 3 8 2 3 2 2" xfId="14781"/>
    <cellStyle name="常规 3 8 2 3 2 2 2" xfId="33629"/>
    <cellStyle name="常规 3 8 2 3 2 3" xfId="24205"/>
    <cellStyle name="常规 3 8 2 3 3" xfId="8497"/>
    <cellStyle name="常规 3 8 2 3 3 2" xfId="17917"/>
    <cellStyle name="常规 3 8 2 3 3 2 2" xfId="36765"/>
    <cellStyle name="常规 3 8 2 3 3 3" xfId="27341"/>
    <cellStyle name="常规 3 8 2 3 4" xfId="11645"/>
    <cellStyle name="常规 3 8 2 3 4 2" xfId="30493"/>
    <cellStyle name="常规 3 8 2 3 5" xfId="21069"/>
    <cellStyle name="常规 3 8 2 4" xfId="3009"/>
    <cellStyle name="常规 3 8 2 4 2" xfId="6145"/>
    <cellStyle name="常规 3 8 2 4 2 2" xfId="15565"/>
    <cellStyle name="常规 3 8 2 4 2 2 2" xfId="34413"/>
    <cellStyle name="常规 3 8 2 4 2 3" xfId="24989"/>
    <cellStyle name="常规 3 8 2 4 3" xfId="9281"/>
    <cellStyle name="常规 3 8 2 4 3 2" xfId="18701"/>
    <cellStyle name="常规 3 8 2 4 3 2 2" xfId="37549"/>
    <cellStyle name="常规 3 8 2 4 3 3" xfId="28125"/>
    <cellStyle name="常规 3 8 2 4 4" xfId="12429"/>
    <cellStyle name="常规 3 8 2 4 4 2" xfId="31277"/>
    <cellStyle name="常规 3 8 2 4 5" xfId="21853"/>
    <cellStyle name="常规 3 8 2 5" xfId="3793"/>
    <cellStyle name="常规 3 8 2 5 2" xfId="13213"/>
    <cellStyle name="常规 3 8 2 5 2 2" xfId="32061"/>
    <cellStyle name="常规 3 8 2 5 3" xfId="22637"/>
    <cellStyle name="常规 3 8 2 6" xfId="6929"/>
    <cellStyle name="常规 3 8 2 6 2" xfId="16349"/>
    <cellStyle name="常规 3 8 2 6 2 2" xfId="35197"/>
    <cellStyle name="常规 3 8 2 6 3" xfId="25773"/>
    <cellStyle name="常规 3 8 2 7" xfId="10077"/>
    <cellStyle name="常规 3 8 2 7 2" xfId="28925"/>
    <cellStyle name="常规 3 8 2 8" xfId="19501"/>
    <cellStyle name="常规 3 8 3" xfId="1047"/>
    <cellStyle name="常规 3 8 3 2" xfId="4183"/>
    <cellStyle name="常规 3 8 3 2 2" xfId="13603"/>
    <cellStyle name="常规 3 8 3 2 2 2" xfId="32451"/>
    <cellStyle name="常规 3 8 3 2 3" xfId="23027"/>
    <cellStyle name="常规 3 8 3 3" xfId="7319"/>
    <cellStyle name="常规 3 8 3 3 2" xfId="16739"/>
    <cellStyle name="常规 3 8 3 3 2 2" xfId="35587"/>
    <cellStyle name="常规 3 8 3 3 3" xfId="26163"/>
    <cellStyle name="常规 3 8 3 4" xfId="10467"/>
    <cellStyle name="常规 3 8 3 4 2" xfId="29315"/>
    <cellStyle name="常规 3 8 3 5" xfId="19891"/>
    <cellStyle name="常规 3 8 4" xfId="1831"/>
    <cellStyle name="常规 3 8 4 2" xfId="4967"/>
    <cellStyle name="常规 3 8 4 2 2" xfId="14387"/>
    <cellStyle name="常规 3 8 4 2 2 2" xfId="33235"/>
    <cellStyle name="常规 3 8 4 2 3" xfId="23811"/>
    <cellStyle name="常规 3 8 4 3" xfId="8103"/>
    <cellStyle name="常规 3 8 4 3 2" xfId="17523"/>
    <cellStyle name="常规 3 8 4 3 2 2" xfId="36371"/>
    <cellStyle name="常规 3 8 4 3 3" xfId="26947"/>
    <cellStyle name="常规 3 8 4 4" xfId="11251"/>
    <cellStyle name="常规 3 8 4 4 2" xfId="30099"/>
    <cellStyle name="常规 3 8 4 5" xfId="20675"/>
    <cellStyle name="常规 3 8 5" xfId="2615"/>
    <cellStyle name="常规 3 8 5 2" xfId="5751"/>
    <cellStyle name="常规 3 8 5 2 2" xfId="15171"/>
    <cellStyle name="常规 3 8 5 2 2 2" xfId="34019"/>
    <cellStyle name="常规 3 8 5 2 3" xfId="24595"/>
    <cellStyle name="常规 3 8 5 3" xfId="8887"/>
    <cellStyle name="常规 3 8 5 3 2" xfId="18307"/>
    <cellStyle name="常规 3 8 5 3 2 2" xfId="37155"/>
    <cellStyle name="常规 3 8 5 3 3" xfId="27731"/>
    <cellStyle name="常规 3 8 5 4" xfId="12035"/>
    <cellStyle name="常规 3 8 5 4 2" xfId="30883"/>
    <cellStyle name="常规 3 8 5 5" xfId="21459"/>
    <cellStyle name="常规 3 8 6" xfId="3432"/>
    <cellStyle name="常规 3 8 6 2" xfId="12852"/>
    <cellStyle name="常规 3 8 6 2 2" xfId="31700"/>
    <cellStyle name="常规 3 8 6 3" xfId="22276"/>
    <cellStyle name="常规 3 8 7" xfId="6535"/>
    <cellStyle name="常规 3 8 7 2" xfId="15955"/>
    <cellStyle name="常规 3 8 7 2 2" xfId="34803"/>
    <cellStyle name="常规 3 8 7 3" xfId="25379"/>
    <cellStyle name="常规 3 8 8" xfId="9682"/>
    <cellStyle name="常规 3 8 8 2" xfId="28527"/>
    <cellStyle name="常规 3 8 9" xfId="19105"/>
    <cellStyle name="常规 3 9" xfId="399"/>
    <cellStyle name="常规 3 9 2" xfId="1184"/>
    <cellStyle name="常规 3 9 2 2" xfId="4320"/>
    <cellStyle name="常规 3 9 2 2 2" xfId="13740"/>
    <cellStyle name="常规 3 9 2 2 2 2" xfId="32588"/>
    <cellStyle name="常规 3 9 2 2 3" xfId="23164"/>
    <cellStyle name="常规 3 9 2 3" xfId="7456"/>
    <cellStyle name="常规 3 9 2 3 2" xfId="16876"/>
    <cellStyle name="常规 3 9 2 3 2 2" xfId="35724"/>
    <cellStyle name="常规 3 9 2 3 3" xfId="26300"/>
    <cellStyle name="常规 3 9 2 4" xfId="10604"/>
    <cellStyle name="常规 3 9 2 4 2" xfId="29452"/>
    <cellStyle name="常规 3 9 2 5" xfId="20028"/>
    <cellStyle name="常规 3 9 3" xfId="1968"/>
    <cellStyle name="常规 3 9 3 2" xfId="5104"/>
    <cellStyle name="常规 3 9 3 2 2" xfId="14524"/>
    <cellStyle name="常规 3 9 3 2 2 2" xfId="33372"/>
    <cellStyle name="常规 3 9 3 2 3" xfId="23948"/>
    <cellStyle name="常规 3 9 3 3" xfId="8240"/>
    <cellStyle name="常规 3 9 3 3 2" xfId="17660"/>
    <cellStyle name="常规 3 9 3 3 2 2" xfId="36508"/>
    <cellStyle name="常规 3 9 3 3 3" xfId="27084"/>
    <cellStyle name="常规 3 9 3 4" xfId="11388"/>
    <cellStyle name="常规 3 9 3 4 2" xfId="30236"/>
    <cellStyle name="常规 3 9 3 5" xfId="20812"/>
    <cellStyle name="常规 3 9 4" xfId="2752"/>
    <cellStyle name="常规 3 9 4 2" xfId="5888"/>
    <cellStyle name="常规 3 9 4 2 2" xfId="15308"/>
    <cellStyle name="常规 3 9 4 2 2 2" xfId="34156"/>
    <cellStyle name="常规 3 9 4 2 3" xfId="24732"/>
    <cellStyle name="常规 3 9 4 3" xfId="9024"/>
    <cellStyle name="常规 3 9 4 3 2" xfId="18444"/>
    <cellStyle name="常规 3 9 4 3 2 2" xfId="37292"/>
    <cellStyle name="常规 3 9 4 3 3" xfId="27868"/>
    <cellStyle name="常规 3 9 4 4" xfId="12172"/>
    <cellStyle name="常规 3 9 4 4 2" xfId="31020"/>
    <cellStyle name="常规 3 9 4 5" xfId="21596"/>
    <cellStyle name="常规 3 9 5" xfId="3536"/>
    <cellStyle name="常规 3 9 5 2" xfId="12956"/>
    <cellStyle name="常规 3 9 5 2 2" xfId="31804"/>
    <cellStyle name="常规 3 9 5 3" xfId="22380"/>
    <cellStyle name="常规 3 9 6" xfId="6672"/>
    <cellStyle name="常规 3 9 6 2" xfId="16092"/>
    <cellStyle name="常规 3 9 6 2 2" xfId="34940"/>
    <cellStyle name="常规 3 9 6 3" xfId="25516"/>
    <cellStyle name="常规 3 9 7" xfId="9820"/>
    <cellStyle name="常规 3 9 7 2" xfId="28667"/>
    <cellStyle name="常规 3 9 8" xfId="19244"/>
    <cellStyle name="常规 4" xfId="260"/>
    <cellStyle name="常规 4 10" xfId="394"/>
    <cellStyle name="常规 4 10 2" xfId="1181"/>
    <cellStyle name="常规 4 10 2 2" xfId="4317"/>
    <cellStyle name="常规 4 10 2 2 2" xfId="13737"/>
    <cellStyle name="常规 4 10 2 2 2 2" xfId="32585"/>
    <cellStyle name="常规 4 10 2 2 3" xfId="23161"/>
    <cellStyle name="常规 4 10 2 3" xfId="7453"/>
    <cellStyle name="常规 4 10 2 3 2" xfId="16873"/>
    <cellStyle name="常规 4 10 2 3 2 2" xfId="35721"/>
    <cellStyle name="常规 4 10 2 3 3" xfId="26297"/>
    <cellStyle name="常规 4 10 2 4" xfId="10601"/>
    <cellStyle name="常规 4 10 2 4 2" xfId="29449"/>
    <cellStyle name="常规 4 10 2 5" xfId="20025"/>
    <cellStyle name="常规 4 10 3" xfId="1965"/>
    <cellStyle name="常规 4 10 3 2" xfId="5101"/>
    <cellStyle name="常规 4 10 3 2 2" xfId="14521"/>
    <cellStyle name="常规 4 10 3 2 2 2" xfId="33369"/>
    <cellStyle name="常规 4 10 3 2 3" xfId="23945"/>
    <cellStyle name="常规 4 10 3 3" xfId="8237"/>
    <cellStyle name="常规 4 10 3 3 2" xfId="17657"/>
    <cellStyle name="常规 4 10 3 3 2 2" xfId="36505"/>
    <cellStyle name="常规 4 10 3 3 3" xfId="27081"/>
    <cellStyle name="常规 4 10 3 4" xfId="11385"/>
    <cellStyle name="常规 4 10 3 4 2" xfId="30233"/>
    <cellStyle name="常规 4 10 3 5" xfId="20809"/>
    <cellStyle name="常规 4 10 4" xfId="2749"/>
    <cellStyle name="常规 4 10 4 2" xfId="5885"/>
    <cellStyle name="常规 4 10 4 2 2" xfId="15305"/>
    <cellStyle name="常规 4 10 4 2 2 2" xfId="34153"/>
    <cellStyle name="常规 4 10 4 2 3" xfId="24729"/>
    <cellStyle name="常规 4 10 4 3" xfId="9021"/>
    <cellStyle name="常规 4 10 4 3 2" xfId="18441"/>
    <cellStyle name="常规 4 10 4 3 2 2" xfId="37289"/>
    <cellStyle name="常规 4 10 4 3 3" xfId="27865"/>
    <cellStyle name="常规 4 10 4 4" xfId="12169"/>
    <cellStyle name="常规 4 10 4 4 2" xfId="31017"/>
    <cellStyle name="常规 4 10 4 5" xfId="21593"/>
    <cellStyle name="常规 4 10 5" xfId="3533"/>
    <cellStyle name="常规 4 10 5 2" xfId="12953"/>
    <cellStyle name="常规 4 10 5 2 2" xfId="31801"/>
    <cellStyle name="常规 4 10 5 3" xfId="22377"/>
    <cellStyle name="常规 4 10 6" xfId="6669"/>
    <cellStyle name="常规 4 10 6 2" xfId="16089"/>
    <cellStyle name="常规 4 10 6 2 2" xfId="34937"/>
    <cellStyle name="常规 4 10 6 3" xfId="25513"/>
    <cellStyle name="常规 4 10 7" xfId="9817"/>
    <cellStyle name="常规 4 10 7 2" xfId="28662"/>
    <cellStyle name="常规 4 10 8" xfId="19239"/>
    <cellStyle name="常规 4 11" xfId="1048"/>
    <cellStyle name="常规 4 11 2" xfId="4184"/>
    <cellStyle name="常规 4 11 2 2" xfId="13604"/>
    <cellStyle name="常规 4 11 2 2 2" xfId="32452"/>
    <cellStyle name="常规 4 11 2 3" xfId="23028"/>
    <cellStyle name="常规 4 11 3" xfId="7320"/>
    <cellStyle name="常规 4 11 3 2" xfId="16740"/>
    <cellStyle name="常规 4 11 3 2 2" xfId="35588"/>
    <cellStyle name="常规 4 11 3 3" xfId="26164"/>
    <cellStyle name="常规 4 11 4" xfId="10468"/>
    <cellStyle name="常规 4 11 4 2" xfId="29316"/>
    <cellStyle name="常规 4 11 5" xfId="19892"/>
    <cellStyle name="常规 4 12" xfId="1832"/>
    <cellStyle name="常规 4 12 2" xfId="4968"/>
    <cellStyle name="常规 4 12 2 2" xfId="14388"/>
    <cellStyle name="常规 4 12 2 2 2" xfId="33236"/>
    <cellStyle name="常规 4 12 2 3" xfId="23812"/>
    <cellStyle name="常规 4 12 3" xfId="8104"/>
    <cellStyle name="常规 4 12 3 2" xfId="17524"/>
    <cellStyle name="常规 4 12 3 2 2" xfId="36372"/>
    <cellStyle name="常规 4 12 3 3" xfId="26948"/>
    <cellStyle name="常规 4 12 4" xfId="11252"/>
    <cellStyle name="常规 4 12 4 2" xfId="30100"/>
    <cellStyle name="常规 4 12 5" xfId="20676"/>
    <cellStyle name="常规 4 13" xfId="2616"/>
    <cellStyle name="常规 4 13 2" xfId="5752"/>
    <cellStyle name="常规 4 13 2 2" xfId="15172"/>
    <cellStyle name="常规 4 13 2 2 2" xfId="34020"/>
    <cellStyle name="常规 4 13 2 3" xfId="24596"/>
    <cellStyle name="常规 4 13 3" xfId="8888"/>
    <cellStyle name="常规 4 13 3 2" xfId="18308"/>
    <cellStyle name="常规 4 13 3 2 2" xfId="37156"/>
    <cellStyle name="常规 4 13 3 3" xfId="27732"/>
    <cellStyle name="常规 4 13 4" xfId="12036"/>
    <cellStyle name="常规 4 13 4 2" xfId="30884"/>
    <cellStyle name="常规 4 13 5" xfId="21460"/>
    <cellStyle name="常规 4 14" xfId="3144"/>
    <cellStyle name="常规 4 14 2" xfId="12564"/>
    <cellStyle name="常规 4 14 2 2" xfId="31412"/>
    <cellStyle name="常规 4 14 3" xfId="21988"/>
    <cellStyle name="常规 4 15" xfId="6536"/>
    <cellStyle name="常规 4 15 2" xfId="15956"/>
    <cellStyle name="常规 4 15 2 2" xfId="34804"/>
    <cellStyle name="常规 4 15 3" xfId="25380"/>
    <cellStyle name="常规 4 16" xfId="9683"/>
    <cellStyle name="常规 4 16 2" xfId="19106"/>
    <cellStyle name="常规 4 16 2 2" xfId="28528"/>
    <cellStyle name="常规 4 17" xfId="9414"/>
    <cellStyle name="常规 4 17 2" xfId="28258"/>
    <cellStyle name="常规 4 2" xfId="261"/>
    <cellStyle name="常规 4 2 10" xfId="1833"/>
    <cellStyle name="常规 4 2 10 2" xfId="4969"/>
    <cellStyle name="常规 4 2 10 2 2" xfId="14389"/>
    <cellStyle name="常规 4 2 10 2 2 2" xfId="33237"/>
    <cellStyle name="常规 4 2 10 2 3" xfId="23813"/>
    <cellStyle name="常规 4 2 10 3" xfId="8105"/>
    <cellStyle name="常规 4 2 10 3 2" xfId="17525"/>
    <cellStyle name="常规 4 2 10 3 2 2" xfId="36373"/>
    <cellStyle name="常规 4 2 10 3 3" xfId="26949"/>
    <cellStyle name="常规 4 2 10 4" xfId="11253"/>
    <cellStyle name="常规 4 2 10 4 2" xfId="30101"/>
    <cellStyle name="常规 4 2 10 5" xfId="20677"/>
    <cellStyle name="常规 4 2 11" xfId="2617"/>
    <cellStyle name="常规 4 2 11 2" xfId="5753"/>
    <cellStyle name="常规 4 2 11 2 2" xfId="15173"/>
    <cellStyle name="常规 4 2 11 2 2 2" xfId="34021"/>
    <cellStyle name="常规 4 2 11 2 3" xfId="24597"/>
    <cellStyle name="常规 4 2 11 3" xfId="8889"/>
    <cellStyle name="常规 4 2 11 3 2" xfId="18309"/>
    <cellStyle name="常规 4 2 11 3 2 2" xfId="37157"/>
    <cellStyle name="常规 4 2 11 3 3" xfId="27733"/>
    <cellStyle name="常规 4 2 11 4" xfId="12037"/>
    <cellStyle name="常规 4 2 11 4 2" xfId="30885"/>
    <cellStyle name="常规 4 2 11 5" xfId="21461"/>
    <cellStyle name="常规 4 2 12" xfId="3147"/>
    <cellStyle name="常规 4 2 12 2" xfId="12567"/>
    <cellStyle name="常规 4 2 12 2 2" xfId="31415"/>
    <cellStyle name="常规 4 2 12 3" xfId="21991"/>
    <cellStyle name="常规 4 2 13" xfId="6537"/>
    <cellStyle name="常规 4 2 13 2" xfId="15957"/>
    <cellStyle name="常规 4 2 13 2 2" xfId="34805"/>
    <cellStyle name="常规 4 2 13 3" xfId="25381"/>
    <cellStyle name="常规 4 2 14" xfId="9684"/>
    <cellStyle name="常规 4 2 14 2" xfId="28529"/>
    <cellStyle name="常规 4 2 15" xfId="19107"/>
    <cellStyle name="常规 4 2 2" xfId="262"/>
    <cellStyle name="常规 4 2 2 10" xfId="2618"/>
    <cellStyle name="常规 4 2 2 10 2" xfId="5754"/>
    <cellStyle name="常规 4 2 2 10 2 2" xfId="15174"/>
    <cellStyle name="常规 4 2 2 10 2 2 2" xfId="34022"/>
    <cellStyle name="常规 4 2 2 10 2 3" xfId="24598"/>
    <cellStyle name="常规 4 2 2 10 3" xfId="8890"/>
    <cellStyle name="常规 4 2 2 10 3 2" xfId="18310"/>
    <cellStyle name="常规 4 2 2 10 3 2 2" xfId="37158"/>
    <cellStyle name="常规 4 2 2 10 3 3" xfId="27734"/>
    <cellStyle name="常规 4 2 2 10 4" xfId="12038"/>
    <cellStyle name="常规 4 2 2 10 4 2" xfId="30886"/>
    <cellStyle name="常规 4 2 2 10 5" xfId="21462"/>
    <cellStyle name="常规 4 2 2 11" xfId="3176"/>
    <cellStyle name="常规 4 2 2 11 2" xfId="12596"/>
    <cellStyle name="常规 4 2 2 11 2 2" xfId="31444"/>
    <cellStyle name="常规 4 2 2 11 3" xfId="22020"/>
    <cellStyle name="常规 4 2 2 12" xfId="6538"/>
    <cellStyle name="常规 4 2 2 12 2" xfId="15958"/>
    <cellStyle name="常规 4 2 2 12 2 2" xfId="34806"/>
    <cellStyle name="常规 4 2 2 12 3" xfId="25382"/>
    <cellStyle name="常规 4 2 2 13" xfId="9685"/>
    <cellStyle name="常规 4 2 2 13 2" xfId="28530"/>
    <cellStyle name="常规 4 2 2 14" xfId="19108"/>
    <cellStyle name="常规 4 2 2 2" xfId="263"/>
    <cellStyle name="常规 4 2 2 2 10" xfId="3177"/>
    <cellStyle name="常规 4 2 2 2 10 2" xfId="12597"/>
    <cellStyle name="常规 4 2 2 2 10 2 2" xfId="31445"/>
    <cellStyle name="常规 4 2 2 2 10 3" xfId="22021"/>
    <cellStyle name="常规 4 2 2 2 11" xfId="6539"/>
    <cellStyle name="常规 4 2 2 2 11 2" xfId="15959"/>
    <cellStyle name="常规 4 2 2 2 11 2 2" xfId="34807"/>
    <cellStyle name="常规 4 2 2 2 11 3" xfId="25383"/>
    <cellStyle name="常规 4 2 2 2 12" xfId="9686"/>
    <cellStyle name="常规 4 2 2 2 12 2" xfId="28531"/>
    <cellStyle name="常规 4 2 2 2 13" xfId="19109"/>
    <cellStyle name="常规 4 2 2 2 2" xfId="264"/>
    <cellStyle name="常规 4 2 2 2 2 10" xfId="6540"/>
    <cellStyle name="常规 4 2 2 2 2 10 2" xfId="15960"/>
    <cellStyle name="常规 4 2 2 2 2 10 2 2" xfId="34808"/>
    <cellStyle name="常规 4 2 2 2 2 10 3" xfId="25384"/>
    <cellStyle name="常规 4 2 2 2 2 11" xfId="9687"/>
    <cellStyle name="常规 4 2 2 2 2 11 2" xfId="28532"/>
    <cellStyle name="常规 4 2 2 2 2 12" xfId="19110"/>
    <cellStyle name="常规 4 2 2 2 2 2" xfId="265"/>
    <cellStyle name="常规 4 2 2 2 2 2 10" xfId="9688"/>
    <cellStyle name="常规 4 2 2 2 2 2 10 2" xfId="28533"/>
    <cellStyle name="常规 4 2 2 2 2 2 11" xfId="19111"/>
    <cellStyle name="常规 4 2 2 2 2 2 2" xfId="266"/>
    <cellStyle name="常规 4 2 2 2 2 2 2 10" xfId="19112"/>
    <cellStyle name="常规 4 2 2 2 2 2 2 2" xfId="267"/>
    <cellStyle name="常规 4 2 2 2 2 2 2 2 2" xfId="663"/>
    <cellStyle name="常规 4 2 2 2 2 2 2 2 2 2" xfId="1447"/>
    <cellStyle name="常规 4 2 2 2 2 2 2 2 2 2 2" xfId="4583"/>
    <cellStyle name="常规 4 2 2 2 2 2 2 2 2 2 2 2" xfId="14003"/>
    <cellStyle name="常规 4 2 2 2 2 2 2 2 2 2 2 2 2" xfId="32851"/>
    <cellStyle name="常规 4 2 2 2 2 2 2 2 2 2 2 3" xfId="23427"/>
    <cellStyle name="常规 4 2 2 2 2 2 2 2 2 2 3" xfId="7719"/>
    <cellStyle name="常规 4 2 2 2 2 2 2 2 2 2 3 2" xfId="17139"/>
    <cellStyle name="常规 4 2 2 2 2 2 2 2 2 2 3 2 2" xfId="35987"/>
    <cellStyle name="常规 4 2 2 2 2 2 2 2 2 2 3 3" xfId="26563"/>
    <cellStyle name="常规 4 2 2 2 2 2 2 2 2 2 4" xfId="10867"/>
    <cellStyle name="常规 4 2 2 2 2 2 2 2 2 2 4 2" xfId="29715"/>
    <cellStyle name="常规 4 2 2 2 2 2 2 2 2 2 5" xfId="20291"/>
    <cellStyle name="常规 4 2 2 2 2 2 2 2 2 3" xfId="2231"/>
    <cellStyle name="常规 4 2 2 2 2 2 2 2 2 3 2" xfId="5367"/>
    <cellStyle name="常规 4 2 2 2 2 2 2 2 2 3 2 2" xfId="14787"/>
    <cellStyle name="常规 4 2 2 2 2 2 2 2 2 3 2 2 2" xfId="33635"/>
    <cellStyle name="常规 4 2 2 2 2 2 2 2 2 3 2 3" xfId="24211"/>
    <cellStyle name="常规 4 2 2 2 2 2 2 2 2 3 3" xfId="8503"/>
    <cellStyle name="常规 4 2 2 2 2 2 2 2 2 3 3 2" xfId="17923"/>
    <cellStyle name="常规 4 2 2 2 2 2 2 2 2 3 3 2 2" xfId="36771"/>
    <cellStyle name="常规 4 2 2 2 2 2 2 2 2 3 3 3" xfId="27347"/>
    <cellStyle name="常规 4 2 2 2 2 2 2 2 2 3 4" xfId="11651"/>
    <cellStyle name="常规 4 2 2 2 2 2 2 2 2 3 4 2" xfId="30499"/>
    <cellStyle name="常规 4 2 2 2 2 2 2 2 2 3 5" xfId="21075"/>
    <cellStyle name="常规 4 2 2 2 2 2 2 2 2 4" xfId="3015"/>
    <cellStyle name="常规 4 2 2 2 2 2 2 2 2 4 2" xfId="6151"/>
    <cellStyle name="常规 4 2 2 2 2 2 2 2 2 4 2 2" xfId="15571"/>
    <cellStyle name="常规 4 2 2 2 2 2 2 2 2 4 2 2 2" xfId="34419"/>
    <cellStyle name="常规 4 2 2 2 2 2 2 2 2 4 2 3" xfId="24995"/>
    <cellStyle name="常规 4 2 2 2 2 2 2 2 2 4 3" xfId="9287"/>
    <cellStyle name="常规 4 2 2 2 2 2 2 2 2 4 3 2" xfId="18707"/>
    <cellStyle name="常规 4 2 2 2 2 2 2 2 2 4 3 2 2" xfId="37555"/>
    <cellStyle name="常规 4 2 2 2 2 2 2 2 2 4 3 3" xfId="28131"/>
    <cellStyle name="常规 4 2 2 2 2 2 2 2 2 4 4" xfId="12435"/>
    <cellStyle name="常规 4 2 2 2 2 2 2 2 2 4 4 2" xfId="31283"/>
    <cellStyle name="常规 4 2 2 2 2 2 2 2 2 4 5" xfId="21859"/>
    <cellStyle name="常规 4 2 2 2 2 2 2 2 2 5" xfId="3799"/>
    <cellStyle name="常规 4 2 2 2 2 2 2 2 2 5 2" xfId="13219"/>
    <cellStyle name="常规 4 2 2 2 2 2 2 2 2 5 2 2" xfId="32067"/>
    <cellStyle name="常规 4 2 2 2 2 2 2 2 2 5 3" xfId="22643"/>
    <cellStyle name="常规 4 2 2 2 2 2 2 2 2 6" xfId="6935"/>
    <cellStyle name="常规 4 2 2 2 2 2 2 2 2 6 2" xfId="16355"/>
    <cellStyle name="常规 4 2 2 2 2 2 2 2 2 6 2 2" xfId="35203"/>
    <cellStyle name="常规 4 2 2 2 2 2 2 2 2 6 3" xfId="25779"/>
    <cellStyle name="常规 4 2 2 2 2 2 2 2 2 7" xfId="10083"/>
    <cellStyle name="常规 4 2 2 2 2 2 2 2 2 7 2" xfId="28931"/>
    <cellStyle name="常规 4 2 2 2 2 2 2 2 2 8" xfId="19507"/>
    <cellStyle name="常规 4 2 2 2 2 2 2 2 3" xfId="1055"/>
    <cellStyle name="常规 4 2 2 2 2 2 2 2 3 2" xfId="4191"/>
    <cellStyle name="常规 4 2 2 2 2 2 2 2 3 2 2" xfId="13611"/>
    <cellStyle name="常规 4 2 2 2 2 2 2 2 3 2 2 2" xfId="32459"/>
    <cellStyle name="常规 4 2 2 2 2 2 2 2 3 2 3" xfId="23035"/>
    <cellStyle name="常规 4 2 2 2 2 2 2 2 3 3" xfId="7327"/>
    <cellStyle name="常规 4 2 2 2 2 2 2 2 3 3 2" xfId="16747"/>
    <cellStyle name="常规 4 2 2 2 2 2 2 2 3 3 2 2" xfId="35595"/>
    <cellStyle name="常规 4 2 2 2 2 2 2 2 3 3 3" xfId="26171"/>
    <cellStyle name="常规 4 2 2 2 2 2 2 2 3 4" xfId="10475"/>
    <cellStyle name="常规 4 2 2 2 2 2 2 2 3 4 2" xfId="29323"/>
    <cellStyle name="常规 4 2 2 2 2 2 2 2 3 5" xfId="19899"/>
    <cellStyle name="常规 4 2 2 2 2 2 2 2 4" xfId="1839"/>
    <cellStyle name="常规 4 2 2 2 2 2 2 2 4 2" xfId="4975"/>
    <cellStyle name="常规 4 2 2 2 2 2 2 2 4 2 2" xfId="14395"/>
    <cellStyle name="常规 4 2 2 2 2 2 2 2 4 2 2 2" xfId="33243"/>
    <cellStyle name="常规 4 2 2 2 2 2 2 2 4 2 3" xfId="23819"/>
    <cellStyle name="常规 4 2 2 2 2 2 2 2 4 3" xfId="8111"/>
    <cellStyle name="常规 4 2 2 2 2 2 2 2 4 3 2" xfId="17531"/>
    <cellStyle name="常规 4 2 2 2 2 2 2 2 4 3 2 2" xfId="36379"/>
    <cellStyle name="常规 4 2 2 2 2 2 2 2 4 3 3" xfId="26955"/>
    <cellStyle name="常规 4 2 2 2 2 2 2 2 4 4" xfId="11259"/>
    <cellStyle name="常规 4 2 2 2 2 2 2 2 4 4 2" xfId="30107"/>
    <cellStyle name="常规 4 2 2 2 2 2 2 2 4 5" xfId="20683"/>
    <cellStyle name="常规 4 2 2 2 2 2 2 2 5" xfId="2623"/>
    <cellStyle name="常规 4 2 2 2 2 2 2 2 5 2" xfId="5759"/>
    <cellStyle name="常规 4 2 2 2 2 2 2 2 5 2 2" xfId="15179"/>
    <cellStyle name="常规 4 2 2 2 2 2 2 2 5 2 2 2" xfId="34027"/>
    <cellStyle name="常规 4 2 2 2 2 2 2 2 5 2 3" xfId="24603"/>
    <cellStyle name="常规 4 2 2 2 2 2 2 2 5 3" xfId="8895"/>
    <cellStyle name="常规 4 2 2 2 2 2 2 2 5 3 2" xfId="18315"/>
    <cellStyle name="常规 4 2 2 2 2 2 2 2 5 3 2 2" xfId="37163"/>
    <cellStyle name="常规 4 2 2 2 2 2 2 2 5 3 3" xfId="27739"/>
    <cellStyle name="常规 4 2 2 2 2 2 2 2 5 4" xfId="12043"/>
    <cellStyle name="常规 4 2 2 2 2 2 2 2 5 4 2" xfId="30891"/>
    <cellStyle name="常规 4 2 2 2 2 2 2 2 5 5" xfId="21467"/>
    <cellStyle name="常规 4 2 2 2 2 2 2 2 6" xfId="3434"/>
    <cellStyle name="常规 4 2 2 2 2 2 2 2 6 2" xfId="12854"/>
    <cellStyle name="常规 4 2 2 2 2 2 2 2 6 2 2" xfId="31702"/>
    <cellStyle name="常规 4 2 2 2 2 2 2 2 6 3" xfId="22278"/>
    <cellStyle name="常规 4 2 2 2 2 2 2 2 7" xfId="6543"/>
    <cellStyle name="常规 4 2 2 2 2 2 2 2 7 2" xfId="15963"/>
    <cellStyle name="常规 4 2 2 2 2 2 2 2 7 2 2" xfId="34811"/>
    <cellStyle name="常规 4 2 2 2 2 2 2 2 7 3" xfId="25387"/>
    <cellStyle name="常规 4 2 2 2 2 2 2 2 8" xfId="9690"/>
    <cellStyle name="常规 4 2 2 2 2 2 2 2 8 2" xfId="28535"/>
    <cellStyle name="常规 4 2 2 2 2 2 2 2 9" xfId="19113"/>
    <cellStyle name="常规 4 2 2 2 2 2 2 3" xfId="662"/>
    <cellStyle name="常规 4 2 2 2 2 2 2 3 2" xfId="1446"/>
    <cellStyle name="常规 4 2 2 2 2 2 2 3 2 2" xfId="4582"/>
    <cellStyle name="常规 4 2 2 2 2 2 2 3 2 2 2" xfId="14002"/>
    <cellStyle name="常规 4 2 2 2 2 2 2 3 2 2 2 2" xfId="32850"/>
    <cellStyle name="常规 4 2 2 2 2 2 2 3 2 2 3" xfId="23426"/>
    <cellStyle name="常规 4 2 2 2 2 2 2 3 2 3" xfId="7718"/>
    <cellStyle name="常规 4 2 2 2 2 2 2 3 2 3 2" xfId="17138"/>
    <cellStyle name="常规 4 2 2 2 2 2 2 3 2 3 2 2" xfId="35986"/>
    <cellStyle name="常规 4 2 2 2 2 2 2 3 2 3 3" xfId="26562"/>
    <cellStyle name="常规 4 2 2 2 2 2 2 3 2 4" xfId="10866"/>
    <cellStyle name="常规 4 2 2 2 2 2 2 3 2 4 2" xfId="29714"/>
    <cellStyle name="常规 4 2 2 2 2 2 2 3 2 5" xfId="20290"/>
    <cellStyle name="常规 4 2 2 2 2 2 2 3 3" xfId="2230"/>
    <cellStyle name="常规 4 2 2 2 2 2 2 3 3 2" xfId="5366"/>
    <cellStyle name="常规 4 2 2 2 2 2 2 3 3 2 2" xfId="14786"/>
    <cellStyle name="常规 4 2 2 2 2 2 2 3 3 2 2 2" xfId="33634"/>
    <cellStyle name="常规 4 2 2 2 2 2 2 3 3 2 3" xfId="24210"/>
    <cellStyle name="常规 4 2 2 2 2 2 2 3 3 3" xfId="8502"/>
    <cellStyle name="常规 4 2 2 2 2 2 2 3 3 3 2" xfId="17922"/>
    <cellStyle name="常规 4 2 2 2 2 2 2 3 3 3 2 2" xfId="36770"/>
    <cellStyle name="常规 4 2 2 2 2 2 2 3 3 3 3" xfId="27346"/>
    <cellStyle name="常规 4 2 2 2 2 2 2 3 3 4" xfId="11650"/>
    <cellStyle name="常规 4 2 2 2 2 2 2 3 3 4 2" xfId="30498"/>
    <cellStyle name="常规 4 2 2 2 2 2 2 3 3 5" xfId="21074"/>
    <cellStyle name="常规 4 2 2 2 2 2 2 3 4" xfId="3014"/>
    <cellStyle name="常规 4 2 2 2 2 2 2 3 4 2" xfId="6150"/>
    <cellStyle name="常规 4 2 2 2 2 2 2 3 4 2 2" xfId="15570"/>
    <cellStyle name="常规 4 2 2 2 2 2 2 3 4 2 2 2" xfId="34418"/>
    <cellStyle name="常规 4 2 2 2 2 2 2 3 4 2 3" xfId="24994"/>
    <cellStyle name="常规 4 2 2 2 2 2 2 3 4 3" xfId="9286"/>
    <cellStyle name="常规 4 2 2 2 2 2 2 3 4 3 2" xfId="18706"/>
    <cellStyle name="常规 4 2 2 2 2 2 2 3 4 3 2 2" xfId="37554"/>
    <cellStyle name="常规 4 2 2 2 2 2 2 3 4 3 3" xfId="28130"/>
    <cellStyle name="常规 4 2 2 2 2 2 2 3 4 4" xfId="12434"/>
    <cellStyle name="常规 4 2 2 2 2 2 2 3 4 4 2" xfId="31282"/>
    <cellStyle name="常规 4 2 2 2 2 2 2 3 4 5" xfId="21858"/>
    <cellStyle name="常规 4 2 2 2 2 2 2 3 5" xfId="3798"/>
    <cellStyle name="常规 4 2 2 2 2 2 2 3 5 2" xfId="13218"/>
    <cellStyle name="常规 4 2 2 2 2 2 2 3 5 2 2" xfId="32066"/>
    <cellStyle name="常规 4 2 2 2 2 2 2 3 5 3" xfId="22642"/>
    <cellStyle name="常规 4 2 2 2 2 2 2 3 6" xfId="6934"/>
    <cellStyle name="常规 4 2 2 2 2 2 2 3 6 2" xfId="16354"/>
    <cellStyle name="常规 4 2 2 2 2 2 2 3 6 2 2" xfId="35202"/>
    <cellStyle name="常规 4 2 2 2 2 2 2 3 6 3" xfId="25778"/>
    <cellStyle name="常规 4 2 2 2 2 2 2 3 7" xfId="10082"/>
    <cellStyle name="常规 4 2 2 2 2 2 2 3 7 2" xfId="28930"/>
    <cellStyle name="常规 4 2 2 2 2 2 2 3 8" xfId="19506"/>
    <cellStyle name="常规 4 2 2 2 2 2 2 4" xfId="1054"/>
    <cellStyle name="常规 4 2 2 2 2 2 2 4 2" xfId="4190"/>
    <cellStyle name="常规 4 2 2 2 2 2 2 4 2 2" xfId="13610"/>
    <cellStyle name="常规 4 2 2 2 2 2 2 4 2 2 2" xfId="32458"/>
    <cellStyle name="常规 4 2 2 2 2 2 2 4 2 3" xfId="23034"/>
    <cellStyle name="常规 4 2 2 2 2 2 2 4 3" xfId="7326"/>
    <cellStyle name="常规 4 2 2 2 2 2 2 4 3 2" xfId="16746"/>
    <cellStyle name="常规 4 2 2 2 2 2 2 4 3 2 2" xfId="35594"/>
    <cellStyle name="常规 4 2 2 2 2 2 2 4 3 3" xfId="26170"/>
    <cellStyle name="常规 4 2 2 2 2 2 2 4 4" xfId="10474"/>
    <cellStyle name="常规 4 2 2 2 2 2 2 4 4 2" xfId="29322"/>
    <cellStyle name="常规 4 2 2 2 2 2 2 4 5" xfId="19898"/>
    <cellStyle name="常规 4 2 2 2 2 2 2 5" xfId="1838"/>
    <cellStyle name="常规 4 2 2 2 2 2 2 5 2" xfId="4974"/>
    <cellStyle name="常规 4 2 2 2 2 2 2 5 2 2" xfId="14394"/>
    <cellStyle name="常规 4 2 2 2 2 2 2 5 2 2 2" xfId="33242"/>
    <cellStyle name="常规 4 2 2 2 2 2 2 5 2 3" xfId="23818"/>
    <cellStyle name="常规 4 2 2 2 2 2 2 5 3" xfId="8110"/>
    <cellStyle name="常规 4 2 2 2 2 2 2 5 3 2" xfId="17530"/>
    <cellStyle name="常规 4 2 2 2 2 2 2 5 3 2 2" xfId="36378"/>
    <cellStyle name="常规 4 2 2 2 2 2 2 5 3 3" xfId="26954"/>
    <cellStyle name="常规 4 2 2 2 2 2 2 5 4" xfId="11258"/>
    <cellStyle name="常规 4 2 2 2 2 2 2 5 4 2" xfId="30106"/>
    <cellStyle name="常规 4 2 2 2 2 2 2 5 5" xfId="20682"/>
    <cellStyle name="常规 4 2 2 2 2 2 2 6" xfId="2622"/>
    <cellStyle name="常规 4 2 2 2 2 2 2 6 2" xfId="5758"/>
    <cellStyle name="常规 4 2 2 2 2 2 2 6 2 2" xfId="15178"/>
    <cellStyle name="常规 4 2 2 2 2 2 2 6 2 2 2" xfId="34026"/>
    <cellStyle name="常规 4 2 2 2 2 2 2 6 2 3" xfId="24602"/>
    <cellStyle name="常规 4 2 2 2 2 2 2 6 3" xfId="8894"/>
    <cellStyle name="常规 4 2 2 2 2 2 2 6 3 2" xfId="18314"/>
    <cellStyle name="常规 4 2 2 2 2 2 2 6 3 2 2" xfId="37162"/>
    <cellStyle name="常规 4 2 2 2 2 2 2 6 3 3" xfId="27738"/>
    <cellStyle name="常规 4 2 2 2 2 2 2 6 4" xfId="12042"/>
    <cellStyle name="常规 4 2 2 2 2 2 2 6 4 2" xfId="30890"/>
    <cellStyle name="常规 4 2 2 2 2 2 2 6 5" xfId="21466"/>
    <cellStyle name="常规 4 2 2 2 2 2 2 7" xfId="3433"/>
    <cellStyle name="常规 4 2 2 2 2 2 2 7 2" xfId="12853"/>
    <cellStyle name="常规 4 2 2 2 2 2 2 7 2 2" xfId="31701"/>
    <cellStyle name="常规 4 2 2 2 2 2 2 7 3" xfId="22277"/>
    <cellStyle name="常规 4 2 2 2 2 2 2 8" xfId="6542"/>
    <cellStyle name="常规 4 2 2 2 2 2 2 8 2" xfId="15962"/>
    <cellStyle name="常规 4 2 2 2 2 2 2 8 2 2" xfId="34810"/>
    <cellStyle name="常规 4 2 2 2 2 2 2 8 3" xfId="25386"/>
    <cellStyle name="常规 4 2 2 2 2 2 2 9" xfId="9689"/>
    <cellStyle name="常规 4 2 2 2 2 2 2 9 2" xfId="28534"/>
    <cellStyle name="常规 4 2 2 2 2 2 3" xfId="268"/>
    <cellStyle name="常规 4 2 2 2 2 2 3 2" xfId="664"/>
    <cellStyle name="常规 4 2 2 2 2 2 3 2 2" xfId="1448"/>
    <cellStyle name="常规 4 2 2 2 2 2 3 2 2 2" xfId="4584"/>
    <cellStyle name="常规 4 2 2 2 2 2 3 2 2 2 2" xfId="14004"/>
    <cellStyle name="常规 4 2 2 2 2 2 3 2 2 2 2 2" xfId="32852"/>
    <cellStyle name="常规 4 2 2 2 2 2 3 2 2 2 3" xfId="23428"/>
    <cellStyle name="常规 4 2 2 2 2 2 3 2 2 3" xfId="7720"/>
    <cellStyle name="常规 4 2 2 2 2 2 3 2 2 3 2" xfId="17140"/>
    <cellStyle name="常规 4 2 2 2 2 2 3 2 2 3 2 2" xfId="35988"/>
    <cellStyle name="常规 4 2 2 2 2 2 3 2 2 3 3" xfId="26564"/>
    <cellStyle name="常规 4 2 2 2 2 2 3 2 2 4" xfId="10868"/>
    <cellStyle name="常规 4 2 2 2 2 2 3 2 2 4 2" xfId="29716"/>
    <cellStyle name="常规 4 2 2 2 2 2 3 2 2 5" xfId="20292"/>
    <cellStyle name="常规 4 2 2 2 2 2 3 2 3" xfId="2232"/>
    <cellStyle name="常规 4 2 2 2 2 2 3 2 3 2" xfId="5368"/>
    <cellStyle name="常规 4 2 2 2 2 2 3 2 3 2 2" xfId="14788"/>
    <cellStyle name="常规 4 2 2 2 2 2 3 2 3 2 2 2" xfId="33636"/>
    <cellStyle name="常规 4 2 2 2 2 2 3 2 3 2 3" xfId="24212"/>
    <cellStyle name="常规 4 2 2 2 2 2 3 2 3 3" xfId="8504"/>
    <cellStyle name="常规 4 2 2 2 2 2 3 2 3 3 2" xfId="17924"/>
    <cellStyle name="常规 4 2 2 2 2 2 3 2 3 3 2 2" xfId="36772"/>
    <cellStyle name="常规 4 2 2 2 2 2 3 2 3 3 3" xfId="27348"/>
    <cellStyle name="常规 4 2 2 2 2 2 3 2 3 4" xfId="11652"/>
    <cellStyle name="常规 4 2 2 2 2 2 3 2 3 4 2" xfId="30500"/>
    <cellStyle name="常规 4 2 2 2 2 2 3 2 3 5" xfId="21076"/>
    <cellStyle name="常规 4 2 2 2 2 2 3 2 4" xfId="3016"/>
    <cellStyle name="常规 4 2 2 2 2 2 3 2 4 2" xfId="6152"/>
    <cellStyle name="常规 4 2 2 2 2 2 3 2 4 2 2" xfId="15572"/>
    <cellStyle name="常规 4 2 2 2 2 2 3 2 4 2 2 2" xfId="34420"/>
    <cellStyle name="常规 4 2 2 2 2 2 3 2 4 2 3" xfId="24996"/>
    <cellStyle name="常规 4 2 2 2 2 2 3 2 4 3" xfId="9288"/>
    <cellStyle name="常规 4 2 2 2 2 2 3 2 4 3 2" xfId="18708"/>
    <cellStyle name="常规 4 2 2 2 2 2 3 2 4 3 2 2" xfId="37556"/>
    <cellStyle name="常规 4 2 2 2 2 2 3 2 4 3 3" xfId="28132"/>
    <cellStyle name="常规 4 2 2 2 2 2 3 2 4 4" xfId="12436"/>
    <cellStyle name="常规 4 2 2 2 2 2 3 2 4 4 2" xfId="31284"/>
    <cellStyle name="常规 4 2 2 2 2 2 3 2 4 5" xfId="21860"/>
    <cellStyle name="常规 4 2 2 2 2 2 3 2 5" xfId="3800"/>
    <cellStyle name="常规 4 2 2 2 2 2 3 2 5 2" xfId="13220"/>
    <cellStyle name="常规 4 2 2 2 2 2 3 2 5 2 2" xfId="32068"/>
    <cellStyle name="常规 4 2 2 2 2 2 3 2 5 3" xfId="22644"/>
    <cellStyle name="常规 4 2 2 2 2 2 3 2 6" xfId="6936"/>
    <cellStyle name="常规 4 2 2 2 2 2 3 2 6 2" xfId="16356"/>
    <cellStyle name="常规 4 2 2 2 2 2 3 2 6 2 2" xfId="35204"/>
    <cellStyle name="常规 4 2 2 2 2 2 3 2 6 3" xfId="25780"/>
    <cellStyle name="常规 4 2 2 2 2 2 3 2 7" xfId="10084"/>
    <cellStyle name="常规 4 2 2 2 2 2 3 2 7 2" xfId="28932"/>
    <cellStyle name="常规 4 2 2 2 2 2 3 2 8" xfId="19508"/>
    <cellStyle name="常规 4 2 2 2 2 2 3 3" xfId="1056"/>
    <cellStyle name="常规 4 2 2 2 2 2 3 3 2" xfId="4192"/>
    <cellStyle name="常规 4 2 2 2 2 2 3 3 2 2" xfId="13612"/>
    <cellStyle name="常规 4 2 2 2 2 2 3 3 2 2 2" xfId="32460"/>
    <cellStyle name="常规 4 2 2 2 2 2 3 3 2 3" xfId="23036"/>
    <cellStyle name="常规 4 2 2 2 2 2 3 3 3" xfId="7328"/>
    <cellStyle name="常规 4 2 2 2 2 2 3 3 3 2" xfId="16748"/>
    <cellStyle name="常规 4 2 2 2 2 2 3 3 3 2 2" xfId="35596"/>
    <cellStyle name="常规 4 2 2 2 2 2 3 3 3 3" xfId="26172"/>
    <cellStyle name="常规 4 2 2 2 2 2 3 3 4" xfId="10476"/>
    <cellStyle name="常规 4 2 2 2 2 2 3 3 4 2" xfId="29324"/>
    <cellStyle name="常规 4 2 2 2 2 2 3 3 5" xfId="19900"/>
    <cellStyle name="常规 4 2 2 2 2 2 3 4" xfId="1840"/>
    <cellStyle name="常规 4 2 2 2 2 2 3 4 2" xfId="4976"/>
    <cellStyle name="常规 4 2 2 2 2 2 3 4 2 2" xfId="14396"/>
    <cellStyle name="常规 4 2 2 2 2 2 3 4 2 2 2" xfId="33244"/>
    <cellStyle name="常规 4 2 2 2 2 2 3 4 2 3" xfId="23820"/>
    <cellStyle name="常规 4 2 2 2 2 2 3 4 3" xfId="8112"/>
    <cellStyle name="常规 4 2 2 2 2 2 3 4 3 2" xfId="17532"/>
    <cellStyle name="常规 4 2 2 2 2 2 3 4 3 2 2" xfId="36380"/>
    <cellStyle name="常规 4 2 2 2 2 2 3 4 3 3" xfId="26956"/>
    <cellStyle name="常规 4 2 2 2 2 2 3 4 4" xfId="11260"/>
    <cellStyle name="常规 4 2 2 2 2 2 3 4 4 2" xfId="30108"/>
    <cellStyle name="常规 4 2 2 2 2 2 3 4 5" xfId="20684"/>
    <cellStyle name="常规 4 2 2 2 2 2 3 5" xfId="2624"/>
    <cellStyle name="常规 4 2 2 2 2 2 3 5 2" xfId="5760"/>
    <cellStyle name="常规 4 2 2 2 2 2 3 5 2 2" xfId="15180"/>
    <cellStyle name="常规 4 2 2 2 2 2 3 5 2 2 2" xfId="34028"/>
    <cellStyle name="常规 4 2 2 2 2 2 3 5 2 3" xfId="24604"/>
    <cellStyle name="常规 4 2 2 2 2 2 3 5 3" xfId="8896"/>
    <cellStyle name="常规 4 2 2 2 2 2 3 5 3 2" xfId="18316"/>
    <cellStyle name="常规 4 2 2 2 2 2 3 5 3 2 2" xfId="37164"/>
    <cellStyle name="常规 4 2 2 2 2 2 3 5 3 3" xfId="27740"/>
    <cellStyle name="常规 4 2 2 2 2 2 3 5 4" xfId="12044"/>
    <cellStyle name="常规 4 2 2 2 2 2 3 5 4 2" xfId="30892"/>
    <cellStyle name="常规 4 2 2 2 2 2 3 5 5" xfId="21468"/>
    <cellStyle name="常规 4 2 2 2 2 2 3 6" xfId="3435"/>
    <cellStyle name="常规 4 2 2 2 2 2 3 6 2" xfId="12855"/>
    <cellStyle name="常规 4 2 2 2 2 2 3 6 2 2" xfId="31703"/>
    <cellStyle name="常规 4 2 2 2 2 2 3 6 3" xfId="22279"/>
    <cellStyle name="常规 4 2 2 2 2 2 3 7" xfId="6544"/>
    <cellStyle name="常规 4 2 2 2 2 2 3 7 2" xfId="15964"/>
    <cellStyle name="常规 4 2 2 2 2 2 3 7 2 2" xfId="34812"/>
    <cellStyle name="常规 4 2 2 2 2 2 3 7 3" xfId="25388"/>
    <cellStyle name="常规 4 2 2 2 2 2 3 8" xfId="9691"/>
    <cellStyle name="常规 4 2 2 2 2 2 3 8 2" xfId="28536"/>
    <cellStyle name="常规 4 2 2 2 2 2 3 9" xfId="19114"/>
    <cellStyle name="常规 4 2 2 2 2 2 4" xfId="661"/>
    <cellStyle name="常规 4 2 2 2 2 2 4 2" xfId="1445"/>
    <cellStyle name="常规 4 2 2 2 2 2 4 2 2" xfId="4581"/>
    <cellStyle name="常规 4 2 2 2 2 2 4 2 2 2" xfId="14001"/>
    <cellStyle name="常规 4 2 2 2 2 2 4 2 2 2 2" xfId="32849"/>
    <cellStyle name="常规 4 2 2 2 2 2 4 2 2 3" xfId="23425"/>
    <cellStyle name="常规 4 2 2 2 2 2 4 2 3" xfId="7717"/>
    <cellStyle name="常规 4 2 2 2 2 2 4 2 3 2" xfId="17137"/>
    <cellStyle name="常规 4 2 2 2 2 2 4 2 3 2 2" xfId="35985"/>
    <cellStyle name="常规 4 2 2 2 2 2 4 2 3 3" xfId="26561"/>
    <cellStyle name="常规 4 2 2 2 2 2 4 2 4" xfId="10865"/>
    <cellStyle name="常规 4 2 2 2 2 2 4 2 4 2" xfId="29713"/>
    <cellStyle name="常规 4 2 2 2 2 2 4 2 5" xfId="20289"/>
    <cellStyle name="常规 4 2 2 2 2 2 4 3" xfId="2229"/>
    <cellStyle name="常规 4 2 2 2 2 2 4 3 2" xfId="5365"/>
    <cellStyle name="常规 4 2 2 2 2 2 4 3 2 2" xfId="14785"/>
    <cellStyle name="常规 4 2 2 2 2 2 4 3 2 2 2" xfId="33633"/>
    <cellStyle name="常规 4 2 2 2 2 2 4 3 2 3" xfId="24209"/>
    <cellStyle name="常规 4 2 2 2 2 2 4 3 3" xfId="8501"/>
    <cellStyle name="常规 4 2 2 2 2 2 4 3 3 2" xfId="17921"/>
    <cellStyle name="常规 4 2 2 2 2 2 4 3 3 2 2" xfId="36769"/>
    <cellStyle name="常规 4 2 2 2 2 2 4 3 3 3" xfId="27345"/>
    <cellStyle name="常规 4 2 2 2 2 2 4 3 4" xfId="11649"/>
    <cellStyle name="常规 4 2 2 2 2 2 4 3 4 2" xfId="30497"/>
    <cellStyle name="常规 4 2 2 2 2 2 4 3 5" xfId="21073"/>
    <cellStyle name="常规 4 2 2 2 2 2 4 4" xfId="3013"/>
    <cellStyle name="常规 4 2 2 2 2 2 4 4 2" xfId="6149"/>
    <cellStyle name="常规 4 2 2 2 2 2 4 4 2 2" xfId="15569"/>
    <cellStyle name="常规 4 2 2 2 2 2 4 4 2 2 2" xfId="34417"/>
    <cellStyle name="常规 4 2 2 2 2 2 4 4 2 3" xfId="24993"/>
    <cellStyle name="常规 4 2 2 2 2 2 4 4 3" xfId="9285"/>
    <cellStyle name="常规 4 2 2 2 2 2 4 4 3 2" xfId="18705"/>
    <cellStyle name="常规 4 2 2 2 2 2 4 4 3 2 2" xfId="37553"/>
    <cellStyle name="常规 4 2 2 2 2 2 4 4 3 3" xfId="28129"/>
    <cellStyle name="常规 4 2 2 2 2 2 4 4 4" xfId="12433"/>
    <cellStyle name="常规 4 2 2 2 2 2 4 4 4 2" xfId="31281"/>
    <cellStyle name="常规 4 2 2 2 2 2 4 4 5" xfId="21857"/>
    <cellStyle name="常规 4 2 2 2 2 2 4 5" xfId="3797"/>
    <cellStyle name="常规 4 2 2 2 2 2 4 5 2" xfId="13217"/>
    <cellStyle name="常规 4 2 2 2 2 2 4 5 2 2" xfId="32065"/>
    <cellStyle name="常规 4 2 2 2 2 2 4 5 3" xfId="22641"/>
    <cellStyle name="常规 4 2 2 2 2 2 4 6" xfId="6933"/>
    <cellStyle name="常规 4 2 2 2 2 2 4 6 2" xfId="16353"/>
    <cellStyle name="常规 4 2 2 2 2 2 4 6 2 2" xfId="35201"/>
    <cellStyle name="常规 4 2 2 2 2 2 4 6 3" xfId="25777"/>
    <cellStyle name="常规 4 2 2 2 2 2 4 7" xfId="10081"/>
    <cellStyle name="常规 4 2 2 2 2 2 4 7 2" xfId="28929"/>
    <cellStyle name="常规 4 2 2 2 2 2 4 8" xfId="19505"/>
    <cellStyle name="常规 4 2 2 2 2 2 5" xfId="1053"/>
    <cellStyle name="常规 4 2 2 2 2 2 5 2" xfId="4189"/>
    <cellStyle name="常规 4 2 2 2 2 2 5 2 2" xfId="13609"/>
    <cellStyle name="常规 4 2 2 2 2 2 5 2 2 2" xfId="32457"/>
    <cellStyle name="常规 4 2 2 2 2 2 5 2 3" xfId="23033"/>
    <cellStyle name="常规 4 2 2 2 2 2 5 3" xfId="7325"/>
    <cellStyle name="常规 4 2 2 2 2 2 5 3 2" xfId="16745"/>
    <cellStyle name="常规 4 2 2 2 2 2 5 3 2 2" xfId="35593"/>
    <cellStyle name="常规 4 2 2 2 2 2 5 3 3" xfId="26169"/>
    <cellStyle name="常规 4 2 2 2 2 2 5 4" xfId="10473"/>
    <cellStyle name="常规 4 2 2 2 2 2 5 4 2" xfId="29321"/>
    <cellStyle name="常规 4 2 2 2 2 2 5 5" xfId="19897"/>
    <cellStyle name="常规 4 2 2 2 2 2 6" xfId="1837"/>
    <cellStyle name="常规 4 2 2 2 2 2 6 2" xfId="4973"/>
    <cellStyle name="常规 4 2 2 2 2 2 6 2 2" xfId="14393"/>
    <cellStyle name="常规 4 2 2 2 2 2 6 2 2 2" xfId="33241"/>
    <cellStyle name="常规 4 2 2 2 2 2 6 2 3" xfId="23817"/>
    <cellStyle name="常规 4 2 2 2 2 2 6 3" xfId="8109"/>
    <cellStyle name="常规 4 2 2 2 2 2 6 3 2" xfId="17529"/>
    <cellStyle name="常规 4 2 2 2 2 2 6 3 2 2" xfId="36377"/>
    <cellStyle name="常规 4 2 2 2 2 2 6 3 3" xfId="26953"/>
    <cellStyle name="常规 4 2 2 2 2 2 6 4" xfId="11257"/>
    <cellStyle name="常规 4 2 2 2 2 2 6 4 2" xfId="30105"/>
    <cellStyle name="常规 4 2 2 2 2 2 6 5" xfId="20681"/>
    <cellStyle name="常规 4 2 2 2 2 2 7" xfId="2621"/>
    <cellStyle name="常规 4 2 2 2 2 2 7 2" xfId="5757"/>
    <cellStyle name="常规 4 2 2 2 2 2 7 2 2" xfId="15177"/>
    <cellStyle name="常规 4 2 2 2 2 2 7 2 2 2" xfId="34025"/>
    <cellStyle name="常规 4 2 2 2 2 2 7 2 3" xfId="24601"/>
    <cellStyle name="常规 4 2 2 2 2 2 7 3" xfId="8893"/>
    <cellStyle name="常规 4 2 2 2 2 2 7 3 2" xfId="18313"/>
    <cellStyle name="常规 4 2 2 2 2 2 7 3 2 2" xfId="37161"/>
    <cellStyle name="常规 4 2 2 2 2 2 7 3 3" xfId="27737"/>
    <cellStyle name="常规 4 2 2 2 2 2 7 4" xfId="12041"/>
    <cellStyle name="常规 4 2 2 2 2 2 7 4 2" xfId="30889"/>
    <cellStyle name="常规 4 2 2 2 2 2 7 5" xfId="21465"/>
    <cellStyle name="常规 4 2 2 2 2 2 8" xfId="3227"/>
    <cellStyle name="常规 4 2 2 2 2 2 8 2" xfId="12647"/>
    <cellStyle name="常规 4 2 2 2 2 2 8 2 2" xfId="31495"/>
    <cellStyle name="常规 4 2 2 2 2 2 8 3" xfId="22071"/>
    <cellStyle name="常规 4 2 2 2 2 2 9" xfId="6541"/>
    <cellStyle name="常规 4 2 2 2 2 2 9 2" xfId="15961"/>
    <cellStyle name="常规 4 2 2 2 2 2 9 2 2" xfId="34809"/>
    <cellStyle name="常规 4 2 2 2 2 2 9 3" xfId="25385"/>
    <cellStyle name="常规 4 2 2 2 2 3" xfId="269"/>
    <cellStyle name="常规 4 2 2 2 2 3 10" xfId="19115"/>
    <cellStyle name="常规 4 2 2 2 2 3 2" xfId="270"/>
    <cellStyle name="常规 4 2 2 2 2 3 2 2" xfId="666"/>
    <cellStyle name="常规 4 2 2 2 2 3 2 2 2" xfId="1450"/>
    <cellStyle name="常规 4 2 2 2 2 3 2 2 2 2" xfId="4586"/>
    <cellStyle name="常规 4 2 2 2 2 3 2 2 2 2 2" xfId="14006"/>
    <cellStyle name="常规 4 2 2 2 2 3 2 2 2 2 2 2" xfId="32854"/>
    <cellStyle name="常规 4 2 2 2 2 3 2 2 2 2 3" xfId="23430"/>
    <cellStyle name="常规 4 2 2 2 2 3 2 2 2 3" xfId="7722"/>
    <cellStyle name="常规 4 2 2 2 2 3 2 2 2 3 2" xfId="17142"/>
    <cellStyle name="常规 4 2 2 2 2 3 2 2 2 3 2 2" xfId="35990"/>
    <cellStyle name="常规 4 2 2 2 2 3 2 2 2 3 3" xfId="26566"/>
    <cellStyle name="常规 4 2 2 2 2 3 2 2 2 4" xfId="10870"/>
    <cellStyle name="常规 4 2 2 2 2 3 2 2 2 4 2" xfId="29718"/>
    <cellStyle name="常规 4 2 2 2 2 3 2 2 2 5" xfId="20294"/>
    <cellStyle name="常规 4 2 2 2 2 3 2 2 3" xfId="2234"/>
    <cellStyle name="常规 4 2 2 2 2 3 2 2 3 2" xfId="5370"/>
    <cellStyle name="常规 4 2 2 2 2 3 2 2 3 2 2" xfId="14790"/>
    <cellStyle name="常规 4 2 2 2 2 3 2 2 3 2 2 2" xfId="33638"/>
    <cellStyle name="常规 4 2 2 2 2 3 2 2 3 2 3" xfId="24214"/>
    <cellStyle name="常规 4 2 2 2 2 3 2 2 3 3" xfId="8506"/>
    <cellStyle name="常规 4 2 2 2 2 3 2 2 3 3 2" xfId="17926"/>
    <cellStyle name="常规 4 2 2 2 2 3 2 2 3 3 2 2" xfId="36774"/>
    <cellStyle name="常规 4 2 2 2 2 3 2 2 3 3 3" xfId="27350"/>
    <cellStyle name="常规 4 2 2 2 2 3 2 2 3 4" xfId="11654"/>
    <cellStyle name="常规 4 2 2 2 2 3 2 2 3 4 2" xfId="30502"/>
    <cellStyle name="常规 4 2 2 2 2 3 2 2 3 5" xfId="21078"/>
    <cellStyle name="常规 4 2 2 2 2 3 2 2 4" xfId="3018"/>
    <cellStyle name="常规 4 2 2 2 2 3 2 2 4 2" xfId="6154"/>
    <cellStyle name="常规 4 2 2 2 2 3 2 2 4 2 2" xfId="15574"/>
    <cellStyle name="常规 4 2 2 2 2 3 2 2 4 2 2 2" xfId="34422"/>
    <cellStyle name="常规 4 2 2 2 2 3 2 2 4 2 3" xfId="24998"/>
    <cellStyle name="常规 4 2 2 2 2 3 2 2 4 3" xfId="9290"/>
    <cellStyle name="常规 4 2 2 2 2 3 2 2 4 3 2" xfId="18710"/>
    <cellStyle name="常规 4 2 2 2 2 3 2 2 4 3 2 2" xfId="37558"/>
    <cellStyle name="常规 4 2 2 2 2 3 2 2 4 3 3" xfId="28134"/>
    <cellStyle name="常规 4 2 2 2 2 3 2 2 4 4" xfId="12438"/>
    <cellStyle name="常规 4 2 2 2 2 3 2 2 4 4 2" xfId="31286"/>
    <cellStyle name="常规 4 2 2 2 2 3 2 2 4 5" xfId="21862"/>
    <cellStyle name="常规 4 2 2 2 2 3 2 2 5" xfId="3802"/>
    <cellStyle name="常规 4 2 2 2 2 3 2 2 5 2" xfId="13222"/>
    <cellStyle name="常规 4 2 2 2 2 3 2 2 5 2 2" xfId="32070"/>
    <cellStyle name="常规 4 2 2 2 2 3 2 2 5 3" xfId="22646"/>
    <cellStyle name="常规 4 2 2 2 2 3 2 2 6" xfId="6938"/>
    <cellStyle name="常规 4 2 2 2 2 3 2 2 6 2" xfId="16358"/>
    <cellStyle name="常规 4 2 2 2 2 3 2 2 6 2 2" xfId="35206"/>
    <cellStyle name="常规 4 2 2 2 2 3 2 2 6 3" xfId="25782"/>
    <cellStyle name="常规 4 2 2 2 2 3 2 2 7" xfId="10086"/>
    <cellStyle name="常规 4 2 2 2 2 3 2 2 7 2" xfId="28934"/>
    <cellStyle name="常规 4 2 2 2 2 3 2 2 8" xfId="19510"/>
    <cellStyle name="常规 4 2 2 2 2 3 2 3" xfId="1058"/>
    <cellStyle name="常规 4 2 2 2 2 3 2 3 2" xfId="4194"/>
    <cellStyle name="常规 4 2 2 2 2 3 2 3 2 2" xfId="13614"/>
    <cellStyle name="常规 4 2 2 2 2 3 2 3 2 2 2" xfId="32462"/>
    <cellStyle name="常规 4 2 2 2 2 3 2 3 2 3" xfId="23038"/>
    <cellStyle name="常规 4 2 2 2 2 3 2 3 3" xfId="7330"/>
    <cellStyle name="常规 4 2 2 2 2 3 2 3 3 2" xfId="16750"/>
    <cellStyle name="常规 4 2 2 2 2 3 2 3 3 2 2" xfId="35598"/>
    <cellStyle name="常规 4 2 2 2 2 3 2 3 3 3" xfId="26174"/>
    <cellStyle name="常规 4 2 2 2 2 3 2 3 4" xfId="10478"/>
    <cellStyle name="常规 4 2 2 2 2 3 2 3 4 2" xfId="29326"/>
    <cellStyle name="常规 4 2 2 2 2 3 2 3 5" xfId="19902"/>
    <cellStyle name="常规 4 2 2 2 2 3 2 4" xfId="1842"/>
    <cellStyle name="常规 4 2 2 2 2 3 2 4 2" xfId="4978"/>
    <cellStyle name="常规 4 2 2 2 2 3 2 4 2 2" xfId="14398"/>
    <cellStyle name="常规 4 2 2 2 2 3 2 4 2 2 2" xfId="33246"/>
    <cellStyle name="常规 4 2 2 2 2 3 2 4 2 3" xfId="23822"/>
    <cellStyle name="常规 4 2 2 2 2 3 2 4 3" xfId="8114"/>
    <cellStyle name="常规 4 2 2 2 2 3 2 4 3 2" xfId="17534"/>
    <cellStyle name="常规 4 2 2 2 2 3 2 4 3 2 2" xfId="36382"/>
    <cellStyle name="常规 4 2 2 2 2 3 2 4 3 3" xfId="26958"/>
    <cellStyle name="常规 4 2 2 2 2 3 2 4 4" xfId="11262"/>
    <cellStyle name="常规 4 2 2 2 2 3 2 4 4 2" xfId="30110"/>
    <cellStyle name="常规 4 2 2 2 2 3 2 4 5" xfId="20686"/>
    <cellStyle name="常规 4 2 2 2 2 3 2 5" xfId="2626"/>
    <cellStyle name="常规 4 2 2 2 2 3 2 5 2" xfId="5762"/>
    <cellStyle name="常规 4 2 2 2 2 3 2 5 2 2" xfId="15182"/>
    <cellStyle name="常规 4 2 2 2 2 3 2 5 2 2 2" xfId="34030"/>
    <cellStyle name="常规 4 2 2 2 2 3 2 5 2 3" xfId="24606"/>
    <cellStyle name="常规 4 2 2 2 2 3 2 5 3" xfId="8898"/>
    <cellStyle name="常规 4 2 2 2 2 3 2 5 3 2" xfId="18318"/>
    <cellStyle name="常规 4 2 2 2 2 3 2 5 3 2 2" xfId="37166"/>
    <cellStyle name="常规 4 2 2 2 2 3 2 5 3 3" xfId="27742"/>
    <cellStyle name="常规 4 2 2 2 2 3 2 5 4" xfId="12046"/>
    <cellStyle name="常规 4 2 2 2 2 3 2 5 4 2" xfId="30894"/>
    <cellStyle name="常规 4 2 2 2 2 3 2 5 5" xfId="21470"/>
    <cellStyle name="常规 4 2 2 2 2 3 2 6" xfId="3437"/>
    <cellStyle name="常规 4 2 2 2 2 3 2 6 2" xfId="12857"/>
    <cellStyle name="常规 4 2 2 2 2 3 2 6 2 2" xfId="31705"/>
    <cellStyle name="常规 4 2 2 2 2 3 2 6 3" xfId="22281"/>
    <cellStyle name="常规 4 2 2 2 2 3 2 7" xfId="6546"/>
    <cellStyle name="常规 4 2 2 2 2 3 2 7 2" xfId="15966"/>
    <cellStyle name="常规 4 2 2 2 2 3 2 7 2 2" xfId="34814"/>
    <cellStyle name="常规 4 2 2 2 2 3 2 7 3" xfId="25390"/>
    <cellStyle name="常规 4 2 2 2 2 3 2 8" xfId="9693"/>
    <cellStyle name="常规 4 2 2 2 2 3 2 8 2" xfId="28538"/>
    <cellStyle name="常规 4 2 2 2 2 3 2 9" xfId="19116"/>
    <cellStyle name="常规 4 2 2 2 2 3 3" xfId="665"/>
    <cellStyle name="常规 4 2 2 2 2 3 3 2" xfId="1449"/>
    <cellStyle name="常规 4 2 2 2 2 3 3 2 2" xfId="4585"/>
    <cellStyle name="常规 4 2 2 2 2 3 3 2 2 2" xfId="14005"/>
    <cellStyle name="常规 4 2 2 2 2 3 3 2 2 2 2" xfId="32853"/>
    <cellStyle name="常规 4 2 2 2 2 3 3 2 2 3" xfId="23429"/>
    <cellStyle name="常规 4 2 2 2 2 3 3 2 3" xfId="7721"/>
    <cellStyle name="常规 4 2 2 2 2 3 3 2 3 2" xfId="17141"/>
    <cellStyle name="常规 4 2 2 2 2 3 3 2 3 2 2" xfId="35989"/>
    <cellStyle name="常规 4 2 2 2 2 3 3 2 3 3" xfId="26565"/>
    <cellStyle name="常规 4 2 2 2 2 3 3 2 4" xfId="10869"/>
    <cellStyle name="常规 4 2 2 2 2 3 3 2 4 2" xfId="29717"/>
    <cellStyle name="常规 4 2 2 2 2 3 3 2 5" xfId="20293"/>
    <cellStyle name="常规 4 2 2 2 2 3 3 3" xfId="2233"/>
    <cellStyle name="常规 4 2 2 2 2 3 3 3 2" xfId="5369"/>
    <cellStyle name="常规 4 2 2 2 2 3 3 3 2 2" xfId="14789"/>
    <cellStyle name="常规 4 2 2 2 2 3 3 3 2 2 2" xfId="33637"/>
    <cellStyle name="常规 4 2 2 2 2 3 3 3 2 3" xfId="24213"/>
    <cellStyle name="常规 4 2 2 2 2 3 3 3 3" xfId="8505"/>
    <cellStyle name="常规 4 2 2 2 2 3 3 3 3 2" xfId="17925"/>
    <cellStyle name="常规 4 2 2 2 2 3 3 3 3 2 2" xfId="36773"/>
    <cellStyle name="常规 4 2 2 2 2 3 3 3 3 3" xfId="27349"/>
    <cellStyle name="常规 4 2 2 2 2 3 3 3 4" xfId="11653"/>
    <cellStyle name="常规 4 2 2 2 2 3 3 3 4 2" xfId="30501"/>
    <cellStyle name="常规 4 2 2 2 2 3 3 3 5" xfId="21077"/>
    <cellStyle name="常规 4 2 2 2 2 3 3 4" xfId="3017"/>
    <cellStyle name="常规 4 2 2 2 2 3 3 4 2" xfId="6153"/>
    <cellStyle name="常规 4 2 2 2 2 3 3 4 2 2" xfId="15573"/>
    <cellStyle name="常规 4 2 2 2 2 3 3 4 2 2 2" xfId="34421"/>
    <cellStyle name="常规 4 2 2 2 2 3 3 4 2 3" xfId="24997"/>
    <cellStyle name="常规 4 2 2 2 2 3 3 4 3" xfId="9289"/>
    <cellStyle name="常规 4 2 2 2 2 3 3 4 3 2" xfId="18709"/>
    <cellStyle name="常规 4 2 2 2 2 3 3 4 3 2 2" xfId="37557"/>
    <cellStyle name="常规 4 2 2 2 2 3 3 4 3 3" xfId="28133"/>
    <cellStyle name="常规 4 2 2 2 2 3 3 4 4" xfId="12437"/>
    <cellStyle name="常规 4 2 2 2 2 3 3 4 4 2" xfId="31285"/>
    <cellStyle name="常规 4 2 2 2 2 3 3 4 5" xfId="21861"/>
    <cellStyle name="常规 4 2 2 2 2 3 3 5" xfId="3801"/>
    <cellStyle name="常规 4 2 2 2 2 3 3 5 2" xfId="13221"/>
    <cellStyle name="常规 4 2 2 2 2 3 3 5 2 2" xfId="32069"/>
    <cellStyle name="常规 4 2 2 2 2 3 3 5 3" xfId="22645"/>
    <cellStyle name="常规 4 2 2 2 2 3 3 6" xfId="6937"/>
    <cellStyle name="常规 4 2 2 2 2 3 3 6 2" xfId="16357"/>
    <cellStyle name="常规 4 2 2 2 2 3 3 6 2 2" xfId="35205"/>
    <cellStyle name="常规 4 2 2 2 2 3 3 6 3" xfId="25781"/>
    <cellStyle name="常规 4 2 2 2 2 3 3 7" xfId="10085"/>
    <cellStyle name="常规 4 2 2 2 2 3 3 7 2" xfId="28933"/>
    <cellStyle name="常规 4 2 2 2 2 3 3 8" xfId="19509"/>
    <cellStyle name="常规 4 2 2 2 2 3 4" xfId="1057"/>
    <cellStyle name="常规 4 2 2 2 2 3 4 2" xfId="4193"/>
    <cellStyle name="常规 4 2 2 2 2 3 4 2 2" xfId="13613"/>
    <cellStyle name="常规 4 2 2 2 2 3 4 2 2 2" xfId="32461"/>
    <cellStyle name="常规 4 2 2 2 2 3 4 2 3" xfId="23037"/>
    <cellStyle name="常规 4 2 2 2 2 3 4 3" xfId="7329"/>
    <cellStyle name="常规 4 2 2 2 2 3 4 3 2" xfId="16749"/>
    <cellStyle name="常规 4 2 2 2 2 3 4 3 2 2" xfId="35597"/>
    <cellStyle name="常规 4 2 2 2 2 3 4 3 3" xfId="26173"/>
    <cellStyle name="常规 4 2 2 2 2 3 4 4" xfId="10477"/>
    <cellStyle name="常规 4 2 2 2 2 3 4 4 2" xfId="29325"/>
    <cellStyle name="常规 4 2 2 2 2 3 4 5" xfId="19901"/>
    <cellStyle name="常规 4 2 2 2 2 3 5" xfId="1841"/>
    <cellStyle name="常规 4 2 2 2 2 3 5 2" xfId="4977"/>
    <cellStyle name="常规 4 2 2 2 2 3 5 2 2" xfId="14397"/>
    <cellStyle name="常规 4 2 2 2 2 3 5 2 2 2" xfId="33245"/>
    <cellStyle name="常规 4 2 2 2 2 3 5 2 3" xfId="23821"/>
    <cellStyle name="常规 4 2 2 2 2 3 5 3" xfId="8113"/>
    <cellStyle name="常规 4 2 2 2 2 3 5 3 2" xfId="17533"/>
    <cellStyle name="常规 4 2 2 2 2 3 5 3 2 2" xfId="36381"/>
    <cellStyle name="常规 4 2 2 2 2 3 5 3 3" xfId="26957"/>
    <cellStyle name="常规 4 2 2 2 2 3 5 4" xfId="11261"/>
    <cellStyle name="常规 4 2 2 2 2 3 5 4 2" xfId="30109"/>
    <cellStyle name="常规 4 2 2 2 2 3 5 5" xfId="20685"/>
    <cellStyle name="常规 4 2 2 2 2 3 6" xfId="2625"/>
    <cellStyle name="常规 4 2 2 2 2 3 6 2" xfId="5761"/>
    <cellStyle name="常规 4 2 2 2 2 3 6 2 2" xfId="15181"/>
    <cellStyle name="常规 4 2 2 2 2 3 6 2 2 2" xfId="34029"/>
    <cellStyle name="常规 4 2 2 2 2 3 6 2 3" xfId="24605"/>
    <cellStyle name="常规 4 2 2 2 2 3 6 3" xfId="8897"/>
    <cellStyle name="常规 4 2 2 2 2 3 6 3 2" xfId="18317"/>
    <cellStyle name="常规 4 2 2 2 2 3 6 3 2 2" xfId="37165"/>
    <cellStyle name="常规 4 2 2 2 2 3 6 3 3" xfId="27741"/>
    <cellStyle name="常规 4 2 2 2 2 3 6 4" xfId="12045"/>
    <cellStyle name="常规 4 2 2 2 2 3 6 4 2" xfId="30893"/>
    <cellStyle name="常规 4 2 2 2 2 3 6 5" xfId="21469"/>
    <cellStyle name="常规 4 2 2 2 2 3 7" xfId="3436"/>
    <cellStyle name="常规 4 2 2 2 2 3 7 2" xfId="12856"/>
    <cellStyle name="常规 4 2 2 2 2 3 7 2 2" xfId="31704"/>
    <cellStyle name="常规 4 2 2 2 2 3 7 3" xfId="22280"/>
    <cellStyle name="常规 4 2 2 2 2 3 8" xfId="6545"/>
    <cellStyle name="常规 4 2 2 2 2 3 8 2" xfId="15965"/>
    <cellStyle name="常规 4 2 2 2 2 3 8 2 2" xfId="34813"/>
    <cellStyle name="常规 4 2 2 2 2 3 8 3" xfId="25389"/>
    <cellStyle name="常规 4 2 2 2 2 3 9" xfId="9692"/>
    <cellStyle name="常规 4 2 2 2 2 3 9 2" xfId="28537"/>
    <cellStyle name="常规 4 2 2 2 2 4" xfId="271"/>
    <cellStyle name="常规 4 2 2 2 2 4 2" xfId="667"/>
    <cellStyle name="常规 4 2 2 2 2 4 2 2" xfId="1451"/>
    <cellStyle name="常规 4 2 2 2 2 4 2 2 2" xfId="4587"/>
    <cellStyle name="常规 4 2 2 2 2 4 2 2 2 2" xfId="14007"/>
    <cellStyle name="常规 4 2 2 2 2 4 2 2 2 2 2" xfId="32855"/>
    <cellStyle name="常规 4 2 2 2 2 4 2 2 2 3" xfId="23431"/>
    <cellStyle name="常规 4 2 2 2 2 4 2 2 3" xfId="7723"/>
    <cellStyle name="常规 4 2 2 2 2 4 2 2 3 2" xfId="17143"/>
    <cellStyle name="常规 4 2 2 2 2 4 2 2 3 2 2" xfId="35991"/>
    <cellStyle name="常规 4 2 2 2 2 4 2 2 3 3" xfId="26567"/>
    <cellStyle name="常规 4 2 2 2 2 4 2 2 4" xfId="10871"/>
    <cellStyle name="常规 4 2 2 2 2 4 2 2 4 2" xfId="29719"/>
    <cellStyle name="常规 4 2 2 2 2 4 2 2 5" xfId="20295"/>
    <cellStyle name="常规 4 2 2 2 2 4 2 3" xfId="2235"/>
    <cellStyle name="常规 4 2 2 2 2 4 2 3 2" xfId="5371"/>
    <cellStyle name="常规 4 2 2 2 2 4 2 3 2 2" xfId="14791"/>
    <cellStyle name="常规 4 2 2 2 2 4 2 3 2 2 2" xfId="33639"/>
    <cellStyle name="常规 4 2 2 2 2 4 2 3 2 3" xfId="24215"/>
    <cellStyle name="常规 4 2 2 2 2 4 2 3 3" xfId="8507"/>
    <cellStyle name="常规 4 2 2 2 2 4 2 3 3 2" xfId="17927"/>
    <cellStyle name="常规 4 2 2 2 2 4 2 3 3 2 2" xfId="36775"/>
    <cellStyle name="常规 4 2 2 2 2 4 2 3 3 3" xfId="27351"/>
    <cellStyle name="常规 4 2 2 2 2 4 2 3 4" xfId="11655"/>
    <cellStyle name="常规 4 2 2 2 2 4 2 3 4 2" xfId="30503"/>
    <cellStyle name="常规 4 2 2 2 2 4 2 3 5" xfId="21079"/>
    <cellStyle name="常规 4 2 2 2 2 4 2 4" xfId="3019"/>
    <cellStyle name="常规 4 2 2 2 2 4 2 4 2" xfId="6155"/>
    <cellStyle name="常规 4 2 2 2 2 4 2 4 2 2" xfId="15575"/>
    <cellStyle name="常规 4 2 2 2 2 4 2 4 2 2 2" xfId="34423"/>
    <cellStyle name="常规 4 2 2 2 2 4 2 4 2 3" xfId="24999"/>
    <cellStyle name="常规 4 2 2 2 2 4 2 4 3" xfId="9291"/>
    <cellStyle name="常规 4 2 2 2 2 4 2 4 3 2" xfId="18711"/>
    <cellStyle name="常规 4 2 2 2 2 4 2 4 3 2 2" xfId="37559"/>
    <cellStyle name="常规 4 2 2 2 2 4 2 4 3 3" xfId="28135"/>
    <cellStyle name="常规 4 2 2 2 2 4 2 4 4" xfId="12439"/>
    <cellStyle name="常规 4 2 2 2 2 4 2 4 4 2" xfId="31287"/>
    <cellStyle name="常规 4 2 2 2 2 4 2 4 5" xfId="21863"/>
    <cellStyle name="常规 4 2 2 2 2 4 2 5" xfId="3803"/>
    <cellStyle name="常规 4 2 2 2 2 4 2 5 2" xfId="13223"/>
    <cellStyle name="常规 4 2 2 2 2 4 2 5 2 2" xfId="32071"/>
    <cellStyle name="常规 4 2 2 2 2 4 2 5 3" xfId="22647"/>
    <cellStyle name="常规 4 2 2 2 2 4 2 6" xfId="6939"/>
    <cellStyle name="常规 4 2 2 2 2 4 2 6 2" xfId="16359"/>
    <cellStyle name="常规 4 2 2 2 2 4 2 6 2 2" xfId="35207"/>
    <cellStyle name="常规 4 2 2 2 2 4 2 6 3" xfId="25783"/>
    <cellStyle name="常规 4 2 2 2 2 4 2 7" xfId="10087"/>
    <cellStyle name="常规 4 2 2 2 2 4 2 7 2" xfId="28935"/>
    <cellStyle name="常规 4 2 2 2 2 4 2 8" xfId="19511"/>
    <cellStyle name="常规 4 2 2 2 2 4 3" xfId="1059"/>
    <cellStyle name="常规 4 2 2 2 2 4 3 2" xfId="4195"/>
    <cellStyle name="常规 4 2 2 2 2 4 3 2 2" xfId="13615"/>
    <cellStyle name="常规 4 2 2 2 2 4 3 2 2 2" xfId="32463"/>
    <cellStyle name="常规 4 2 2 2 2 4 3 2 3" xfId="23039"/>
    <cellStyle name="常规 4 2 2 2 2 4 3 3" xfId="7331"/>
    <cellStyle name="常规 4 2 2 2 2 4 3 3 2" xfId="16751"/>
    <cellStyle name="常规 4 2 2 2 2 4 3 3 2 2" xfId="35599"/>
    <cellStyle name="常规 4 2 2 2 2 4 3 3 3" xfId="26175"/>
    <cellStyle name="常规 4 2 2 2 2 4 3 4" xfId="10479"/>
    <cellStyle name="常规 4 2 2 2 2 4 3 4 2" xfId="29327"/>
    <cellStyle name="常规 4 2 2 2 2 4 3 5" xfId="19903"/>
    <cellStyle name="常规 4 2 2 2 2 4 4" xfId="1843"/>
    <cellStyle name="常规 4 2 2 2 2 4 4 2" xfId="4979"/>
    <cellStyle name="常规 4 2 2 2 2 4 4 2 2" xfId="14399"/>
    <cellStyle name="常规 4 2 2 2 2 4 4 2 2 2" xfId="33247"/>
    <cellStyle name="常规 4 2 2 2 2 4 4 2 3" xfId="23823"/>
    <cellStyle name="常规 4 2 2 2 2 4 4 3" xfId="8115"/>
    <cellStyle name="常规 4 2 2 2 2 4 4 3 2" xfId="17535"/>
    <cellStyle name="常规 4 2 2 2 2 4 4 3 2 2" xfId="36383"/>
    <cellStyle name="常规 4 2 2 2 2 4 4 3 3" xfId="26959"/>
    <cellStyle name="常规 4 2 2 2 2 4 4 4" xfId="11263"/>
    <cellStyle name="常规 4 2 2 2 2 4 4 4 2" xfId="30111"/>
    <cellStyle name="常规 4 2 2 2 2 4 4 5" xfId="20687"/>
    <cellStyle name="常规 4 2 2 2 2 4 5" xfId="2627"/>
    <cellStyle name="常规 4 2 2 2 2 4 5 2" xfId="5763"/>
    <cellStyle name="常规 4 2 2 2 2 4 5 2 2" xfId="15183"/>
    <cellStyle name="常规 4 2 2 2 2 4 5 2 2 2" xfId="34031"/>
    <cellStyle name="常规 4 2 2 2 2 4 5 2 3" xfId="24607"/>
    <cellStyle name="常规 4 2 2 2 2 4 5 3" xfId="8899"/>
    <cellStyle name="常规 4 2 2 2 2 4 5 3 2" xfId="18319"/>
    <cellStyle name="常规 4 2 2 2 2 4 5 3 2 2" xfId="37167"/>
    <cellStyle name="常规 4 2 2 2 2 4 5 3 3" xfId="27743"/>
    <cellStyle name="常规 4 2 2 2 2 4 5 4" xfId="12047"/>
    <cellStyle name="常规 4 2 2 2 2 4 5 4 2" xfId="30895"/>
    <cellStyle name="常规 4 2 2 2 2 4 5 5" xfId="21471"/>
    <cellStyle name="常规 4 2 2 2 2 4 6" xfId="3438"/>
    <cellStyle name="常规 4 2 2 2 2 4 6 2" xfId="12858"/>
    <cellStyle name="常规 4 2 2 2 2 4 6 2 2" xfId="31706"/>
    <cellStyle name="常规 4 2 2 2 2 4 6 3" xfId="22282"/>
    <cellStyle name="常规 4 2 2 2 2 4 7" xfId="6547"/>
    <cellStyle name="常规 4 2 2 2 2 4 7 2" xfId="15967"/>
    <cellStyle name="常规 4 2 2 2 2 4 7 2 2" xfId="34815"/>
    <cellStyle name="常规 4 2 2 2 2 4 7 3" xfId="25391"/>
    <cellStyle name="常规 4 2 2 2 2 4 8" xfId="9694"/>
    <cellStyle name="常规 4 2 2 2 2 4 8 2" xfId="28539"/>
    <cellStyle name="常规 4 2 2 2 2 4 9" xfId="19117"/>
    <cellStyle name="常规 4 2 2 2 2 5" xfId="660"/>
    <cellStyle name="常规 4 2 2 2 2 5 2" xfId="1444"/>
    <cellStyle name="常规 4 2 2 2 2 5 2 2" xfId="4580"/>
    <cellStyle name="常规 4 2 2 2 2 5 2 2 2" xfId="14000"/>
    <cellStyle name="常规 4 2 2 2 2 5 2 2 2 2" xfId="32848"/>
    <cellStyle name="常规 4 2 2 2 2 5 2 2 3" xfId="23424"/>
    <cellStyle name="常规 4 2 2 2 2 5 2 3" xfId="7716"/>
    <cellStyle name="常规 4 2 2 2 2 5 2 3 2" xfId="17136"/>
    <cellStyle name="常规 4 2 2 2 2 5 2 3 2 2" xfId="35984"/>
    <cellStyle name="常规 4 2 2 2 2 5 2 3 3" xfId="26560"/>
    <cellStyle name="常规 4 2 2 2 2 5 2 4" xfId="10864"/>
    <cellStyle name="常规 4 2 2 2 2 5 2 4 2" xfId="29712"/>
    <cellStyle name="常规 4 2 2 2 2 5 2 5" xfId="20288"/>
    <cellStyle name="常规 4 2 2 2 2 5 3" xfId="2228"/>
    <cellStyle name="常规 4 2 2 2 2 5 3 2" xfId="5364"/>
    <cellStyle name="常规 4 2 2 2 2 5 3 2 2" xfId="14784"/>
    <cellStyle name="常规 4 2 2 2 2 5 3 2 2 2" xfId="33632"/>
    <cellStyle name="常规 4 2 2 2 2 5 3 2 3" xfId="24208"/>
    <cellStyle name="常规 4 2 2 2 2 5 3 3" xfId="8500"/>
    <cellStyle name="常规 4 2 2 2 2 5 3 3 2" xfId="17920"/>
    <cellStyle name="常规 4 2 2 2 2 5 3 3 2 2" xfId="36768"/>
    <cellStyle name="常规 4 2 2 2 2 5 3 3 3" xfId="27344"/>
    <cellStyle name="常规 4 2 2 2 2 5 3 4" xfId="11648"/>
    <cellStyle name="常规 4 2 2 2 2 5 3 4 2" xfId="30496"/>
    <cellStyle name="常规 4 2 2 2 2 5 3 5" xfId="21072"/>
    <cellStyle name="常规 4 2 2 2 2 5 4" xfId="3012"/>
    <cellStyle name="常规 4 2 2 2 2 5 4 2" xfId="6148"/>
    <cellStyle name="常规 4 2 2 2 2 5 4 2 2" xfId="15568"/>
    <cellStyle name="常规 4 2 2 2 2 5 4 2 2 2" xfId="34416"/>
    <cellStyle name="常规 4 2 2 2 2 5 4 2 3" xfId="24992"/>
    <cellStyle name="常规 4 2 2 2 2 5 4 3" xfId="9284"/>
    <cellStyle name="常规 4 2 2 2 2 5 4 3 2" xfId="18704"/>
    <cellStyle name="常规 4 2 2 2 2 5 4 3 2 2" xfId="37552"/>
    <cellStyle name="常规 4 2 2 2 2 5 4 3 3" xfId="28128"/>
    <cellStyle name="常规 4 2 2 2 2 5 4 4" xfId="12432"/>
    <cellStyle name="常规 4 2 2 2 2 5 4 4 2" xfId="31280"/>
    <cellStyle name="常规 4 2 2 2 2 5 4 5" xfId="21856"/>
    <cellStyle name="常规 4 2 2 2 2 5 5" xfId="3796"/>
    <cellStyle name="常规 4 2 2 2 2 5 5 2" xfId="13216"/>
    <cellStyle name="常规 4 2 2 2 2 5 5 2 2" xfId="32064"/>
    <cellStyle name="常规 4 2 2 2 2 5 5 3" xfId="22640"/>
    <cellStyle name="常规 4 2 2 2 2 5 6" xfId="6932"/>
    <cellStyle name="常规 4 2 2 2 2 5 6 2" xfId="16352"/>
    <cellStyle name="常规 4 2 2 2 2 5 6 2 2" xfId="35200"/>
    <cellStyle name="常规 4 2 2 2 2 5 6 3" xfId="25776"/>
    <cellStyle name="常规 4 2 2 2 2 5 7" xfId="10080"/>
    <cellStyle name="常规 4 2 2 2 2 5 7 2" xfId="28928"/>
    <cellStyle name="常规 4 2 2 2 2 5 8" xfId="19504"/>
    <cellStyle name="常规 4 2 2 2 2 6" xfId="1052"/>
    <cellStyle name="常规 4 2 2 2 2 6 2" xfId="4188"/>
    <cellStyle name="常规 4 2 2 2 2 6 2 2" xfId="13608"/>
    <cellStyle name="常规 4 2 2 2 2 6 2 2 2" xfId="32456"/>
    <cellStyle name="常规 4 2 2 2 2 6 2 3" xfId="23032"/>
    <cellStyle name="常规 4 2 2 2 2 6 3" xfId="7324"/>
    <cellStyle name="常规 4 2 2 2 2 6 3 2" xfId="16744"/>
    <cellStyle name="常规 4 2 2 2 2 6 3 2 2" xfId="35592"/>
    <cellStyle name="常规 4 2 2 2 2 6 3 3" xfId="26168"/>
    <cellStyle name="常规 4 2 2 2 2 6 4" xfId="10472"/>
    <cellStyle name="常规 4 2 2 2 2 6 4 2" xfId="29320"/>
    <cellStyle name="常规 4 2 2 2 2 6 5" xfId="19896"/>
    <cellStyle name="常规 4 2 2 2 2 7" xfId="1836"/>
    <cellStyle name="常规 4 2 2 2 2 7 2" xfId="4972"/>
    <cellStyle name="常规 4 2 2 2 2 7 2 2" xfId="14392"/>
    <cellStyle name="常规 4 2 2 2 2 7 2 2 2" xfId="33240"/>
    <cellStyle name="常规 4 2 2 2 2 7 2 3" xfId="23816"/>
    <cellStyle name="常规 4 2 2 2 2 7 3" xfId="8108"/>
    <cellStyle name="常规 4 2 2 2 2 7 3 2" xfId="17528"/>
    <cellStyle name="常规 4 2 2 2 2 7 3 2 2" xfId="36376"/>
    <cellStyle name="常规 4 2 2 2 2 7 3 3" xfId="26952"/>
    <cellStyle name="常规 4 2 2 2 2 7 4" xfId="11256"/>
    <cellStyle name="常规 4 2 2 2 2 7 4 2" xfId="30104"/>
    <cellStyle name="常规 4 2 2 2 2 7 5" xfId="20680"/>
    <cellStyle name="常规 4 2 2 2 2 8" xfId="2620"/>
    <cellStyle name="常规 4 2 2 2 2 8 2" xfId="5756"/>
    <cellStyle name="常规 4 2 2 2 2 8 2 2" xfId="15176"/>
    <cellStyle name="常规 4 2 2 2 2 8 2 2 2" xfId="34024"/>
    <cellStyle name="常规 4 2 2 2 2 8 2 3" xfId="24600"/>
    <cellStyle name="常规 4 2 2 2 2 8 3" xfId="8892"/>
    <cellStyle name="常规 4 2 2 2 2 8 3 2" xfId="18312"/>
    <cellStyle name="常规 4 2 2 2 2 8 3 2 2" xfId="37160"/>
    <cellStyle name="常规 4 2 2 2 2 8 3 3" xfId="27736"/>
    <cellStyle name="常规 4 2 2 2 2 8 4" xfId="12040"/>
    <cellStyle name="常规 4 2 2 2 2 8 4 2" xfId="30888"/>
    <cellStyle name="常规 4 2 2 2 2 8 5" xfId="21464"/>
    <cellStyle name="常规 4 2 2 2 2 9" xfId="3178"/>
    <cellStyle name="常规 4 2 2 2 2 9 2" xfId="12598"/>
    <cellStyle name="常规 4 2 2 2 2 9 2 2" xfId="31446"/>
    <cellStyle name="常规 4 2 2 2 2 9 3" xfId="22022"/>
    <cellStyle name="常规 4 2 2 2 3" xfId="272"/>
    <cellStyle name="常规 4 2 2 2 3 10" xfId="9695"/>
    <cellStyle name="常规 4 2 2 2 3 10 2" xfId="28540"/>
    <cellStyle name="常规 4 2 2 2 3 11" xfId="19118"/>
    <cellStyle name="常规 4 2 2 2 3 2" xfId="273"/>
    <cellStyle name="常规 4 2 2 2 3 2 10" xfId="19119"/>
    <cellStyle name="常规 4 2 2 2 3 2 2" xfId="274"/>
    <cellStyle name="常规 4 2 2 2 3 2 2 2" xfId="670"/>
    <cellStyle name="常规 4 2 2 2 3 2 2 2 2" xfId="1454"/>
    <cellStyle name="常规 4 2 2 2 3 2 2 2 2 2" xfId="4590"/>
    <cellStyle name="常规 4 2 2 2 3 2 2 2 2 2 2" xfId="14010"/>
    <cellStyle name="常规 4 2 2 2 3 2 2 2 2 2 2 2" xfId="32858"/>
    <cellStyle name="常规 4 2 2 2 3 2 2 2 2 2 3" xfId="23434"/>
    <cellStyle name="常规 4 2 2 2 3 2 2 2 2 3" xfId="7726"/>
    <cellStyle name="常规 4 2 2 2 3 2 2 2 2 3 2" xfId="17146"/>
    <cellStyle name="常规 4 2 2 2 3 2 2 2 2 3 2 2" xfId="35994"/>
    <cellStyle name="常规 4 2 2 2 3 2 2 2 2 3 3" xfId="26570"/>
    <cellStyle name="常规 4 2 2 2 3 2 2 2 2 4" xfId="10874"/>
    <cellStyle name="常规 4 2 2 2 3 2 2 2 2 4 2" xfId="29722"/>
    <cellStyle name="常规 4 2 2 2 3 2 2 2 2 5" xfId="20298"/>
    <cellStyle name="常规 4 2 2 2 3 2 2 2 3" xfId="2238"/>
    <cellStyle name="常规 4 2 2 2 3 2 2 2 3 2" xfId="5374"/>
    <cellStyle name="常规 4 2 2 2 3 2 2 2 3 2 2" xfId="14794"/>
    <cellStyle name="常规 4 2 2 2 3 2 2 2 3 2 2 2" xfId="33642"/>
    <cellStyle name="常规 4 2 2 2 3 2 2 2 3 2 3" xfId="24218"/>
    <cellStyle name="常规 4 2 2 2 3 2 2 2 3 3" xfId="8510"/>
    <cellStyle name="常规 4 2 2 2 3 2 2 2 3 3 2" xfId="17930"/>
    <cellStyle name="常规 4 2 2 2 3 2 2 2 3 3 2 2" xfId="36778"/>
    <cellStyle name="常规 4 2 2 2 3 2 2 2 3 3 3" xfId="27354"/>
    <cellStyle name="常规 4 2 2 2 3 2 2 2 3 4" xfId="11658"/>
    <cellStyle name="常规 4 2 2 2 3 2 2 2 3 4 2" xfId="30506"/>
    <cellStyle name="常规 4 2 2 2 3 2 2 2 3 5" xfId="21082"/>
    <cellStyle name="常规 4 2 2 2 3 2 2 2 4" xfId="3022"/>
    <cellStyle name="常规 4 2 2 2 3 2 2 2 4 2" xfId="6158"/>
    <cellStyle name="常规 4 2 2 2 3 2 2 2 4 2 2" xfId="15578"/>
    <cellStyle name="常规 4 2 2 2 3 2 2 2 4 2 2 2" xfId="34426"/>
    <cellStyle name="常规 4 2 2 2 3 2 2 2 4 2 3" xfId="25002"/>
    <cellStyle name="常规 4 2 2 2 3 2 2 2 4 3" xfId="9294"/>
    <cellStyle name="常规 4 2 2 2 3 2 2 2 4 3 2" xfId="18714"/>
    <cellStyle name="常规 4 2 2 2 3 2 2 2 4 3 2 2" xfId="37562"/>
    <cellStyle name="常规 4 2 2 2 3 2 2 2 4 3 3" xfId="28138"/>
    <cellStyle name="常规 4 2 2 2 3 2 2 2 4 4" xfId="12442"/>
    <cellStyle name="常规 4 2 2 2 3 2 2 2 4 4 2" xfId="31290"/>
    <cellStyle name="常规 4 2 2 2 3 2 2 2 4 5" xfId="21866"/>
    <cellStyle name="常规 4 2 2 2 3 2 2 2 5" xfId="3806"/>
    <cellStyle name="常规 4 2 2 2 3 2 2 2 5 2" xfId="13226"/>
    <cellStyle name="常规 4 2 2 2 3 2 2 2 5 2 2" xfId="32074"/>
    <cellStyle name="常规 4 2 2 2 3 2 2 2 5 3" xfId="22650"/>
    <cellStyle name="常规 4 2 2 2 3 2 2 2 6" xfId="6942"/>
    <cellStyle name="常规 4 2 2 2 3 2 2 2 6 2" xfId="16362"/>
    <cellStyle name="常规 4 2 2 2 3 2 2 2 6 2 2" xfId="35210"/>
    <cellStyle name="常规 4 2 2 2 3 2 2 2 6 3" xfId="25786"/>
    <cellStyle name="常规 4 2 2 2 3 2 2 2 7" xfId="10090"/>
    <cellStyle name="常规 4 2 2 2 3 2 2 2 7 2" xfId="28938"/>
    <cellStyle name="常规 4 2 2 2 3 2 2 2 8" xfId="19514"/>
    <cellStyle name="常规 4 2 2 2 3 2 2 3" xfId="1062"/>
    <cellStyle name="常规 4 2 2 2 3 2 2 3 2" xfId="4198"/>
    <cellStyle name="常规 4 2 2 2 3 2 2 3 2 2" xfId="13618"/>
    <cellStyle name="常规 4 2 2 2 3 2 2 3 2 2 2" xfId="32466"/>
    <cellStyle name="常规 4 2 2 2 3 2 2 3 2 3" xfId="23042"/>
    <cellStyle name="常规 4 2 2 2 3 2 2 3 3" xfId="7334"/>
    <cellStyle name="常规 4 2 2 2 3 2 2 3 3 2" xfId="16754"/>
    <cellStyle name="常规 4 2 2 2 3 2 2 3 3 2 2" xfId="35602"/>
    <cellStyle name="常规 4 2 2 2 3 2 2 3 3 3" xfId="26178"/>
    <cellStyle name="常规 4 2 2 2 3 2 2 3 4" xfId="10482"/>
    <cellStyle name="常规 4 2 2 2 3 2 2 3 4 2" xfId="29330"/>
    <cellStyle name="常规 4 2 2 2 3 2 2 3 5" xfId="19906"/>
    <cellStyle name="常规 4 2 2 2 3 2 2 4" xfId="1846"/>
    <cellStyle name="常规 4 2 2 2 3 2 2 4 2" xfId="4982"/>
    <cellStyle name="常规 4 2 2 2 3 2 2 4 2 2" xfId="14402"/>
    <cellStyle name="常规 4 2 2 2 3 2 2 4 2 2 2" xfId="33250"/>
    <cellStyle name="常规 4 2 2 2 3 2 2 4 2 3" xfId="23826"/>
    <cellStyle name="常规 4 2 2 2 3 2 2 4 3" xfId="8118"/>
    <cellStyle name="常规 4 2 2 2 3 2 2 4 3 2" xfId="17538"/>
    <cellStyle name="常规 4 2 2 2 3 2 2 4 3 2 2" xfId="36386"/>
    <cellStyle name="常规 4 2 2 2 3 2 2 4 3 3" xfId="26962"/>
    <cellStyle name="常规 4 2 2 2 3 2 2 4 4" xfId="11266"/>
    <cellStyle name="常规 4 2 2 2 3 2 2 4 4 2" xfId="30114"/>
    <cellStyle name="常规 4 2 2 2 3 2 2 4 5" xfId="20690"/>
    <cellStyle name="常规 4 2 2 2 3 2 2 5" xfId="2630"/>
    <cellStyle name="常规 4 2 2 2 3 2 2 5 2" xfId="5766"/>
    <cellStyle name="常规 4 2 2 2 3 2 2 5 2 2" xfId="15186"/>
    <cellStyle name="常规 4 2 2 2 3 2 2 5 2 2 2" xfId="34034"/>
    <cellStyle name="常规 4 2 2 2 3 2 2 5 2 3" xfId="24610"/>
    <cellStyle name="常规 4 2 2 2 3 2 2 5 3" xfId="8902"/>
    <cellStyle name="常规 4 2 2 2 3 2 2 5 3 2" xfId="18322"/>
    <cellStyle name="常规 4 2 2 2 3 2 2 5 3 2 2" xfId="37170"/>
    <cellStyle name="常规 4 2 2 2 3 2 2 5 3 3" xfId="27746"/>
    <cellStyle name="常规 4 2 2 2 3 2 2 5 4" xfId="12050"/>
    <cellStyle name="常规 4 2 2 2 3 2 2 5 4 2" xfId="30898"/>
    <cellStyle name="常规 4 2 2 2 3 2 2 5 5" xfId="21474"/>
    <cellStyle name="常规 4 2 2 2 3 2 2 6" xfId="3440"/>
    <cellStyle name="常规 4 2 2 2 3 2 2 6 2" xfId="12860"/>
    <cellStyle name="常规 4 2 2 2 3 2 2 6 2 2" xfId="31708"/>
    <cellStyle name="常规 4 2 2 2 3 2 2 6 3" xfId="22284"/>
    <cellStyle name="常规 4 2 2 2 3 2 2 7" xfId="6550"/>
    <cellStyle name="常规 4 2 2 2 3 2 2 7 2" xfId="15970"/>
    <cellStyle name="常规 4 2 2 2 3 2 2 7 2 2" xfId="34818"/>
    <cellStyle name="常规 4 2 2 2 3 2 2 7 3" xfId="25394"/>
    <cellStyle name="常规 4 2 2 2 3 2 2 8" xfId="9697"/>
    <cellStyle name="常规 4 2 2 2 3 2 2 8 2" xfId="28542"/>
    <cellStyle name="常规 4 2 2 2 3 2 2 9" xfId="19120"/>
    <cellStyle name="常规 4 2 2 2 3 2 3" xfId="669"/>
    <cellStyle name="常规 4 2 2 2 3 2 3 2" xfId="1453"/>
    <cellStyle name="常规 4 2 2 2 3 2 3 2 2" xfId="4589"/>
    <cellStyle name="常规 4 2 2 2 3 2 3 2 2 2" xfId="14009"/>
    <cellStyle name="常规 4 2 2 2 3 2 3 2 2 2 2" xfId="32857"/>
    <cellStyle name="常规 4 2 2 2 3 2 3 2 2 3" xfId="23433"/>
    <cellStyle name="常规 4 2 2 2 3 2 3 2 3" xfId="7725"/>
    <cellStyle name="常规 4 2 2 2 3 2 3 2 3 2" xfId="17145"/>
    <cellStyle name="常规 4 2 2 2 3 2 3 2 3 2 2" xfId="35993"/>
    <cellStyle name="常规 4 2 2 2 3 2 3 2 3 3" xfId="26569"/>
    <cellStyle name="常规 4 2 2 2 3 2 3 2 4" xfId="10873"/>
    <cellStyle name="常规 4 2 2 2 3 2 3 2 4 2" xfId="29721"/>
    <cellStyle name="常规 4 2 2 2 3 2 3 2 5" xfId="20297"/>
    <cellStyle name="常规 4 2 2 2 3 2 3 3" xfId="2237"/>
    <cellStyle name="常规 4 2 2 2 3 2 3 3 2" xfId="5373"/>
    <cellStyle name="常规 4 2 2 2 3 2 3 3 2 2" xfId="14793"/>
    <cellStyle name="常规 4 2 2 2 3 2 3 3 2 2 2" xfId="33641"/>
    <cellStyle name="常规 4 2 2 2 3 2 3 3 2 3" xfId="24217"/>
    <cellStyle name="常规 4 2 2 2 3 2 3 3 3" xfId="8509"/>
    <cellStyle name="常规 4 2 2 2 3 2 3 3 3 2" xfId="17929"/>
    <cellStyle name="常规 4 2 2 2 3 2 3 3 3 2 2" xfId="36777"/>
    <cellStyle name="常规 4 2 2 2 3 2 3 3 3 3" xfId="27353"/>
    <cellStyle name="常规 4 2 2 2 3 2 3 3 4" xfId="11657"/>
    <cellStyle name="常规 4 2 2 2 3 2 3 3 4 2" xfId="30505"/>
    <cellStyle name="常规 4 2 2 2 3 2 3 3 5" xfId="21081"/>
    <cellStyle name="常规 4 2 2 2 3 2 3 4" xfId="3021"/>
    <cellStyle name="常规 4 2 2 2 3 2 3 4 2" xfId="6157"/>
    <cellStyle name="常规 4 2 2 2 3 2 3 4 2 2" xfId="15577"/>
    <cellStyle name="常规 4 2 2 2 3 2 3 4 2 2 2" xfId="34425"/>
    <cellStyle name="常规 4 2 2 2 3 2 3 4 2 3" xfId="25001"/>
    <cellStyle name="常规 4 2 2 2 3 2 3 4 3" xfId="9293"/>
    <cellStyle name="常规 4 2 2 2 3 2 3 4 3 2" xfId="18713"/>
    <cellStyle name="常规 4 2 2 2 3 2 3 4 3 2 2" xfId="37561"/>
    <cellStyle name="常规 4 2 2 2 3 2 3 4 3 3" xfId="28137"/>
    <cellStyle name="常规 4 2 2 2 3 2 3 4 4" xfId="12441"/>
    <cellStyle name="常规 4 2 2 2 3 2 3 4 4 2" xfId="31289"/>
    <cellStyle name="常规 4 2 2 2 3 2 3 4 5" xfId="21865"/>
    <cellStyle name="常规 4 2 2 2 3 2 3 5" xfId="3805"/>
    <cellStyle name="常规 4 2 2 2 3 2 3 5 2" xfId="13225"/>
    <cellStyle name="常规 4 2 2 2 3 2 3 5 2 2" xfId="32073"/>
    <cellStyle name="常规 4 2 2 2 3 2 3 5 3" xfId="22649"/>
    <cellStyle name="常规 4 2 2 2 3 2 3 6" xfId="6941"/>
    <cellStyle name="常规 4 2 2 2 3 2 3 6 2" xfId="16361"/>
    <cellStyle name="常规 4 2 2 2 3 2 3 6 2 2" xfId="35209"/>
    <cellStyle name="常规 4 2 2 2 3 2 3 6 3" xfId="25785"/>
    <cellStyle name="常规 4 2 2 2 3 2 3 7" xfId="10089"/>
    <cellStyle name="常规 4 2 2 2 3 2 3 7 2" xfId="28937"/>
    <cellStyle name="常规 4 2 2 2 3 2 3 8" xfId="19513"/>
    <cellStyle name="常规 4 2 2 2 3 2 4" xfId="1061"/>
    <cellStyle name="常规 4 2 2 2 3 2 4 2" xfId="4197"/>
    <cellStyle name="常规 4 2 2 2 3 2 4 2 2" xfId="13617"/>
    <cellStyle name="常规 4 2 2 2 3 2 4 2 2 2" xfId="32465"/>
    <cellStyle name="常规 4 2 2 2 3 2 4 2 3" xfId="23041"/>
    <cellStyle name="常规 4 2 2 2 3 2 4 3" xfId="7333"/>
    <cellStyle name="常规 4 2 2 2 3 2 4 3 2" xfId="16753"/>
    <cellStyle name="常规 4 2 2 2 3 2 4 3 2 2" xfId="35601"/>
    <cellStyle name="常规 4 2 2 2 3 2 4 3 3" xfId="26177"/>
    <cellStyle name="常规 4 2 2 2 3 2 4 4" xfId="10481"/>
    <cellStyle name="常规 4 2 2 2 3 2 4 4 2" xfId="29329"/>
    <cellStyle name="常规 4 2 2 2 3 2 4 5" xfId="19905"/>
    <cellStyle name="常规 4 2 2 2 3 2 5" xfId="1845"/>
    <cellStyle name="常规 4 2 2 2 3 2 5 2" xfId="4981"/>
    <cellStyle name="常规 4 2 2 2 3 2 5 2 2" xfId="14401"/>
    <cellStyle name="常规 4 2 2 2 3 2 5 2 2 2" xfId="33249"/>
    <cellStyle name="常规 4 2 2 2 3 2 5 2 3" xfId="23825"/>
    <cellStyle name="常规 4 2 2 2 3 2 5 3" xfId="8117"/>
    <cellStyle name="常规 4 2 2 2 3 2 5 3 2" xfId="17537"/>
    <cellStyle name="常规 4 2 2 2 3 2 5 3 2 2" xfId="36385"/>
    <cellStyle name="常规 4 2 2 2 3 2 5 3 3" xfId="26961"/>
    <cellStyle name="常规 4 2 2 2 3 2 5 4" xfId="11265"/>
    <cellStyle name="常规 4 2 2 2 3 2 5 4 2" xfId="30113"/>
    <cellStyle name="常规 4 2 2 2 3 2 5 5" xfId="20689"/>
    <cellStyle name="常规 4 2 2 2 3 2 6" xfId="2629"/>
    <cellStyle name="常规 4 2 2 2 3 2 6 2" xfId="5765"/>
    <cellStyle name="常规 4 2 2 2 3 2 6 2 2" xfId="15185"/>
    <cellStyle name="常规 4 2 2 2 3 2 6 2 2 2" xfId="34033"/>
    <cellStyle name="常规 4 2 2 2 3 2 6 2 3" xfId="24609"/>
    <cellStyle name="常规 4 2 2 2 3 2 6 3" xfId="8901"/>
    <cellStyle name="常规 4 2 2 2 3 2 6 3 2" xfId="18321"/>
    <cellStyle name="常规 4 2 2 2 3 2 6 3 2 2" xfId="37169"/>
    <cellStyle name="常规 4 2 2 2 3 2 6 3 3" xfId="27745"/>
    <cellStyle name="常规 4 2 2 2 3 2 6 4" xfId="12049"/>
    <cellStyle name="常规 4 2 2 2 3 2 6 4 2" xfId="30897"/>
    <cellStyle name="常规 4 2 2 2 3 2 6 5" xfId="21473"/>
    <cellStyle name="常规 4 2 2 2 3 2 7" xfId="3439"/>
    <cellStyle name="常规 4 2 2 2 3 2 7 2" xfId="12859"/>
    <cellStyle name="常规 4 2 2 2 3 2 7 2 2" xfId="31707"/>
    <cellStyle name="常规 4 2 2 2 3 2 7 3" xfId="22283"/>
    <cellStyle name="常规 4 2 2 2 3 2 8" xfId="6549"/>
    <cellStyle name="常规 4 2 2 2 3 2 8 2" xfId="15969"/>
    <cellStyle name="常规 4 2 2 2 3 2 8 2 2" xfId="34817"/>
    <cellStyle name="常规 4 2 2 2 3 2 8 3" xfId="25393"/>
    <cellStyle name="常规 4 2 2 2 3 2 9" xfId="9696"/>
    <cellStyle name="常规 4 2 2 2 3 2 9 2" xfId="28541"/>
    <cellStyle name="常规 4 2 2 2 3 3" xfId="275"/>
    <cellStyle name="常规 4 2 2 2 3 3 2" xfId="671"/>
    <cellStyle name="常规 4 2 2 2 3 3 2 2" xfId="1455"/>
    <cellStyle name="常规 4 2 2 2 3 3 2 2 2" xfId="4591"/>
    <cellStyle name="常规 4 2 2 2 3 3 2 2 2 2" xfId="14011"/>
    <cellStyle name="常规 4 2 2 2 3 3 2 2 2 2 2" xfId="32859"/>
    <cellStyle name="常规 4 2 2 2 3 3 2 2 2 3" xfId="23435"/>
    <cellStyle name="常规 4 2 2 2 3 3 2 2 3" xfId="7727"/>
    <cellStyle name="常规 4 2 2 2 3 3 2 2 3 2" xfId="17147"/>
    <cellStyle name="常规 4 2 2 2 3 3 2 2 3 2 2" xfId="35995"/>
    <cellStyle name="常规 4 2 2 2 3 3 2 2 3 3" xfId="26571"/>
    <cellStyle name="常规 4 2 2 2 3 3 2 2 4" xfId="10875"/>
    <cellStyle name="常规 4 2 2 2 3 3 2 2 4 2" xfId="29723"/>
    <cellStyle name="常规 4 2 2 2 3 3 2 2 5" xfId="20299"/>
    <cellStyle name="常规 4 2 2 2 3 3 2 3" xfId="2239"/>
    <cellStyle name="常规 4 2 2 2 3 3 2 3 2" xfId="5375"/>
    <cellStyle name="常规 4 2 2 2 3 3 2 3 2 2" xfId="14795"/>
    <cellStyle name="常规 4 2 2 2 3 3 2 3 2 2 2" xfId="33643"/>
    <cellStyle name="常规 4 2 2 2 3 3 2 3 2 3" xfId="24219"/>
    <cellStyle name="常规 4 2 2 2 3 3 2 3 3" xfId="8511"/>
    <cellStyle name="常规 4 2 2 2 3 3 2 3 3 2" xfId="17931"/>
    <cellStyle name="常规 4 2 2 2 3 3 2 3 3 2 2" xfId="36779"/>
    <cellStyle name="常规 4 2 2 2 3 3 2 3 3 3" xfId="27355"/>
    <cellStyle name="常规 4 2 2 2 3 3 2 3 4" xfId="11659"/>
    <cellStyle name="常规 4 2 2 2 3 3 2 3 4 2" xfId="30507"/>
    <cellStyle name="常规 4 2 2 2 3 3 2 3 5" xfId="21083"/>
    <cellStyle name="常规 4 2 2 2 3 3 2 4" xfId="3023"/>
    <cellStyle name="常规 4 2 2 2 3 3 2 4 2" xfId="6159"/>
    <cellStyle name="常规 4 2 2 2 3 3 2 4 2 2" xfId="15579"/>
    <cellStyle name="常规 4 2 2 2 3 3 2 4 2 2 2" xfId="34427"/>
    <cellStyle name="常规 4 2 2 2 3 3 2 4 2 3" xfId="25003"/>
    <cellStyle name="常规 4 2 2 2 3 3 2 4 3" xfId="9295"/>
    <cellStyle name="常规 4 2 2 2 3 3 2 4 3 2" xfId="18715"/>
    <cellStyle name="常规 4 2 2 2 3 3 2 4 3 2 2" xfId="37563"/>
    <cellStyle name="常规 4 2 2 2 3 3 2 4 3 3" xfId="28139"/>
    <cellStyle name="常规 4 2 2 2 3 3 2 4 4" xfId="12443"/>
    <cellStyle name="常规 4 2 2 2 3 3 2 4 4 2" xfId="31291"/>
    <cellStyle name="常规 4 2 2 2 3 3 2 4 5" xfId="21867"/>
    <cellStyle name="常规 4 2 2 2 3 3 2 5" xfId="3807"/>
    <cellStyle name="常规 4 2 2 2 3 3 2 5 2" xfId="13227"/>
    <cellStyle name="常规 4 2 2 2 3 3 2 5 2 2" xfId="32075"/>
    <cellStyle name="常规 4 2 2 2 3 3 2 5 3" xfId="22651"/>
    <cellStyle name="常规 4 2 2 2 3 3 2 6" xfId="6943"/>
    <cellStyle name="常规 4 2 2 2 3 3 2 6 2" xfId="16363"/>
    <cellStyle name="常规 4 2 2 2 3 3 2 6 2 2" xfId="35211"/>
    <cellStyle name="常规 4 2 2 2 3 3 2 6 3" xfId="25787"/>
    <cellStyle name="常规 4 2 2 2 3 3 2 7" xfId="10091"/>
    <cellStyle name="常规 4 2 2 2 3 3 2 7 2" xfId="28939"/>
    <cellStyle name="常规 4 2 2 2 3 3 2 8" xfId="19515"/>
    <cellStyle name="常规 4 2 2 2 3 3 3" xfId="1063"/>
    <cellStyle name="常规 4 2 2 2 3 3 3 2" xfId="4199"/>
    <cellStyle name="常规 4 2 2 2 3 3 3 2 2" xfId="13619"/>
    <cellStyle name="常规 4 2 2 2 3 3 3 2 2 2" xfId="32467"/>
    <cellStyle name="常规 4 2 2 2 3 3 3 2 3" xfId="23043"/>
    <cellStyle name="常规 4 2 2 2 3 3 3 3" xfId="7335"/>
    <cellStyle name="常规 4 2 2 2 3 3 3 3 2" xfId="16755"/>
    <cellStyle name="常规 4 2 2 2 3 3 3 3 2 2" xfId="35603"/>
    <cellStyle name="常规 4 2 2 2 3 3 3 3 3" xfId="26179"/>
    <cellStyle name="常规 4 2 2 2 3 3 3 4" xfId="10483"/>
    <cellStyle name="常规 4 2 2 2 3 3 3 4 2" xfId="29331"/>
    <cellStyle name="常规 4 2 2 2 3 3 3 5" xfId="19907"/>
    <cellStyle name="常规 4 2 2 2 3 3 4" xfId="1847"/>
    <cellStyle name="常规 4 2 2 2 3 3 4 2" xfId="4983"/>
    <cellStyle name="常规 4 2 2 2 3 3 4 2 2" xfId="14403"/>
    <cellStyle name="常规 4 2 2 2 3 3 4 2 2 2" xfId="33251"/>
    <cellStyle name="常规 4 2 2 2 3 3 4 2 3" xfId="23827"/>
    <cellStyle name="常规 4 2 2 2 3 3 4 3" xfId="8119"/>
    <cellStyle name="常规 4 2 2 2 3 3 4 3 2" xfId="17539"/>
    <cellStyle name="常规 4 2 2 2 3 3 4 3 2 2" xfId="36387"/>
    <cellStyle name="常规 4 2 2 2 3 3 4 3 3" xfId="26963"/>
    <cellStyle name="常规 4 2 2 2 3 3 4 4" xfId="11267"/>
    <cellStyle name="常规 4 2 2 2 3 3 4 4 2" xfId="30115"/>
    <cellStyle name="常规 4 2 2 2 3 3 4 5" xfId="20691"/>
    <cellStyle name="常规 4 2 2 2 3 3 5" xfId="2631"/>
    <cellStyle name="常规 4 2 2 2 3 3 5 2" xfId="5767"/>
    <cellStyle name="常规 4 2 2 2 3 3 5 2 2" xfId="15187"/>
    <cellStyle name="常规 4 2 2 2 3 3 5 2 2 2" xfId="34035"/>
    <cellStyle name="常规 4 2 2 2 3 3 5 2 3" xfId="24611"/>
    <cellStyle name="常规 4 2 2 2 3 3 5 3" xfId="8903"/>
    <cellStyle name="常规 4 2 2 2 3 3 5 3 2" xfId="18323"/>
    <cellStyle name="常规 4 2 2 2 3 3 5 3 2 2" xfId="37171"/>
    <cellStyle name="常规 4 2 2 2 3 3 5 3 3" xfId="27747"/>
    <cellStyle name="常规 4 2 2 2 3 3 5 4" xfId="12051"/>
    <cellStyle name="常规 4 2 2 2 3 3 5 4 2" xfId="30899"/>
    <cellStyle name="常规 4 2 2 2 3 3 5 5" xfId="21475"/>
    <cellStyle name="常规 4 2 2 2 3 3 6" xfId="3441"/>
    <cellStyle name="常规 4 2 2 2 3 3 6 2" xfId="12861"/>
    <cellStyle name="常规 4 2 2 2 3 3 6 2 2" xfId="31709"/>
    <cellStyle name="常规 4 2 2 2 3 3 6 3" xfId="22285"/>
    <cellStyle name="常规 4 2 2 2 3 3 7" xfId="6551"/>
    <cellStyle name="常规 4 2 2 2 3 3 7 2" xfId="15971"/>
    <cellStyle name="常规 4 2 2 2 3 3 7 2 2" xfId="34819"/>
    <cellStyle name="常规 4 2 2 2 3 3 7 3" xfId="25395"/>
    <cellStyle name="常规 4 2 2 2 3 3 8" xfId="9698"/>
    <cellStyle name="常规 4 2 2 2 3 3 8 2" xfId="28543"/>
    <cellStyle name="常规 4 2 2 2 3 3 9" xfId="19121"/>
    <cellStyle name="常规 4 2 2 2 3 4" xfId="668"/>
    <cellStyle name="常规 4 2 2 2 3 4 2" xfId="1452"/>
    <cellStyle name="常规 4 2 2 2 3 4 2 2" xfId="4588"/>
    <cellStyle name="常规 4 2 2 2 3 4 2 2 2" xfId="14008"/>
    <cellStyle name="常规 4 2 2 2 3 4 2 2 2 2" xfId="32856"/>
    <cellStyle name="常规 4 2 2 2 3 4 2 2 3" xfId="23432"/>
    <cellStyle name="常规 4 2 2 2 3 4 2 3" xfId="7724"/>
    <cellStyle name="常规 4 2 2 2 3 4 2 3 2" xfId="17144"/>
    <cellStyle name="常规 4 2 2 2 3 4 2 3 2 2" xfId="35992"/>
    <cellStyle name="常规 4 2 2 2 3 4 2 3 3" xfId="26568"/>
    <cellStyle name="常规 4 2 2 2 3 4 2 4" xfId="10872"/>
    <cellStyle name="常规 4 2 2 2 3 4 2 4 2" xfId="29720"/>
    <cellStyle name="常规 4 2 2 2 3 4 2 5" xfId="20296"/>
    <cellStyle name="常规 4 2 2 2 3 4 3" xfId="2236"/>
    <cellStyle name="常规 4 2 2 2 3 4 3 2" xfId="5372"/>
    <cellStyle name="常规 4 2 2 2 3 4 3 2 2" xfId="14792"/>
    <cellStyle name="常规 4 2 2 2 3 4 3 2 2 2" xfId="33640"/>
    <cellStyle name="常规 4 2 2 2 3 4 3 2 3" xfId="24216"/>
    <cellStyle name="常规 4 2 2 2 3 4 3 3" xfId="8508"/>
    <cellStyle name="常规 4 2 2 2 3 4 3 3 2" xfId="17928"/>
    <cellStyle name="常规 4 2 2 2 3 4 3 3 2 2" xfId="36776"/>
    <cellStyle name="常规 4 2 2 2 3 4 3 3 3" xfId="27352"/>
    <cellStyle name="常规 4 2 2 2 3 4 3 4" xfId="11656"/>
    <cellStyle name="常规 4 2 2 2 3 4 3 4 2" xfId="30504"/>
    <cellStyle name="常规 4 2 2 2 3 4 3 5" xfId="21080"/>
    <cellStyle name="常规 4 2 2 2 3 4 4" xfId="3020"/>
    <cellStyle name="常规 4 2 2 2 3 4 4 2" xfId="6156"/>
    <cellStyle name="常规 4 2 2 2 3 4 4 2 2" xfId="15576"/>
    <cellStyle name="常规 4 2 2 2 3 4 4 2 2 2" xfId="34424"/>
    <cellStyle name="常规 4 2 2 2 3 4 4 2 3" xfId="25000"/>
    <cellStyle name="常规 4 2 2 2 3 4 4 3" xfId="9292"/>
    <cellStyle name="常规 4 2 2 2 3 4 4 3 2" xfId="18712"/>
    <cellStyle name="常规 4 2 2 2 3 4 4 3 2 2" xfId="37560"/>
    <cellStyle name="常规 4 2 2 2 3 4 4 3 3" xfId="28136"/>
    <cellStyle name="常规 4 2 2 2 3 4 4 4" xfId="12440"/>
    <cellStyle name="常规 4 2 2 2 3 4 4 4 2" xfId="31288"/>
    <cellStyle name="常规 4 2 2 2 3 4 4 5" xfId="21864"/>
    <cellStyle name="常规 4 2 2 2 3 4 5" xfId="3804"/>
    <cellStyle name="常规 4 2 2 2 3 4 5 2" xfId="13224"/>
    <cellStyle name="常规 4 2 2 2 3 4 5 2 2" xfId="32072"/>
    <cellStyle name="常规 4 2 2 2 3 4 5 3" xfId="22648"/>
    <cellStyle name="常规 4 2 2 2 3 4 6" xfId="6940"/>
    <cellStyle name="常规 4 2 2 2 3 4 6 2" xfId="16360"/>
    <cellStyle name="常规 4 2 2 2 3 4 6 2 2" xfId="35208"/>
    <cellStyle name="常规 4 2 2 2 3 4 6 3" xfId="25784"/>
    <cellStyle name="常规 4 2 2 2 3 4 7" xfId="10088"/>
    <cellStyle name="常规 4 2 2 2 3 4 7 2" xfId="28936"/>
    <cellStyle name="常规 4 2 2 2 3 4 8" xfId="19512"/>
    <cellStyle name="常规 4 2 2 2 3 5" xfId="1060"/>
    <cellStyle name="常规 4 2 2 2 3 5 2" xfId="4196"/>
    <cellStyle name="常规 4 2 2 2 3 5 2 2" xfId="13616"/>
    <cellStyle name="常规 4 2 2 2 3 5 2 2 2" xfId="32464"/>
    <cellStyle name="常规 4 2 2 2 3 5 2 3" xfId="23040"/>
    <cellStyle name="常规 4 2 2 2 3 5 3" xfId="7332"/>
    <cellStyle name="常规 4 2 2 2 3 5 3 2" xfId="16752"/>
    <cellStyle name="常规 4 2 2 2 3 5 3 2 2" xfId="35600"/>
    <cellStyle name="常规 4 2 2 2 3 5 3 3" xfId="26176"/>
    <cellStyle name="常规 4 2 2 2 3 5 4" xfId="10480"/>
    <cellStyle name="常规 4 2 2 2 3 5 4 2" xfId="29328"/>
    <cellStyle name="常规 4 2 2 2 3 5 5" xfId="19904"/>
    <cellStyle name="常规 4 2 2 2 3 6" xfId="1844"/>
    <cellStyle name="常规 4 2 2 2 3 6 2" xfId="4980"/>
    <cellStyle name="常规 4 2 2 2 3 6 2 2" xfId="14400"/>
    <cellStyle name="常规 4 2 2 2 3 6 2 2 2" xfId="33248"/>
    <cellStyle name="常规 4 2 2 2 3 6 2 3" xfId="23824"/>
    <cellStyle name="常规 4 2 2 2 3 6 3" xfId="8116"/>
    <cellStyle name="常规 4 2 2 2 3 6 3 2" xfId="17536"/>
    <cellStyle name="常规 4 2 2 2 3 6 3 2 2" xfId="36384"/>
    <cellStyle name="常规 4 2 2 2 3 6 3 3" xfId="26960"/>
    <cellStyle name="常规 4 2 2 2 3 6 4" xfId="11264"/>
    <cellStyle name="常规 4 2 2 2 3 6 4 2" xfId="30112"/>
    <cellStyle name="常规 4 2 2 2 3 6 5" xfId="20688"/>
    <cellStyle name="常规 4 2 2 2 3 7" xfId="2628"/>
    <cellStyle name="常规 4 2 2 2 3 7 2" xfId="5764"/>
    <cellStyle name="常规 4 2 2 2 3 7 2 2" xfId="15184"/>
    <cellStyle name="常规 4 2 2 2 3 7 2 2 2" xfId="34032"/>
    <cellStyle name="常规 4 2 2 2 3 7 2 3" xfId="24608"/>
    <cellStyle name="常规 4 2 2 2 3 7 3" xfId="8900"/>
    <cellStyle name="常规 4 2 2 2 3 7 3 2" xfId="18320"/>
    <cellStyle name="常规 4 2 2 2 3 7 3 2 2" xfId="37168"/>
    <cellStyle name="常规 4 2 2 2 3 7 3 3" xfId="27744"/>
    <cellStyle name="常规 4 2 2 2 3 7 4" xfId="12048"/>
    <cellStyle name="常规 4 2 2 2 3 7 4 2" xfId="30896"/>
    <cellStyle name="常规 4 2 2 2 3 7 5" xfId="21472"/>
    <cellStyle name="常规 4 2 2 2 3 8" xfId="3226"/>
    <cellStyle name="常规 4 2 2 2 3 8 2" xfId="12646"/>
    <cellStyle name="常规 4 2 2 2 3 8 2 2" xfId="31494"/>
    <cellStyle name="常规 4 2 2 2 3 8 3" xfId="22070"/>
    <cellStyle name="常规 4 2 2 2 3 9" xfId="6548"/>
    <cellStyle name="常规 4 2 2 2 3 9 2" xfId="15968"/>
    <cellStyle name="常规 4 2 2 2 3 9 2 2" xfId="34816"/>
    <cellStyle name="常规 4 2 2 2 3 9 3" xfId="25392"/>
    <cellStyle name="常规 4 2 2 2 4" xfId="276"/>
    <cellStyle name="常规 4 2 2 2 4 10" xfId="19122"/>
    <cellStyle name="常规 4 2 2 2 4 2" xfId="277"/>
    <cellStyle name="常规 4 2 2 2 4 2 2" xfId="673"/>
    <cellStyle name="常规 4 2 2 2 4 2 2 2" xfId="1457"/>
    <cellStyle name="常规 4 2 2 2 4 2 2 2 2" xfId="4593"/>
    <cellStyle name="常规 4 2 2 2 4 2 2 2 2 2" xfId="14013"/>
    <cellStyle name="常规 4 2 2 2 4 2 2 2 2 2 2" xfId="32861"/>
    <cellStyle name="常规 4 2 2 2 4 2 2 2 2 3" xfId="23437"/>
    <cellStyle name="常规 4 2 2 2 4 2 2 2 3" xfId="7729"/>
    <cellStyle name="常规 4 2 2 2 4 2 2 2 3 2" xfId="17149"/>
    <cellStyle name="常规 4 2 2 2 4 2 2 2 3 2 2" xfId="35997"/>
    <cellStyle name="常规 4 2 2 2 4 2 2 2 3 3" xfId="26573"/>
    <cellStyle name="常规 4 2 2 2 4 2 2 2 4" xfId="10877"/>
    <cellStyle name="常规 4 2 2 2 4 2 2 2 4 2" xfId="29725"/>
    <cellStyle name="常规 4 2 2 2 4 2 2 2 5" xfId="20301"/>
    <cellStyle name="常规 4 2 2 2 4 2 2 3" xfId="2241"/>
    <cellStyle name="常规 4 2 2 2 4 2 2 3 2" xfId="5377"/>
    <cellStyle name="常规 4 2 2 2 4 2 2 3 2 2" xfId="14797"/>
    <cellStyle name="常规 4 2 2 2 4 2 2 3 2 2 2" xfId="33645"/>
    <cellStyle name="常规 4 2 2 2 4 2 2 3 2 3" xfId="24221"/>
    <cellStyle name="常规 4 2 2 2 4 2 2 3 3" xfId="8513"/>
    <cellStyle name="常规 4 2 2 2 4 2 2 3 3 2" xfId="17933"/>
    <cellStyle name="常规 4 2 2 2 4 2 2 3 3 2 2" xfId="36781"/>
    <cellStyle name="常规 4 2 2 2 4 2 2 3 3 3" xfId="27357"/>
    <cellStyle name="常规 4 2 2 2 4 2 2 3 4" xfId="11661"/>
    <cellStyle name="常规 4 2 2 2 4 2 2 3 4 2" xfId="30509"/>
    <cellStyle name="常规 4 2 2 2 4 2 2 3 5" xfId="21085"/>
    <cellStyle name="常规 4 2 2 2 4 2 2 4" xfId="3025"/>
    <cellStyle name="常规 4 2 2 2 4 2 2 4 2" xfId="6161"/>
    <cellStyle name="常规 4 2 2 2 4 2 2 4 2 2" xfId="15581"/>
    <cellStyle name="常规 4 2 2 2 4 2 2 4 2 2 2" xfId="34429"/>
    <cellStyle name="常规 4 2 2 2 4 2 2 4 2 3" xfId="25005"/>
    <cellStyle name="常规 4 2 2 2 4 2 2 4 3" xfId="9297"/>
    <cellStyle name="常规 4 2 2 2 4 2 2 4 3 2" xfId="18717"/>
    <cellStyle name="常规 4 2 2 2 4 2 2 4 3 2 2" xfId="37565"/>
    <cellStyle name="常规 4 2 2 2 4 2 2 4 3 3" xfId="28141"/>
    <cellStyle name="常规 4 2 2 2 4 2 2 4 4" xfId="12445"/>
    <cellStyle name="常规 4 2 2 2 4 2 2 4 4 2" xfId="31293"/>
    <cellStyle name="常规 4 2 2 2 4 2 2 4 5" xfId="21869"/>
    <cellStyle name="常规 4 2 2 2 4 2 2 5" xfId="3809"/>
    <cellStyle name="常规 4 2 2 2 4 2 2 5 2" xfId="13229"/>
    <cellStyle name="常规 4 2 2 2 4 2 2 5 2 2" xfId="32077"/>
    <cellStyle name="常规 4 2 2 2 4 2 2 5 3" xfId="22653"/>
    <cellStyle name="常规 4 2 2 2 4 2 2 6" xfId="6945"/>
    <cellStyle name="常规 4 2 2 2 4 2 2 6 2" xfId="16365"/>
    <cellStyle name="常规 4 2 2 2 4 2 2 6 2 2" xfId="35213"/>
    <cellStyle name="常规 4 2 2 2 4 2 2 6 3" xfId="25789"/>
    <cellStyle name="常规 4 2 2 2 4 2 2 7" xfId="10093"/>
    <cellStyle name="常规 4 2 2 2 4 2 2 7 2" xfId="28941"/>
    <cellStyle name="常规 4 2 2 2 4 2 2 8" xfId="19517"/>
    <cellStyle name="常规 4 2 2 2 4 2 3" xfId="1065"/>
    <cellStyle name="常规 4 2 2 2 4 2 3 2" xfId="4201"/>
    <cellStyle name="常规 4 2 2 2 4 2 3 2 2" xfId="13621"/>
    <cellStyle name="常规 4 2 2 2 4 2 3 2 2 2" xfId="32469"/>
    <cellStyle name="常规 4 2 2 2 4 2 3 2 3" xfId="23045"/>
    <cellStyle name="常规 4 2 2 2 4 2 3 3" xfId="7337"/>
    <cellStyle name="常规 4 2 2 2 4 2 3 3 2" xfId="16757"/>
    <cellStyle name="常规 4 2 2 2 4 2 3 3 2 2" xfId="35605"/>
    <cellStyle name="常规 4 2 2 2 4 2 3 3 3" xfId="26181"/>
    <cellStyle name="常规 4 2 2 2 4 2 3 4" xfId="10485"/>
    <cellStyle name="常规 4 2 2 2 4 2 3 4 2" xfId="29333"/>
    <cellStyle name="常规 4 2 2 2 4 2 3 5" xfId="19909"/>
    <cellStyle name="常规 4 2 2 2 4 2 4" xfId="1849"/>
    <cellStyle name="常规 4 2 2 2 4 2 4 2" xfId="4985"/>
    <cellStyle name="常规 4 2 2 2 4 2 4 2 2" xfId="14405"/>
    <cellStyle name="常规 4 2 2 2 4 2 4 2 2 2" xfId="33253"/>
    <cellStyle name="常规 4 2 2 2 4 2 4 2 3" xfId="23829"/>
    <cellStyle name="常规 4 2 2 2 4 2 4 3" xfId="8121"/>
    <cellStyle name="常规 4 2 2 2 4 2 4 3 2" xfId="17541"/>
    <cellStyle name="常规 4 2 2 2 4 2 4 3 2 2" xfId="36389"/>
    <cellStyle name="常规 4 2 2 2 4 2 4 3 3" xfId="26965"/>
    <cellStyle name="常规 4 2 2 2 4 2 4 4" xfId="11269"/>
    <cellStyle name="常规 4 2 2 2 4 2 4 4 2" xfId="30117"/>
    <cellStyle name="常规 4 2 2 2 4 2 4 5" xfId="20693"/>
    <cellStyle name="常规 4 2 2 2 4 2 5" xfId="2633"/>
    <cellStyle name="常规 4 2 2 2 4 2 5 2" xfId="5769"/>
    <cellStyle name="常规 4 2 2 2 4 2 5 2 2" xfId="15189"/>
    <cellStyle name="常规 4 2 2 2 4 2 5 2 2 2" xfId="34037"/>
    <cellStyle name="常规 4 2 2 2 4 2 5 2 3" xfId="24613"/>
    <cellStyle name="常规 4 2 2 2 4 2 5 3" xfId="8905"/>
    <cellStyle name="常规 4 2 2 2 4 2 5 3 2" xfId="18325"/>
    <cellStyle name="常规 4 2 2 2 4 2 5 3 2 2" xfId="37173"/>
    <cellStyle name="常规 4 2 2 2 4 2 5 3 3" xfId="27749"/>
    <cellStyle name="常规 4 2 2 2 4 2 5 4" xfId="12053"/>
    <cellStyle name="常规 4 2 2 2 4 2 5 4 2" xfId="30901"/>
    <cellStyle name="常规 4 2 2 2 4 2 5 5" xfId="21477"/>
    <cellStyle name="常规 4 2 2 2 4 2 6" xfId="3443"/>
    <cellStyle name="常规 4 2 2 2 4 2 6 2" xfId="12863"/>
    <cellStyle name="常规 4 2 2 2 4 2 6 2 2" xfId="31711"/>
    <cellStyle name="常规 4 2 2 2 4 2 6 3" xfId="22287"/>
    <cellStyle name="常规 4 2 2 2 4 2 7" xfId="6553"/>
    <cellStyle name="常规 4 2 2 2 4 2 7 2" xfId="15973"/>
    <cellStyle name="常规 4 2 2 2 4 2 7 2 2" xfId="34821"/>
    <cellStyle name="常规 4 2 2 2 4 2 7 3" xfId="25397"/>
    <cellStyle name="常规 4 2 2 2 4 2 8" xfId="9700"/>
    <cellStyle name="常规 4 2 2 2 4 2 8 2" xfId="28545"/>
    <cellStyle name="常规 4 2 2 2 4 2 9" xfId="19123"/>
    <cellStyle name="常规 4 2 2 2 4 3" xfId="672"/>
    <cellStyle name="常规 4 2 2 2 4 3 2" xfId="1456"/>
    <cellStyle name="常规 4 2 2 2 4 3 2 2" xfId="4592"/>
    <cellStyle name="常规 4 2 2 2 4 3 2 2 2" xfId="14012"/>
    <cellStyle name="常规 4 2 2 2 4 3 2 2 2 2" xfId="32860"/>
    <cellStyle name="常规 4 2 2 2 4 3 2 2 3" xfId="23436"/>
    <cellStyle name="常规 4 2 2 2 4 3 2 3" xfId="7728"/>
    <cellStyle name="常规 4 2 2 2 4 3 2 3 2" xfId="17148"/>
    <cellStyle name="常规 4 2 2 2 4 3 2 3 2 2" xfId="35996"/>
    <cellStyle name="常规 4 2 2 2 4 3 2 3 3" xfId="26572"/>
    <cellStyle name="常规 4 2 2 2 4 3 2 4" xfId="10876"/>
    <cellStyle name="常规 4 2 2 2 4 3 2 4 2" xfId="29724"/>
    <cellStyle name="常规 4 2 2 2 4 3 2 5" xfId="20300"/>
    <cellStyle name="常规 4 2 2 2 4 3 3" xfId="2240"/>
    <cellStyle name="常规 4 2 2 2 4 3 3 2" xfId="5376"/>
    <cellStyle name="常规 4 2 2 2 4 3 3 2 2" xfId="14796"/>
    <cellStyle name="常规 4 2 2 2 4 3 3 2 2 2" xfId="33644"/>
    <cellStyle name="常规 4 2 2 2 4 3 3 2 3" xfId="24220"/>
    <cellStyle name="常规 4 2 2 2 4 3 3 3" xfId="8512"/>
    <cellStyle name="常规 4 2 2 2 4 3 3 3 2" xfId="17932"/>
    <cellStyle name="常规 4 2 2 2 4 3 3 3 2 2" xfId="36780"/>
    <cellStyle name="常规 4 2 2 2 4 3 3 3 3" xfId="27356"/>
    <cellStyle name="常规 4 2 2 2 4 3 3 4" xfId="11660"/>
    <cellStyle name="常规 4 2 2 2 4 3 3 4 2" xfId="30508"/>
    <cellStyle name="常规 4 2 2 2 4 3 3 5" xfId="21084"/>
    <cellStyle name="常规 4 2 2 2 4 3 4" xfId="3024"/>
    <cellStyle name="常规 4 2 2 2 4 3 4 2" xfId="6160"/>
    <cellStyle name="常规 4 2 2 2 4 3 4 2 2" xfId="15580"/>
    <cellStyle name="常规 4 2 2 2 4 3 4 2 2 2" xfId="34428"/>
    <cellStyle name="常规 4 2 2 2 4 3 4 2 3" xfId="25004"/>
    <cellStyle name="常规 4 2 2 2 4 3 4 3" xfId="9296"/>
    <cellStyle name="常规 4 2 2 2 4 3 4 3 2" xfId="18716"/>
    <cellStyle name="常规 4 2 2 2 4 3 4 3 2 2" xfId="37564"/>
    <cellStyle name="常规 4 2 2 2 4 3 4 3 3" xfId="28140"/>
    <cellStyle name="常规 4 2 2 2 4 3 4 4" xfId="12444"/>
    <cellStyle name="常规 4 2 2 2 4 3 4 4 2" xfId="31292"/>
    <cellStyle name="常规 4 2 2 2 4 3 4 5" xfId="21868"/>
    <cellStyle name="常规 4 2 2 2 4 3 5" xfId="3808"/>
    <cellStyle name="常规 4 2 2 2 4 3 5 2" xfId="13228"/>
    <cellStyle name="常规 4 2 2 2 4 3 5 2 2" xfId="32076"/>
    <cellStyle name="常规 4 2 2 2 4 3 5 3" xfId="22652"/>
    <cellStyle name="常规 4 2 2 2 4 3 6" xfId="6944"/>
    <cellStyle name="常规 4 2 2 2 4 3 6 2" xfId="16364"/>
    <cellStyle name="常规 4 2 2 2 4 3 6 2 2" xfId="35212"/>
    <cellStyle name="常规 4 2 2 2 4 3 6 3" xfId="25788"/>
    <cellStyle name="常规 4 2 2 2 4 3 7" xfId="10092"/>
    <cellStyle name="常规 4 2 2 2 4 3 7 2" xfId="28940"/>
    <cellStyle name="常规 4 2 2 2 4 3 8" xfId="19516"/>
    <cellStyle name="常规 4 2 2 2 4 4" xfId="1064"/>
    <cellStyle name="常规 4 2 2 2 4 4 2" xfId="4200"/>
    <cellStyle name="常规 4 2 2 2 4 4 2 2" xfId="13620"/>
    <cellStyle name="常规 4 2 2 2 4 4 2 2 2" xfId="32468"/>
    <cellStyle name="常规 4 2 2 2 4 4 2 3" xfId="23044"/>
    <cellStyle name="常规 4 2 2 2 4 4 3" xfId="7336"/>
    <cellStyle name="常规 4 2 2 2 4 4 3 2" xfId="16756"/>
    <cellStyle name="常规 4 2 2 2 4 4 3 2 2" xfId="35604"/>
    <cellStyle name="常规 4 2 2 2 4 4 3 3" xfId="26180"/>
    <cellStyle name="常规 4 2 2 2 4 4 4" xfId="10484"/>
    <cellStyle name="常规 4 2 2 2 4 4 4 2" xfId="29332"/>
    <cellStyle name="常规 4 2 2 2 4 4 5" xfId="19908"/>
    <cellStyle name="常规 4 2 2 2 4 5" xfId="1848"/>
    <cellStyle name="常规 4 2 2 2 4 5 2" xfId="4984"/>
    <cellStyle name="常规 4 2 2 2 4 5 2 2" xfId="14404"/>
    <cellStyle name="常规 4 2 2 2 4 5 2 2 2" xfId="33252"/>
    <cellStyle name="常规 4 2 2 2 4 5 2 3" xfId="23828"/>
    <cellStyle name="常规 4 2 2 2 4 5 3" xfId="8120"/>
    <cellStyle name="常规 4 2 2 2 4 5 3 2" xfId="17540"/>
    <cellStyle name="常规 4 2 2 2 4 5 3 2 2" xfId="36388"/>
    <cellStyle name="常规 4 2 2 2 4 5 3 3" xfId="26964"/>
    <cellStyle name="常规 4 2 2 2 4 5 4" xfId="11268"/>
    <cellStyle name="常规 4 2 2 2 4 5 4 2" xfId="30116"/>
    <cellStyle name="常规 4 2 2 2 4 5 5" xfId="20692"/>
    <cellStyle name="常规 4 2 2 2 4 6" xfId="2632"/>
    <cellStyle name="常规 4 2 2 2 4 6 2" xfId="5768"/>
    <cellStyle name="常规 4 2 2 2 4 6 2 2" xfId="15188"/>
    <cellStyle name="常规 4 2 2 2 4 6 2 2 2" xfId="34036"/>
    <cellStyle name="常规 4 2 2 2 4 6 2 3" xfId="24612"/>
    <cellStyle name="常规 4 2 2 2 4 6 3" xfId="8904"/>
    <cellStyle name="常规 4 2 2 2 4 6 3 2" xfId="18324"/>
    <cellStyle name="常规 4 2 2 2 4 6 3 2 2" xfId="37172"/>
    <cellStyle name="常规 4 2 2 2 4 6 3 3" xfId="27748"/>
    <cellStyle name="常规 4 2 2 2 4 6 4" xfId="12052"/>
    <cellStyle name="常规 4 2 2 2 4 6 4 2" xfId="30900"/>
    <cellStyle name="常规 4 2 2 2 4 6 5" xfId="21476"/>
    <cellStyle name="常规 4 2 2 2 4 7" xfId="3442"/>
    <cellStyle name="常规 4 2 2 2 4 7 2" xfId="12862"/>
    <cellStyle name="常规 4 2 2 2 4 7 2 2" xfId="31710"/>
    <cellStyle name="常规 4 2 2 2 4 7 3" xfId="22286"/>
    <cellStyle name="常规 4 2 2 2 4 8" xfId="6552"/>
    <cellStyle name="常规 4 2 2 2 4 8 2" xfId="15972"/>
    <cellStyle name="常规 4 2 2 2 4 8 2 2" xfId="34820"/>
    <cellStyle name="常规 4 2 2 2 4 8 3" xfId="25396"/>
    <cellStyle name="常规 4 2 2 2 4 9" xfId="9699"/>
    <cellStyle name="常规 4 2 2 2 4 9 2" xfId="28544"/>
    <cellStyle name="常规 4 2 2 2 5" xfId="278"/>
    <cellStyle name="常规 4 2 2 2 5 2" xfId="674"/>
    <cellStyle name="常规 4 2 2 2 5 2 2" xfId="1458"/>
    <cellStyle name="常规 4 2 2 2 5 2 2 2" xfId="4594"/>
    <cellStyle name="常规 4 2 2 2 5 2 2 2 2" xfId="14014"/>
    <cellStyle name="常规 4 2 2 2 5 2 2 2 2 2" xfId="32862"/>
    <cellStyle name="常规 4 2 2 2 5 2 2 2 3" xfId="23438"/>
    <cellStyle name="常规 4 2 2 2 5 2 2 3" xfId="7730"/>
    <cellStyle name="常规 4 2 2 2 5 2 2 3 2" xfId="17150"/>
    <cellStyle name="常规 4 2 2 2 5 2 2 3 2 2" xfId="35998"/>
    <cellStyle name="常规 4 2 2 2 5 2 2 3 3" xfId="26574"/>
    <cellStyle name="常规 4 2 2 2 5 2 2 4" xfId="10878"/>
    <cellStyle name="常规 4 2 2 2 5 2 2 4 2" xfId="29726"/>
    <cellStyle name="常规 4 2 2 2 5 2 2 5" xfId="20302"/>
    <cellStyle name="常规 4 2 2 2 5 2 3" xfId="2242"/>
    <cellStyle name="常规 4 2 2 2 5 2 3 2" xfId="5378"/>
    <cellStyle name="常规 4 2 2 2 5 2 3 2 2" xfId="14798"/>
    <cellStyle name="常规 4 2 2 2 5 2 3 2 2 2" xfId="33646"/>
    <cellStyle name="常规 4 2 2 2 5 2 3 2 3" xfId="24222"/>
    <cellStyle name="常规 4 2 2 2 5 2 3 3" xfId="8514"/>
    <cellStyle name="常规 4 2 2 2 5 2 3 3 2" xfId="17934"/>
    <cellStyle name="常规 4 2 2 2 5 2 3 3 2 2" xfId="36782"/>
    <cellStyle name="常规 4 2 2 2 5 2 3 3 3" xfId="27358"/>
    <cellStyle name="常规 4 2 2 2 5 2 3 4" xfId="11662"/>
    <cellStyle name="常规 4 2 2 2 5 2 3 4 2" xfId="30510"/>
    <cellStyle name="常规 4 2 2 2 5 2 3 5" xfId="21086"/>
    <cellStyle name="常规 4 2 2 2 5 2 4" xfId="3026"/>
    <cellStyle name="常规 4 2 2 2 5 2 4 2" xfId="6162"/>
    <cellStyle name="常规 4 2 2 2 5 2 4 2 2" xfId="15582"/>
    <cellStyle name="常规 4 2 2 2 5 2 4 2 2 2" xfId="34430"/>
    <cellStyle name="常规 4 2 2 2 5 2 4 2 3" xfId="25006"/>
    <cellStyle name="常规 4 2 2 2 5 2 4 3" xfId="9298"/>
    <cellStyle name="常规 4 2 2 2 5 2 4 3 2" xfId="18718"/>
    <cellStyle name="常规 4 2 2 2 5 2 4 3 2 2" xfId="37566"/>
    <cellStyle name="常规 4 2 2 2 5 2 4 3 3" xfId="28142"/>
    <cellStyle name="常规 4 2 2 2 5 2 4 4" xfId="12446"/>
    <cellStyle name="常规 4 2 2 2 5 2 4 4 2" xfId="31294"/>
    <cellStyle name="常规 4 2 2 2 5 2 4 5" xfId="21870"/>
    <cellStyle name="常规 4 2 2 2 5 2 5" xfId="3810"/>
    <cellStyle name="常规 4 2 2 2 5 2 5 2" xfId="13230"/>
    <cellStyle name="常规 4 2 2 2 5 2 5 2 2" xfId="32078"/>
    <cellStyle name="常规 4 2 2 2 5 2 5 3" xfId="22654"/>
    <cellStyle name="常规 4 2 2 2 5 2 6" xfId="6946"/>
    <cellStyle name="常规 4 2 2 2 5 2 6 2" xfId="16366"/>
    <cellStyle name="常规 4 2 2 2 5 2 6 2 2" xfId="35214"/>
    <cellStyle name="常规 4 2 2 2 5 2 6 3" xfId="25790"/>
    <cellStyle name="常规 4 2 2 2 5 2 7" xfId="10094"/>
    <cellStyle name="常规 4 2 2 2 5 2 7 2" xfId="28942"/>
    <cellStyle name="常规 4 2 2 2 5 2 8" xfId="19518"/>
    <cellStyle name="常规 4 2 2 2 5 3" xfId="1066"/>
    <cellStyle name="常规 4 2 2 2 5 3 2" xfId="4202"/>
    <cellStyle name="常规 4 2 2 2 5 3 2 2" xfId="13622"/>
    <cellStyle name="常规 4 2 2 2 5 3 2 2 2" xfId="32470"/>
    <cellStyle name="常规 4 2 2 2 5 3 2 3" xfId="23046"/>
    <cellStyle name="常规 4 2 2 2 5 3 3" xfId="7338"/>
    <cellStyle name="常规 4 2 2 2 5 3 3 2" xfId="16758"/>
    <cellStyle name="常规 4 2 2 2 5 3 3 2 2" xfId="35606"/>
    <cellStyle name="常规 4 2 2 2 5 3 3 3" xfId="26182"/>
    <cellStyle name="常规 4 2 2 2 5 3 4" xfId="10486"/>
    <cellStyle name="常规 4 2 2 2 5 3 4 2" xfId="29334"/>
    <cellStyle name="常规 4 2 2 2 5 3 5" xfId="19910"/>
    <cellStyle name="常规 4 2 2 2 5 4" xfId="1850"/>
    <cellStyle name="常规 4 2 2 2 5 4 2" xfId="4986"/>
    <cellStyle name="常规 4 2 2 2 5 4 2 2" xfId="14406"/>
    <cellStyle name="常规 4 2 2 2 5 4 2 2 2" xfId="33254"/>
    <cellStyle name="常规 4 2 2 2 5 4 2 3" xfId="23830"/>
    <cellStyle name="常规 4 2 2 2 5 4 3" xfId="8122"/>
    <cellStyle name="常规 4 2 2 2 5 4 3 2" xfId="17542"/>
    <cellStyle name="常规 4 2 2 2 5 4 3 2 2" xfId="36390"/>
    <cellStyle name="常规 4 2 2 2 5 4 3 3" xfId="26966"/>
    <cellStyle name="常规 4 2 2 2 5 4 4" xfId="11270"/>
    <cellStyle name="常规 4 2 2 2 5 4 4 2" xfId="30118"/>
    <cellStyle name="常规 4 2 2 2 5 4 5" xfId="20694"/>
    <cellStyle name="常规 4 2 2 2 5 5" xfId="2634"/>
    <cellStyle name="常规 4 2 2 2 5 5 2" xfId="5770"/>
    <cellStyle name="常规 4 2 2 2 5 5 2 2" xfId="15190"/>
    <cellStyle name="常规 4 2 2 2 5 5 2 2 2" xfId="34038"/>
    <cellStyle name="常规 4 2 2 2 5 5 2 3" xfId="24614"/>
    <cellStyle name="常规 4 2 2 2 5 5 3" xfId="8906"/>
    <cellStyle name="常规 4 2 2 2 5 5 3 2" xfId="18326"/>
    <cellStyle name="常规 4 2 2 2 5 5 3 2 2" xfId="37174"/>
    <cellStyle name="常规 4 2 2 2 5 5 3 3" xfId="27750"/>
    <cellStyle name="常规 4 2 2 2 5 5 4" xfId="12054"/>
    <cellStyle name="常规 4 2 2 2 5 5 4 2" xfId="30902"/>
    <cellStyle name="常规 4 2 2 2 5 5 5" xfId="21478"/>
    <cellStyle name="常规 4 2 2 2 5 6" xfId="3444"/>
    <cellStyle name="常规 4 2 2 2 5 6 2" xfId="12864"/>
    <cellStyle name="常规 4 2 2 2 5 6 2 2" xfId="31712"/>
    <cellStyle name="常规 4 2 2 2 5 6 3" xfId="22288"/>
    <cellStyle name="常规 4 2 2 2 5 7" xfId="6554"/>
    <cellStyle name="常规 4 2 2 2 5 7 2" xfId="15974"/>
    <cellStyle name="常规 4 2 2 2 5 7 2 2" xfId="34822"/>
    <cellStyle name="常规 4 2 2 2 5 7 3" xfId="25398"/>
    <cellStyle name="常规 4 2 2 2 5 8" xfId="9701"/>
    <cellStyle name="常规 4 2 2 2 5 8 2" xfId="28546"/>
    <cellStyle name="常规 4 2 2 2 5 9" xfId="19124"/>
    <cellStyle name="常规 4 2 2 2 6" xfId="659"/>
    <cellStyle name="常规 4 2 2 2 6 2" xfId="1443"/>
    <cellStyle name="常规 4 2 2 2 6 2 2" xfId="4579"/>
    <cellStyle name="常规 4 2 2 2 6 2 2 2" xfId="13999"/>
    <cellStyle name="常规 4 2 2 2 6 2 2 2 2" xfId="32847"/>
    <cellStyle name="常规 4 2 2 2 6 2 2 3" xfId="23423"/>
    <cellStyle name="常规 4 2 2 2 6 2 3" xfId="7715"/>
    <cellStyle name="常规 4 2 2 2 6 2 3 2" xfId="17135"/>
    <cellStyle name="常规 4 2 2 2 6 2 3 2 2" xfId="35983"/>
    <cellStyle name="常规 4 2 2 2 6 2 3 3" xfId="26559"/>
    <cellStyle name="常规 4 2 2 2 6 2 4" xfId="10863"/>
    <cellStyle name="常规 4 2 2 2 6 2 4 2" xfId="29711"/>
    <cellStyle name="常规 4 2 2 2 6 2 5" xfId="20287"/>
    <cellStyle name="常规 4 2 2 2 6 3" xfId="2227"/>
    <cellStyle name="常规 4 2 2 2 6 3 2" xfId="5363"/>
    <cellStyle name="常规 4 2 2 2 6 3 2 2" xfId="14783"/>
    <cellStyle name="常规 4 2 2 2 6 3 2 2 2" xfId="33631"/>
    <cellStyle name="常规 4 2 2 2 6 3 2 3" xfId="24207"/>
    <cellStyle name="常规 4 2 2 2 6 3 3" xfId="8499"/>
    <cellStyle name="常规 4 2 2 2 6 3 3 2" xfId="17919"/>
    <cellStyle name="常规 4 2 2 2 6 3 3 2 2" xfId="36767"/>
    <cellStyle name="常规 4 2 2 2 6 3 3 3" xfId="27343"/>
    <cellStyle name="常规 4 2 2 2 6 3 4" xfId="11647"/>
    <cellStyle name="常规 4 2 2 2 6 3 4 2" xfId="30495"/>
    <cellStyle name="常规 4 2 2 2 6 3 5" xfId="21071"/>
    <cellStyle name="常规 4 2 2 2 6 4" xfId="3011"/>
    <cellStyle name="常规 4 2 2 2 6 4 2" xfId="6147"/>
    <cellStyle name="常规 4 2 2 2 6 4 2 2" xfId="15567"/>
    <cellStyle name="常规 4 2 2 2 6 4 2 2 2" xfId="34415"/>
    <cellStyle name="常规 4 2 2 2 6 4 2 3" xfId="24991"/>
    <cellStyle name="常规 4 2 2 2 6 4 3" xfId="9283"/>
    <cellStyle name="常规 4 2 2 2 6 4 3 2" xfId="18703"/>
    <cellStyle name="常规 4 2 2 2 6 4 3 2 2" xfId="37551"/>
    <cellStyle name="常规 4 2 2 2 6 4 3 3" xfId="28127"/>
    <cellStyle name="常规 4 2 2 2 6 4 4" xfId="12431"/>
    <cellStyle name="常规 4 2 2 2 6 4 4 2" xfId="31279"/>
    <cellStyle name="常规 4 2 2 2 6 4 5" xfId="21855"/>
    <cellStyle name="常规 4 2 2 2 6 5" xfId="3795"/>
    <cellStyle name="常规 4 2 2 2 6 5 2" xfId="13215"/>
    <cellStyle name="常规 4 2 2 2 6 5 2 2" xfId="32063"/>
    <cellStyle name="常规 4 2 2 2 6 5 3" xfId="22639"/>
    <cellStyle name="常规 4 2 2 2 6 6" xfId="6931"/>
    <cellStyle name="常规 4 2 2 2 6 6 2" xfId="16351"/>
    <cellStyle name="常规 4 2 2 2 6 6 2 2" xfId="35199"/>
    <cellStyle name="常规 4 2 2 2 6 6 3" xfId="25775"/>
    <cellStyle name="常规 4 2 2 2 6 7" xfId="10079"/>
    <cellStyle name="常规 4 2 2 2 6 7 2" xfId="28927"/>
    <cellStyle name="常规 4 2 2 2 6 8" xfId="19503"/>
    <cellStyle name="常规 4 2 2 2 7" xfId="1051"/>
    <cellStyle name="常规 4 2 2 2 7 2" xfId="4187"/>
    <cellStyle name="常规 4 2 2 2 7 2 2" xfId="13607"/>
    <cellStyle name="常规 4 2 2 2 7 2 2 2" xfId="32455"/>
    <cellStyle name="常规 4 2 2 2 7 2 3" xfId="23031"/>
    <cellStyle name="常规 4 2 2 2 7 3" xfId="7323"/>
    <cellStyle name="常规 4 2 2 2 7 3 2" xfId="16743"/>
    <cellStyle name="常规 4 2 2 2 7 3 2 2" xfId="35591"/>
    <cellStyle name="常规 4 2 2 2 7 3 3" xfId="26167"/>
    <cellStyle name="常规 4 2 2 2 7 4" xfId="10471"/>
    <cellStyle name="常规 4 2 2 2 7 4 2" xfId="29319"/>
    <cellStyle name="常规 4 2 2 2 7 5" xfId="19895"/>
    <cellStyle name="常规 4 2 2 2 8" xfId="1835"/>
    <cellStyle name="常规 4 2 2 2 8 2" xfId="4971"/>
    <cellStyle name="常规 4 2 2 2 8 2 2" xfId="14391"/>
    <cellStyle name="常规 4 2 2 2 8 2 2 2" xfId="33239"/>
    <cellStyle name="常规 4 2 2 2 8 2 3" xfId="23815"/>
    <cellStyle name="常规 4 2 2 2 8 3" xfId="8107"/>
    <cellStyle name="常规 4 2 2 2 8 3 2" xfId="17527"/>
    <cellStyle name="常规 4 2 2 2 8 3 2 2" xfId="36375"/>
    <cellStyle name="常规 4 2 2 2 8 3 3" xfId="26951"/>
    <cellStyle name="常规 4 2 2 2 8 4" xfId="11255"/>
    <cellStyle name="常规 4 2 2 2 8 4 2" xfId="30103"/>
    <cellStyle name="常规 4 2 2 2 8 5" xfId="20679"/>
    <cellStyle name="常规 4 2 2 2 9" xfId="2619"/>
    <cellStyle name="常规 4 2 2 2 9 2" xfId="5755"/>
    <cellStyle name="常规 4 2 2 2 9 2 2" xfId="15175"/>
    <cellStyle name="常规 4 2 2 2 9 2 2 2" xfId="34023"/>
    <cellStyle name="常规 4 2 2 2 9 2 3" xfId="24599"/>
    <cellStyle name="常规 4 2 2 2 9 3" xfId="8891"/>
    <cellStyle name="常规 4 2 2 2 9 3 2" xfId="18311"/>
    <cellStyle name="常规 4 2 2 2 9 3 2 2" xfId="37159"/>
    <cellStyle name="常规 4 2 2 2 9 3 3" xfId="27735"/>
    <cellStyle name="常规 4 2 2 2 9 4" xfId="12039"/>
    <cellStyle name="常规 4 2 2 2 9 4 2" xfId="30887"/>
    <cellStyle name="常规 4 2 2 2 9 5" xfId="21463"/>
    <cellStyle name="常规 4 2 2 3" xfId="279"/>
    <cellStyle name="常规 4 2 2 3 10" xfId="6555"/>
    <cellStyle name="常规 4 2 2 3 10 2" xfId="15975"/>
    <cellStyle name="常规 4 2 2 3 10 2 2" xfId="34823"/>
    <cellStyle name="常规 4 2 2 3 10 3" xfId="25399"/>
    <cellStyle name="常规 4 2 2 3 11" xfId="9702"/>
    <cellStyle name="常规 4 2 2 3 11 2" xfId="28547"/>
    <cellStyle name="常规 4 2 2 3 12" xfId="19125"/>
    <cellStyle name="常规 4 2 2 3 2" xfId="280"/>
    <cellStyle name="常规 4 2 2 3 2 10" xfId="9703"/>
    <cellStyle name="常规 4 2 2 3 2 10 2" xfId="28548"/>
    <cellStyle name="常规 4 2 2 3 2 11" xfId="19126"/>
    <cellStyle name="常规 4 2 2 3 2 2" xfId="281"/>
    <cellStyle name="常规 4 2 2 3 2 2 10" xfId="19127"/>
    <cellStyle name="常规 4 2 2 3 2 2 2" xfId="282"/>
    <cellStyle name="常规 4 2 2 3 2 2 2 2" xfId="678"/>
    <cellStyle name="常规 4 2 2 3 2 2 2 2 2" xfId="1462"/>
    <cellStyle name="常规 4 2 2 3 2 2 2 2 2 2" xfId="4598"/>
    <cellStyle name="常规 4 2 2 3 2 2 2 2 2 2 2" xfId="14018"/>
    <cellStyle name="常规 4 2 2 3 2 2 2 2 2 2 2 2" xfId="32866"/>
    <cellStyle name="常规 4 2 2 3 2 2 2 2 2 2 3" xfId="23442"/>
    <cellStyle name="常规 4 2 2 3 2 2 2 2 2 3" xfId="7734"/>
    <cellStyle name="常规 4 2 2 3 2 2 2 2 2 3 2" xfId="17154"/>
    <cellStyle name="常规 4 2 2 3 2 2 2 2 2 3 2 2" xfId="36002"/>
    <cellStyle name="常规 4 2 2 3 2 2 2 2 2 3 3" xfId="26578"/>
    <cellStyle name="常规 4 2 2 3 2 2 2 2 2 4" xfId="10882"/>
    <cellStyle name="常规 4 2 2 3 2 2 2 2 2 4 2" xfId="29730"/>
    <cellStyle name="常规 4 2 2 3 2 2 2 2 2 5" xfId="20306"/>
    <cellStyle name="常规 4 2 2 3 2 2 2 2 3" xfId="2246"/>
    <cellStyle name="常规 4 2 2 3 2 2 2 2 3 2" xfId="5382"/>
    <cellStyle name="常规 4 2 2 3 2 2 2 2 3 2 2" xfId="14802"/>
    <cellStyle name="常规 4 2 2 3 2 2 2 2 3 2 2 2" xfId="33650"/>
    <cellStyle name="常规 4 2 2 3 2 2 2 2 3 2 3" xfId="24226"/>
    <cellStyle name="常规 4 2 2 3 2 2 2 2 3 3" xfId="8518"/>
    <cellStyle name="常规 4 2 2 3 2 2 2 2 3 3 2" xfId="17938"/>
    <cellStyle name="常规 4 2 2 3 2 2 2 2 3 3 2 2" xfId="36786"/>
    <cellStyle name="常规 4 2 2 3 2 2 2 2 3 3 3" xfId="27362"/>
    <cellStyle name="常规 4 2 2 3 2 2 2 2 3 4" xfId="11666"/>
    <cellStyle name="常规 4 2 2 3 2 2 2 2 3 4 2" xfId="30514"/>
    <cellStyle name="常规 4 2 2 3 2 2 2 2 3 5" xfId="21090"/>
    <cellStyle name="常规 4 2 2 3 2 2 2 2 4" xfId="3030"/>
    <cellStyle name="常规 4 2 2 3 2 2 2 2 4 2" xfId="6166"/>
    <cellStyle name="常规 4 2 2 3 2 2 2 2 4 2 2" xfId="15586"/>
    <cellStyle name="常规 4 2 2 3 2 2 2 2 4 2 2 2" xfId="34434"/>
    <cellStyle name="常规 4 2 2 3 2 2 2 2 4 2 3" xfId="25010"/>
    <cellStyle name="常规 4 2 2 3 2 2 2 2 4 3" xfId="9302"/>
    <cellStyle name="常规 4 2 2 3 2 2 2 2 4 3 2" xfId="18722"/>
    <cellStyle name="常规 4 2 2 3 2 2 2 2 4 3 2 2" xfId="37570"/>
    <cellStyle name="常规 4 2 2 3 2 2 2 2 4 3 3" xfId="28146"/>
    <cellStyle name="常规 4 2 2 3 2 2 2 2 4 4" xfId="12450"/>
    <cellStyle name="常规 4 2 2 3 2 2 2 2 4 4 2" xfId="31298"/>
    <cellStyle name="常规 4 2 2 3 2 2 2 2 4 5" xfId="21874"/>
    <cellStyle name="常规 4 2 2 3 2 2 2 2 5" xfId="3814"/>
    <cellStyle name="常规 4 2 2 3 2 2 2 2 5 2" xfId="13234"/>
    <cellStyle name="常规 4 2 2 3 2 2 2 2 5 2 2" xfId="32082"/>
    <cellStyle name="常规 4 2 2 3 2 2 2 2 5 3" xfId="22658"/>
    <cellStyle name="常规 4 2 2 3 2 2 2 2 6" xfId="6950"/>
    <cellStyle name="常规 4 2 2 3 2 2 2 2 6 2" xfId="16370"/>
    <cellStyle name="常规 4 2 2 3 2 2 2 2 6 2 2" xfId="35218"/>
    <cellStyle name="常规 4 2 2 3 2 2 2 2 6 3" xfId="25794"/>
    <cellStyle name="常规 4 2 2 3 2 2 2 2 7" xfId="10098"/>
    <cellStyle name="常规 4 2 2 3 2 2 2 2 7 2" xfId="28946"/>
    <cellStyle name="常规 4 2 2 3 2 2 2 2 8" xfId="19522"/>
    <cellStyle name="常规 4 2 2 3 2 2 2 3" xfId="1070"/>
    <cellStyle name="常规 4 2 2 3 2 2 2 3 2" xfId="4206"/>
    <cellStyle name="常规 4 2 2 3 2 2 2 3 2 2" xfId="13626"/>
    <cellStyle name="常规 4 2 2 3 2 2 2 3 2 2 2" xfId="32474"/>
    <cellStyle name="常规 4 2 2 3 2 2 2 3 2 3" xfId="23050"/>
    <cellStyle name="常规 4 2 2 3 2 2 2 3 3" xfId="7342"/>
    <cellStyle name="常规 4 2 2 3 2 2 2 3 3 2" xfId="16762"/>
    <cellStyle name="常规 4 2 2 3 2 2 2 3 3 2 2" xfId="35610"/>
    <cellStyle name="常规 4 2 2 3 2 2 2 3 3 3" xfId="26186"/>
    <cellStyle name="常规 4 2 2 3 2 2 2 3 4" xfId="10490"/>
    <cellStyle name="常规 4 2 2 3 2 2 2 3 4 2" xfId="29338"/>
    <cellStyle name="常规 4 2 2 3 2 2 2 3 5" xfId="19914"/>
    <cellStyle name="常规 4 2 2 3 2 2 2 4" xfId="1854"/>
    <cellStyle name="常规 4 2 2 3 2 2 2 4 2" xfId="4990"/>
    <cellStyle name="常规 4 2 2 3 2 2 2 4 2 2" xfId="14410"/>
    <cellStyle name="常规 4 2 2 3 2 2 2 4 2 2 2" xfId="33258"/>
    <cellStyle name="常规 4 2 2 3 2 2 2 4 2 3" xfId="23834"/>
    <cellStyle name="常规 4 2 2 3 2 2 2 4 3" xfId="8126"/>
    <cellStyle name="常规 4 2 2 3 2 2 2 4 3 2" xfId="17546"/>
    <cellStyle name="常规 4 2 2 3 2 2 2 4 3 2 2" xfId="36394"/>
    <cellStyle name="常规 4 2 2 3 2 2 2 4 3 3" xfId="26970"/>
    <cellStyle name="常规 4 2 2 3 2 2 2 4 4" xfId="11274"/>
    <cellStyle name="常规 4 2 2 3 2 2 2 4 4 2" xfId="30122"/>
    <cellStyle name="常规 4 2 2 3 2 2 2 4 5" xfId="20698"/>
    <cellStyle name="常规 4 2 2 3 2 2 2 5" xfId="2638"/>
    <cellStyle name="常规 4 2 2 3 2 2 2 5 2" xfId="5774"/>
    <cellStyle name="常规 4 2 2 3 2 2 2 5 2 2" xfId="15194"/>
    <cellStyle name="常规 4 2 2 3 2 2 2 5 2 2 2" xfId="34042"/>
    <cellStyle name="常规 4 2 2 3 2 2 2 5 2 3" xfId="24618"/>
    <cellStyle name="常规 4 2 2 3 2 2 2 5 3" xfId="8910"/>
    <cellStyle name="常规 4 2 2 3 2 2 2 5 3 2" xfId="18330"/>
    <cellStyle name="常规 4 2 2 3 2 2 2 5 3 2 2" xfId="37178"/>
    <cellStyle name="常规 4 2 2 3 2 2 2 5 3 3" xfId="27754"/>
    <cellStyle name="常规 4 2 2 3 2 2 2 5 4" xfId="12058"/>
    <cellStyle name="常规 4 2 2 3 2 2 2 5 4 2" xfId="30906"/>
    <cellStyle name="常规 4 2 2 3 2 2 2 5 5" xfId="21482"/>
    <cellStyle name="常规 4 2 2 3 2 2 2 6" xfId="3446"/>
    <cellStyle name="常规 4 2 2 3 2 2 2 6 2" xfId="12866"/>
    <cellStyle name="常规 4 2 2 3 2 2 2 6 2 2" xfId="31714"/>
    <cellStyle name="常规 4 2 2 3 2 2 2 6 3" xfId="22290"/>
    <cellStyle name="常规 4 2 2 3 2 2 2 7" xfId="6558"/>
    <cellStyle name="常规 4 2 2 3 2 2 2 7 2" xfId="15978"/>
    <cellStyle name="常规 4 2 2 3 2 2 2 7 2 2" xfId="34826"/>
    <cellStyle name="常规 4 2 2 3 2 2 2 7 3" xfId="25402"/>
    <cellStyle name="常规 4 2 2 3 2 2 2 8" xfId="9705"/>
    <cellStyle name="常规 4 2 2 3 2 2 2 8 2" xfId="28550"/>
    <cellStyle name="常规 4 2 2 3 2 2 2 9" xfId="19128"/>
    <cellStyle name="常规 4 2 2 3 2 2 3" xfId="677"/>
    <cellStyle name="常规 4 2 2 3 2 2 3 2" xfId="1461"/>
    <cellStyle name="常规 4 2 2 3 2 2 3 2 2" xfId="4597"/>
    <cellStyle name="常规 4 2 2 3 2 2 3 2 2 2" xfId="14017"/>
    <cellStyle name="常规 4 2 2 3 2 2 3 2 2 2 2" xfId="32865"/>
    <cellStyle name="常规 4 2 2 3 2 2 3 2 2 3" xfId="23441"/>
    <cellStyle name="常规 4 2 2 3 2 2 3 2 3" xfId="7733"/>
    <cellStyle name="常规 4 2 2 3 2 2 3 2 3 2" xfId="17153"/>
    <cellStyle name="常规 4 2 2 3 2 2 3 2 3 2 2" xfId="36001"/>
    <cellStyle name="常规 4 2 2 3 2 2 3 2 3 3" xfId="26577"/>
    <cellStyle name="常规 4 2 2 3 2 2 3 2 4" xfId="10881"/>
    <cellStyle name="常规 4 2 2 3 2 2 3 2 4 2" xfId="29729"/>
    <cellStyle name="常规 4 2 2 3 2 2 3 2 5" xfId="20305"/>
    <cellStyle name="常规 4 2 2 3 2 2 3 3" xfId="2245"/>
    <cellStyle name="常规 4 2 2 3 2 2 3 3 2" xfId="5381"/>
    <cellStyle name="常规 4 2 2 3 2 2 3 3 2 2" xfId="14801"/>
    <cellStyle name="常规 4 2 2 3 2 2 3 3 2 2 2" xfId="33649"/>
    <cellStyle name="常规 4 2 2 3 2 2 3 3 2 3" xfId="24225"/>
    <cellStyle name="常规 4 2 2 3 2 2 3 3 3" xfId="8517"/>
    <cellStyle name="常规 4 2 2 3 2 2 3 3 3 2" xfId="17937"/>
    <cellStyle name="常规 4 2 2 3 2 2 3 3 3 2 2" xfId="36785"/>
    <cellStyle name="常规 4 2 2 3 2 2 3 3 3 3" xfId="27361"/>
    <cellStyle name="常规 4 2 2 3 2 2 3 3 4" xfId="11665"/>
    <cellStyle name="常规 4 2 2 3 2 2 3 3 4 2" xfId="30513"/>
    <cellStyle name="常规 4 2 2 3 2 2 3 3 5" xfId="21089"/>
    <cellStyle name="常规 4 2 2 3 2 2 3 4" xfId="3029"/>
    <cellStyle name="常规 4 2 2 3 2 2 3 4 2" xfId="6165"/>
    <cellStyle name="常规 4 2 2 3 2 2 3 4 2 2" xfId="15585"/>
    <cellStyle name="常规 4 2 2 3 2 2 3 4 2 2 2" xfId="34433"/>
    <cellStyle name="常规 4 2 2 3 2 2 3 4 2 3" xfId="25009"/>
    <cellStyle name="常规 4 2 2 3 2 2 3 4 3" xfId="9301"/>
    <cellStyle name="常规 4 2 2 3 2 2 3 4 3 2" xfId="18721"/>
    <cellStyle name="常规 4 2 2 3 2 2 3 4 3 2 2" xfId="37569"/>
    <cellStyle name="常规 4 2 2 3 2 2 3 4 3 3" xfId="28145"/>
    <cellStyle name="常规 4 2 2 3 2 2 3 4 4" xfId="12449"/>
    <cellStyle name="常规 4 2 2 3 2 2 3 4 4 2" xfId="31297"/>
    <cellStyle name="常规 4 2 2 3 2 2 3 4 5" xfId="21873"/>
    <cellStyle name="常规 4 2 2 3 2 2 3 5" xfId="3813"/>
    <cellStyle name="常规 4 2 2 3 2 2 3 5 2" xfId="13233"/>
    <cellStyle name="常规 4 2 2 3 2 2 3 5 2 2" xfId="32081"/>
    <cellStyle name="常规 4 2 2 3 2 2 3 5 3" xfId="22657"/>
    <cellStyle name="常规 4 2 2 3 2 2 3 6" xfId="6949"/>
    <cellStyle name="常规 4 2 2 3 2 2 3 6 2" xfId="16369"/>
    <cellStyle name="常规 4 2 2 3 2 2 3 6 2 2" xfId="35217"/>
    <cellStyle name="常规 4 2 2 3 2 2 3 6 3" xfId="25793"/>
    <cellStyle name="常规 4 2 2 3 2 2 3 7" xfId="10097"/>
    <cellStyle name="常规 4 2 2 3 2 2 3 7 2" xfId="28945"/>
    <cellStyle name="常规 4 2 2 3 2 2 3 8" xfId="19521"/>
    <cellStyle name="常规 4 2 2 3 2 2 4" xfId="1069"/>
    <cellStyle name="常规 4 2 2 3 2 2 4 2" xfId="4205"/>
    <cellStyle name="常规 4 2 2 3 2 2 4 2 2" xfId="13625"/>
    <cellStyle name="常规 4 2 2 3 2 2 4 2 2 2" xfId="32473"/>
    <cellStyle name="常规 4 2 2 3 2 2 4 2 3" xfId="23049"/>
    <cellStyle name="常规 4 2 2 3 2 2 4 3" xfId="7341"/>
    <cellStyle name="常规 4 2 2 3 2 2 4 3 2" xfId="16761"/>
    <cellStyle name="常规 4 2 2 3 2 2 4 3 2 2" xfId="35609"/>
    <cellStyle name="常规 4 2 2 3 2 2 4 3 3" xfId="26185"/>
    <cellStyle name="常规 4 2 2 3 2 2 4 4" xfId="10489"/>
    <cellStyle name="常规 4 2 2 3 2 2 4 4 2" xfId="29337"/>
    <cellStyle name="常规 4 2 2 3 2 2 4 5" xfId="19913"/>
    <cellStyle name="常规 4 2 2 3 2 2 5" xfId="1853"/>
    <cellStyle name="常规 4 2 2 3 2 2 5 2" xfId="4989"/>
    <cellStyle name="常规 4 2 2 3 2 2 5 2 2" xfId="14409"/>
    <cellStyle name="常规 4 2 2 3 2 2 5 2 2 2" xfId="33257"/>
    <cellStyle name="常规 4 2 2 3 2 2 5 2 3" xfId="23833"/>
    <cellStyle name="常规 4 2 2 3 2 2 5 3" xfId="8125"/>
    <cellStyle name="常规 4 2 2 3 2 2 5 3 2" xfId="17545"/>
    <cellStyle name="常规 4 2 2 3 2 2 5 3 2 2" xfId="36393"/>
    <cellStyle name="常规 4 2 2 3 2 2 5 3 3" xfId="26969"/>
    <cellStyle name="常规 4 2 2 3 2 2 5 4" xfId="11273"/>
    <cellStyle name="常规 4 2 2 3 2 2 5 4 2" xfId="30121"/>
    <cellStyle name="常规 4 2 2 3 2 2 5 5" xfId="20697"/>
    <cellStyle name="常规 4 2 2 3 2 2 6" xfId="2637"/>
    <cellStyle name="常规 4 2 2 3 2 2 6 2" xfId="5773"/>
    <cellStyle name="常规 4 2 2 3 2 2 6 2 2" xfId="15193"/>
    <cellStyle name="常规 4 2 2 3 2 2 6 2 2 2" xfId="34041"/>
    <cellStyle name="常规 4 2 2 3 2 2 6 2 3" xfId="24617"/>
    <cellStyle name="常规 4 2 2 3 2 2 6 3" xfId="8909"/>
    <cellStyle name="常规 4 2 2 3 2 2 6 3 2" xfId="18329"/>
    <cellStyle name="常规 4 2 2 3 2 2 6 3 2 2" xfId="37177"/>
    <cellStyle name="常规 4 2 2 3 2 2 6 3 3" xfId="27753"/>
    <cellStyle name="常规 4 2 2 3 2 2 6 4" xfId="12057"/>
    <cellStyle name="常规 4 2 2 3 2 2 6 4 2" xfId="30905"/>
    <cellStyle name="常规 4 2 2 3 2 2 6 5" xfId="21481"/>
    <cellStyle name="常规 4 2 2 3 2 2 7" xfId="3445"/>
    <cellStyle name="常规 4 2 2 3 2 2 7 2" xfId="12865"/>
    <cellStyle name="常规 4 2 2 3 2 2 7 2 2" xfId="31713"/>
    <cellStyle name="常规 4 2 2 3 2 2 7 3" xfId="22289"/>
    <cellStyle name="常规 4 2 2 3 2 2 8" xfId="6557"/>
    <cellStyle name="常规 4 2 2 3 2 2 8 2" xfId="15977"/>
    <cellStyle name="常规 4 2 2 3 2 2 8 2 2" xfId="34825"/>
    <cellStyle name="常规 4 2 2 3 2 2 8 3" xfId="25401"/>
    <cellStyle name="常规 4 2 2 3 2 2 9" xfId="9704"/>
    <cellStyle name="常规 4 2 2 3 2 2 9 2" xfId="28549"/>
    <cellStyle name="常规 4 2 2 3 2 3" xfId="283"/>
    <cellStyle name="常规 4 2 2 3 2 3 2" xfId="679"/>
    <cellStyle name="常规 4 2 2 3 2 3 2 2" xfId="1463"/>
    <cellStyle name="常规 4 2 2 3 2 3 2 2 2" xfId="4599"/>
    <cellStyle name="常规 4 2 2 3 2 3 2 2 2 2" xfId="14019"/>
    <cellStyle name="常规 4 2 2 3 2 3 2 2 2 2 2" xfId="32867"/>
    <cellStyle name="常规 4 2 2 3 2 3 2 2 2 3" xfId="23443"/>
    <cellStyle name="常规 4 2 2 3 2 3 2 2 3" xfId="7735"/>
    <cellStyle name="常规 4 2 2 3 2 3 2 2 3 2" xfId="17155"/>
    <cellStyle name="常规 4 2 2 3 2 3 2 2 3 2 2" xfId="36003"/>
    <cellStyle name="常规 4 2 2 3 2 3 2 2 3 3" xfId="26579"/>
    <cellStyle name="常规 4 2 2 3 2 3 2 2 4" xfId="10883"/>
    <cellStyle name="常规 4 2 2 3 2 3 2 2 4 2" xfId="29731"/>
    <cellStyle name="常规 4 2 2 3 2 3 2 2 5" xfId="20307"/>
    <cellStyle name="常规 4 2 2 3 2 3 2 3" xfId="2247"/>
    <cellStyle name="常规 4 2 2 3 2 3 2 3 2" xfId="5383"/>
    <cellStyle name="常规 4 2 2 3 2 3 2 3 2 2" xfId="14803"/>
    <cellStyle name="常规 4 2 2 3 2 3 2 3 2 2 2" xfId="33651"/>
    <cellStyle name="常规 4 2 2 3 2 3 2 3 2 3" xfId="24227"/>
    <cellStyle name="常规 4 2 2 3 2 3 2 3 3" xfId="8519"/>
    <cellStyle name="常规 4 2 2 3 2 3 2 3 3 2" xfId="17939"/>
    <cellStyle name="常规 4 2 2 3 2 3 2 3 3 2 2" xfId="36787"/>
    <cellStyle name="常规 4 2 2 3 2 3 2 3 3 3" xfId="27363"/>
    <cellStyle name="常规 4 2 2 3 2 3 2 3 4" xfId="11667"/>
    <cellStyle name="常规 4 2 2 3 2 3 2 3 4 2" xfId="30515"/>
    <cellStyle name="常规 4 2 2 3 2 3 2 3 5" xfId="21091"/>
    <cellStyle name="常规 4 2 2 3 2 3 2 4" xfId="3031"/>
    <cellStyle name="常规 4 2 2 3 2 3 2 4 2" xfId="6167"/>
    <cellStyle name="常规 4 2 2 3 2 3 2 4 2 2" xfId="15587"/>
    <cellStyle name="常规 4 2 2 3 2 3 2 4 2 2 2" xfId="34435"/>
    <cellStyle name="常规 4 2 2 3 2 3 2 4 2 3" xfId="25011"/>
    <cellStyle name="常规 4 2 2 3 2 3 2 4 3" xfId="9303"/>
    <cellStyle name="常规 4 2 2 3 2 3 2 4 3 2" xfId="18723"/>
    <cellStyle name="常规 4 2 2 3 2 3 2 4 3 2 2" xfId="37571"/>
    <cellStyle name="常规 4 2 2 3 2 3 2 4 3 3" xfId="28147"/>
    <cellStyle name="常规 4 2 2 3 2 3 2 4 4" xfId="12451"/>
    <cellStyle name="常规 4 2 2 3 2 3 2 4 4 2" xfId="31299"/>
    <cellStyle name="常规 4 2 2 3 2 3 2 4 5" xfId="21875"/>
    <cellStyle name="常规 4 2 2 3 2 3 2 5" xfId="3815"/>
    <cellStyle name="常规 4 2 2 3 2 3 2 5 2" xfId="13235"/>
    <cellStyle name="常规 4 2 2 3 2 3 2 5 2 2" xfId="32083"/>
    <cellStyle name="常规 4 2 2 3 2 3 2 5 3" xfId="22659"/>
    <cellStyle name="常规 4 2 2 3 2 3 2 6" xfId="6951"/>
    <cellStyle name="常规 4 2 2 3 2 3 2 6 2" xfId="16371"/>
    <cellStyle name="常规 4 2 2 3 2 3 2 6 2 2" xfId="35219"/>
    <cellStyle name="常规 4 2 2 3 2 3 2 6 3" xfId="25795"/>
    <cellStyle name="常规 4 2 2 3 2 3 2 7" xfId="10099"/>
    <cellStyle name="常规 4 2 2 3 2 3 2 7 2" xfId="28947"/>
    <cellStyle name="常规 4 2 2 3 2 3 2 8" xfId="19523"/>
    <cellStyle name="常规 4 2 2 3 2 3 3" xfId="1071"/>
    <cellStyle name="常规 4 2 2 3 2 3 3 2" xfId="4207"/>
    <cellStyle name="常规 4 2 2 3 2 3 3 2 2" xfId="13627"/>
    <cellStyle name="常规 4 2 2 3 2 3 3 2 2 2" xfId="32475"/>
    <cellStyle name="常规 4 2 2 3 2 3 3 2 3" xfId="23051"/>
    <cellStyle name="常规 4 2 2 3 2 3 3 3" xfId="7343"/>
    <cellStyle name="常规 4 2 2 3 2 3 3 3 2" xfId="16763"/>
    <cellStyle name="常规 4 2 2 3 2 3 3 3 2 2" xfId="35611"/>
    <cellStyle name="常规 4 2 2 3 2 3 3 3 3" xfId="26187"/>
    <cellStyle name="常规 4 2 2 3 2 3 3 4" xfId="10491"/>
    <cellStyle name="常规 4 2 2 3 2 3 3 4 2" xfId="29339"/>
    <cellStyle name="常规 4 2 2 3 2 3 3 5" xfId="19915"/>
    <cellStyle name="常规 4 2 2 3 2 3 4" xfId="1855"/>
    <cellStyle name="常规 4 2 2 3 2 3 4 2" xfId="4991"/>
    <cellStyle name="常规 4 2 2 3 2 3 4 2 2" xfId="14411"/>
    <cellStyle name="常规 4 2 2 3 2 3 4 2 2 2" xfId="33259"/>
    <cellStyle name="常规 4 2 2 3 2 3 4 2 3" xfId="23835"/>
    <cellStyle name="常规 4 2 2 3 2 3 4 3" xfId="8127"/>
    <cellStyle name="常规 4 2 2 3 2 3 4 3 2" xfId="17547"/>
    <cellStyle name="常规 4 2 2 3 2 3 4 3 2 2" xfId="36395"/>
    <cellStyle name="常规 4 2 2 3 2 3 4 3 3" xfId="26971"/>
    <cellStyle name="常规 4 2 2 3 2 3 4 4" xfId="11275"/>
    <cellStyle name="常规 4 2 2 3 2 3 4 4 2" xfId="30123"/>
    <cellStyle name="常规 4 2 2 3 2 3 4 5" xfId="20699"/>
    <cellStyle name="常规 4 2 2 3 2 3 5" xfId="2639"/>
    <cellStyle name="常规 4 2 2 3 2 3 5 2" xfId="5775"/>
    <cellStyle name="常规 4 2 2 3 2 3 5 2 2" xfId="15195"/>
    <cellStyle name="常规 4 2 2 3 2 3 5 2 2 2" xfId="34043"/>
    <cellStyle name="常规 4 2 2 3 2 3 5 2 3" xfId="24619"/>
    <cellStyle name="常规 4 2 2 3 2 3 5 3" xfId="8911"/>
    <cellStyle name="常规 4 2 2 3 2 3 5 3 2" xfId="18331"/>
    <cellStyle name="常规 4 2 2 3 2 3 5 3 2 2" xfId="37179"/>
    <cellStyle name="常规 4 2 2 3 2 3 5 3 3" xfId="27755"/>
    <cellStyle name="常规 4 2 2 3 2 3 5 4" xfId="12059"/>
    <cellStyle name="常规 4 2 2 3 2 3 5 4 2" xfId="30907"/>
    <cellStyle name="常规 4 2 2 3 2 3 5 5" xfId="21483"/>
    <cellStyle name="常规 4 2 2 3 2 3 6" xfId="3447"/>
    <cellStyle name="常规 4 2 2 3 2 3 6 2" xfId="12867"/>
    <cellStyle name="常规 4 2 2 3 2 3 6 2 2" xfId="31715"/>
    <cellStyle name="常规 4 2 2 3 2 3 6 3" xfId="22291"/>
    <cellStyle name="常规 4 2 2 3 2 3 7" xfId="6559"/>
    <cellStyle name="常规 4 2 2 3 2 3 7 2" xfId="15979"/>
    <cellStyle name="常规 4 2 2 3 2 3 7 2 2" xfId="34827"/>
    <cellStyle name="常规 4 2 2 3 2 3 7 3" xfId="25403"/>
    <cellStyle name="常规 4 2 2 3 2 3 8" xfId="9706"/>
    <cellStyle name="常规 4 2 2 3 2 3 8 2" xfId="28551"/>
    <cellStyle name="常规 4 2 2 3 2 3 9" xfId="19129"/>
    <cellStyle name="常规 4 2 2 3 2 4" xfId="676"/>
    <cellStyle name="常规 4 2 2 3 2 4 2" xfId="1460"/>
    <cellStyle name="常规 4 2 2 3 2 4 2 2" xfId="4596"/>
    <cellStyle name="常规 4 2 2 3 2 4 2 2 2" xfId="14016"/>
    <cellStyle name="常规 4 2 2 3 2 4 2 2 2 2" xfId="32864"/>
    <cellStyle name="常规 4 2 2 3 2 4 2 2 3" xfId="23440"/>
    <cellStyle name="常规 4 2 2 3 2 4 2 3" xfId="7732"/>
    <cellStyle name="常规 4 2 2 3 2 4 2 3 2" xfId="17152"/>
    <cellStyle name="常规 4 2 2 3 2 4 2 3 2 2" xfId="36000"/>
    <cellStyle name="常规 4 2 2 3 2 4 2 3 3" xfId="26576"/>
    <cellStyle name="常规 4 2 2 3 2 4 2 4" xfId="10880"/>
    <cellStyle name="常规 4 2 2 3 2 4 2 4 2" xfId="29728"/>
    <cellStyle name="常规 4 2 2 3 2 4 2 5" xfId="20304"/>
    <cellStyle name="常规 4 2 2 3 2 4 3" xfId="2244"/>
    <cellStyle name="常规 4 2 2 3 2 4 3 2" xfId="5380"/>
    <cellStyle name="常规 4 2 2 3 2 4 3 2 2" xfId="14800"/>
    <cellStyle name="常规 4 2 2 3 2 4 3 2 2 2" xfId="33648"/>
    <cellStyle name="常规 4 2 2 3 2 4 3 2 3" xfId="24224"/>
    <cellStyle name="常规 4 2 2 3 2 4 3 3" xfId="8516"/>
    <cellStyle name="常规 4 2 2 3 2 4 3 3 2" xfId="17936"/>
    <cellStyle name="常规 4 2 2 3 2 4 3 3 2 2" xfId="36784"/>
    <cellStyle name="常规 4 2 2 3 2 4 3 3 3" xfId="27360"/>
    <cellStyle name="常规 4 2 2 3 2 4 3 4" xfId="11664"/>
    <cellStyle name="常规 4 2 2 3 2 4 3 4 2" xfId="30512"/>
    <cellStyle name="常规 4 2 2 3 2 4 3 5" xfId="21088"/>
    <cellStyle name="常规 4 2 2 3 2 4 4" xfId="3028"/>
    <cellStyle name="常规 4 2 2 3 2 4 4 2" xfId="6164"/>
    <cellStyle name="常规 4 2 2 3 2 4 4 2 2" xfId="15584"/>
    <cellStyle name="常规 4 2 2 3 2 4 4 2 2 2" xfId="34432"/>
    <cellStyle name="常规 4 2 2 3 2 4 4 2 3" xfId="25008"/>
    <cellStyle name="常规 4 2 2 3 2 4 4 3" xfId="9300"/>
    <cellStyle name="常规 4 2 2 3 2 4 4 3 2" xfId="18720"/>
    <cellStyle name="常规 4 2 2 3 2 4 4 3 2 2" xfId="37568"/>
    <cellStyle name="常规 4 2 2 3 2 4 4 3 3" xfId="28144"/>
    <cellStyle name="常规 4 2 2 3 2 4 4 4" xfId="12448"/>
    <cellStyle name="常规 4 2 2 3 2 4 4 4 2" xfId="31296"/>
    <cellStyle name="常规 4 2 2 3 2 4 4 5" xfId="21872"/>
    <cellStyle name="常规 4 2 2 3 2 4 5" xfId="3812"/>
    <cellStyle name="常规 4 2 2 3 2 4 5 2" xfId="13232"/>
    <cellStyle name="常规 4 2 2 3 2 4 5 2 2" xfId="32080"/>
    <cellStyle name="常规 4 2 2 3 2 4 5 3" xfId="22656"/>
    <cellStyle name="常规 4 2 2 3 2 4 6" xfId="6948"/>
    <cellStyle name="常规 4 2 2 3 2 4 6 2" xfId="16368"/>
    <cellStyle name="常规 4 2 2 3 2 4 6 2 2" xfId="35216"/>
    <cellStyle name="常规 4 2 2 3 2 4 6 3" xfId="25792"/>
    <cellStyle name="常规 4 2 2 3 2 4 7" xfId="10096"/>
    <cellStyle name="常规 4 2 2 3 2 4 7 2" xfId="28944"/>
    <cellStyle name="常规 4 2 2 3 2 4 8" xfId="19520"/>
    <cellStyle name="常规 4 2 2 3 2 5" xfId="1068"/>
    <cellStyle name="常规 4 2 2 3 2 5 2" xfId="4204"/>
    <cellStyle name="常规 4 2 2 3 2 5 2 2" xfId="13624"/>
    <cellStyle name="常规 4 2 2 3 2 5 2 2 2" xfId="32472"/>
    <cellStyle name="常规 4 2 2 3 2 5 2 3" xfId="23048"/>
    <cellStyle name="常规 4 2 2 3 2 5 3" xfId="7340"/>
    <cellStyle name="常规 4 2 2 3 2 5 3 2" xfId="16760"/>
    <cellStyle name="常规 4 2 2 3 2 5 3 2 2" xfId="35608"/>
    <cellStyle name="常规 4 2 2 3 2 5 3 3" xfId="26184"/>
    <cellStyle name="常规 4 2 2 3 2 5 4" xfId="10488"/>
    <cellStyle name="常规 4 2 2 3 2 5 4 2" xfId="29336"/>
    <cellStyle name="常规 4 2 2 3 2 5 5" xfId="19912"/>
    <cellStyle name="常规 4 2 2 3 2 6" xfId="1852"/>
    <cellStyle name="常规 4 2 2 3 2 6 2" xfId="4988"/>
    <cellStyle name="常规 4 2 2 3 2 6 2 2" xfId="14408"/>
    <cellStyle name="常规 4 2 2 3 2 6 2 2 2" xfId="33256"/>
    <cellStyle name="常规 4 2 2 3 2 6 2 3" xfId="23832"/>
    <cellStyle name="常规 4 2 2 3 2 6 3" xfId="8124"/>
    <cellStyle name="常规 4 2 2 3 2 6 3 2" xfId="17544"/>
    <cellStyle name="常规 4 2 2 3 2 6 3 2 2" xfId="36392"/>
    <cellStyle name="常规 4 2 2 3 2 6 3 3" xfId="26968"/>
    <cellStyle name="常规 4 2 2 3 2 6 4" xfId="11272"/>
    <cellStyle name="常规 4 2 2 3 2 6 4 2" xfId="30120"/>
    <cellStyle name="常规 4 2 2 3 2 6 5" xfId="20696"/>
    <cellStyle name="常规 4 2 2 3 2 7" xfId="2636"/>
    <cellStyle name="常规 4 2 2 3 2 7 2" xfId="5772"/>
    <cellStyle name="常规 4 2 2 3 2 7 2 2" xfId="15192"/>
    <cellStyle name="常规 4 2 2 3 2 7 2 2 2" xfId="34040"/>
    <cellStyle name="常规 4 2 2 3 2 7 2 3" xfId="24616"/>
    <cellStyle name="常规 4 2 2 3 2 7 3" xfId="8908"/>
    <cellStyle name="常规 4 2 2 3 2 7 3 2" xfId="18328"/>
    <cellStyle name="常规 4 2 2 3 2 7 3 2 2" xfId="37176"/>
    <cellStyle name="常规 4 2 2 3 2 7 3 3" xfId="27752"/>
    <cellStyle name="常规 4 2 2 3 2 7 4" xfId="12056"/>
    <cellStyle name="常规 4 2 2 3 2 7 4 2" xfId="30904"/>
    <cellStyle name="常规 4 2 2 3 2 7 5" xfId="21480"/>
    <cellStyle name="常规 4 2 2 3 2 8" xfId="3228"/>
    <cellStyle name="常规 4 2 2 3 2 8 2" xfId="12648"/>
    <cellStyle name="常规 4 2 2 3 2 8 2 2" xfId="31496"/>
    <cellStyle name="常规 4 2 2 3 2 8 3" xfId="22072"/>
    <cellStyle name="常规 4 2 2 3 2 9" xfId="6556"/>
    <cellStyle name="常规 4 2 2 3 2 9 2" xfId="15976"/>
    <cellStyle name="常规 4 2 2 3 2 9 2 2" xfId="34824"/>
    <cellStyle name="常规 4 2 2 3 2 9 3" xfId="25400"/>
    <cellStyle name="常规 4 2 2 3 3" xfId="284"/>
    <cellStyle name="常规 4 2 2 3 3 10" xfId="19130"/>
    <cellStyle name="常规 4 2 2 3 3 2" xfId="285"/>
    <cellStyle name="常规 4 2 2 3 3 2 2" xfId="681"/>
    <cellStyle name="常规 4 2 2 3 3 2 2 2" xfId="1465"/>
    <cellStyle name="常规 4 2 2 3 3 2 2 2 2" xfId="4601"/>
    <cellStyle name="常规 4 2 2 3 3 2 2 2 2 2" xfId="14021"/>
    <cellStyle name="常规 4 2 2 3 3 2 2 2 2 2 2" xfId="32869"/>
    <cellStyle name="常规 4 2 2 3 3 2 2 2 2 3" xfId="23445"/>
    <cellStyle name="常规 4 2 2 3 3 2 2 2 3" xfId="7737"/>
    <cellStyle name="常规 4 2 2 3 3 2 2 2 3 2" xfId="17157"/>
    <cellStyle name="常规 4 2 2 3 3 2 2 2 3 2 2" xfId="36005"/>
    <cellStyle name="常规 4 2 2 3 3 2 2 2 3 3" xfId="26581"/>
    <cellStyle name="常规 4 2 2 3 3 2 2 2 4" xfId="10885"/>
    <cellStyle name="常规 4 2 2 3 3 2 2 2 4 2" xfId="29733"/>
    <cellStyle name="常规 4 2 2 3 3 2 2 2 5" xfId="20309"/>
    <cellStyle name="常规 4 2 2 3 3 2 2 3" xfId="2249"/>
    <cellStyle name="常规 4 2 2 3 3 2 2 3 2" xfId="5385"/>
    <cellStyle name="常规 4 2 2 3 3 2 2 3 2 2" xfId="14805"/>
    <cellStyle name="常规 4 2 2 3 3 2 2 3 2 2 2" xfId="33653"/>
    <cellStyle name="常规 4 2 2 3 3 2 2 3 2 3" xfId="24229"/>
    <cellStyle name="常规 4 2 2 3 3 2 2 3 3" xfId="8521"/>
    <cellStyle name="常规 4 2 2 3 3 2 2 3 3 2" xfId="17941"/>
    <cellStyle name="常规 4 2 2 3 3 2 2 3 3 2 2" xfId="36789"/>
    <cellStyle name="常规 4 2 2 3 3 2 2 3 3 3" xfId="27365"/>
    <cellStyle name="常规 4 2 2 3 3 2 2 3 4" xfId="11669"/>
    <cellStyle name="常规 4 2 2 3 3 2 2 3 4 2" xfId="30517"/>
    <cellStyle name="常规 4 2 2 3 3 2 2 3 5" xfId="21093"/>
    <cellStyle name="常规 4 2 2 3 3 2 2 4" xfId="3033"/>
    <cellStyle name="常规 4 2 2 3 3 2 2 4 2" xfId="6169"/>
    <cellStyle name="常规 4 2 2 3 3 2 2 4 2 2" xfId="15589"/>
    <cellStyle name="常规 4 2 2 3 3 2 2 4 2 2 2" xfId="34437"/>
    <cellStyle name="常规 4 2 2 3 3 2 2 4 2 3" xfId="25013"/>
    <cellStyle name="常规 4 2 2 3 3 2 2 4 3" xfId="9305"/>
    <cellStyle name="常规 4 2 2 3 3 2 2 4 3 2" xfId="18725"/>
    <cellStyle name="常规 4 2 2 3 3 2 2 4 3 2 2" xfId="37573"/>
    <cellStyle name="常规 4 2 2 3 3 2 2 4 3 3" xfId="28149"/>
    <cellStyle name="常规 4 2 2 3 3 2 2 4 4" xfId="12453"/>
    <cellStyle name="常规 4 2 2 3 3 2 2 4 4 2" xfId="31301"/>
    <cellStyle name="常规 4 2 2 3 3 2 2 4 5" xfId="21877"/>
    <cellStyle name="常规 4 2 2 3 3 2 2 5" xfId="3817"/>
    <cellStyle name="常规 4 2 2 3 3 2 2 5 2" xfId="13237"/>
    <cellStyle name="常规 4 2 2 3 3 2 2 5 2 2" xfId="32085"/>
    <cellStyle name="常规 4 2 2 3 3 2 2 5 3" xfId="22661"/>
    <cellStyle name="常规 4 2 2 3 3 2 2 6" xfId="6953"/>
    <cellStyle name="常规 4 2 2 3 3 2 2 6 2" xfId="16373"/>
    <cellStyle name="常规 4 2 2 3 3 2 2 6 2 2" xfId="35221"/>
    <cellStyle name="常规 4 2 2 3 3 2 2 6 3" xfId="25797"/>
    <cellStyle name="常规 4 2 2 3 3 2 2 7" xfId="10101"/>
    <cellStyle name="常规 4 2 2 3 3 2 2 7 2" xfId="28949"/>
    <cellStyle name="常规 4 2 2 3 3 2 2 8" xfId="19525"/>
    <cellStyle name="常规 4 2 2 3 3 2 3" xfId="1073"/>
    <cellStyle name="常规 4 2 2 3 3 2 3 2" xfId="4209"/>
    <cellStyle name="常规 4 2 2 3 3 2 3 2 2" xfId="13629"/>
    <cellStyle name="常规 4 2 2 3 3 2 3 2 2 2" xfId="32477"/>
    <cellStyle name="常规 4 2 2 3 3 2 3 2 3" xfId="23053"/>
    <cellStyle name="常规 4 2 2 3 3 2 3 3" xfId="7345"/>
    <cellStyle name="常规 4 2 2 3 3 2 3 3 2" xfId="16765"/>
    <cellStyle name="常规 4 2 2 3 3 2 3 3 2 2" xfId="35613"/>
    <cellStyle name="常规 4 2 2 3 3 2 3 3 3" xfId="26189"/>
    <cellStyle name="常规 4 2 2 3 3 2 3 4" xfId="10493"/>
    <cellStyle name="常规 4 2 2 3 3 2 3 4 2" xfId="29341"/>
    <cellStyle name="常规 4 2 2 3 3 2 3 5" xfId="19917"/>
    <cellStyle name="常规 4 2 2 3 3 2 4" xfId="1857"/>
    <cellStyle name="常规 4 2 2 3 3 2 4 2" xfId="4993"/>
    <cellStyle name="常规 4 2 2 3 3 2 4 2 2" xfId="14413"/>
    <cellStyle name="常规 4 2 2 3 3 2 4 2 2 2" xfId="33261"/>
    <cellStyle name="常规 4 2 2 3 3 2 4 2 3" xfId="23837"/>
    <cellStyle name="常规 4 2 2 3 3 2 4 3" xfId="8129"/>
    <cellStyle name="常规 4 2 2 3 3 2 4 3 2" xfId="17549"/>
    <cellStyle name="常规 4 2 2 3 3 2 4 3 2 2" xfId="36397"/>
    <cellStyle name="常规 4 2 2 3 3 2 4 3 3" xfId="26973"/>
    <cellStyle name="常规 4 2 2 3 3 2 4 4" xfId="11277"/>
    <cellStyle name="常规 4 2 2 3 3 2 4 4 2" xfId="30125"/>
    <cellStyle name="常规 4 2 2 3 3 2 4 5" xfId="20701"/>
    <cellStyle name="常规 4 2 2 3 3 2 5" xfId="2641"/>
    <cellStyle name="常规 4 2 2 3 3 2 5 2" xfId="5777"/>
    <cellStyle name="常规 4 2 2 3 3 2 5 2 2" xfId="15197"/>
    <cellStyle name="常规 4 2 2 3 3 2 5 2 2 2" xfId="34045"/>
    <cellStyle name="常规 4 2 2 3 3 2 5 2 3" xfId="24621"/>
    <cellStyle name="常规 4 2 2 3 3 2 5 3" xfId="8913"/>
    <cellStyle name="常规 4 2 2 3 3 2 5 3 2" xfId="18333"/>
    <cellStyle name="常规 4 2 2 3 3 2 5 3 2 2" xfId="37181"/>
    <cellStyle name="常规 4 2 2 3 3 2 5 3 3" xfId="27757"/>
    <cellStyle name="常规 4 2 2 3 3 2 5 4" xfId="12061"/>
    <cellStyle name="常规 4 2 2 3 3 2 5 4 2" xfId="30909"/>
    <cellStyle name="常规 4 2 2 3 3 2 5 5" xfId="21485"/>
    <cellStyle name="常规 4 2 2 3 3 2 6" xfId="3449"/>
    <cellStyle name="常规 4 2 2 3 3 2 6 2" xfId="12869"/>
    <cellStyle name="常规 4 2 2 3 3 2 6 2 2" xfId="31717"/>
    <cellStyle name="常规 4 2 2 3 3 2 6 3" xfId="22293"/>
    <cellStyle name="常规 4 2 2 3 3 2 7" xfId="6561"/>
    <cellStyle name="常规 4 2 2 3 3 2 7 2" xfId="15981"/>
    <cellStyle name="常规 4 2 2 3 3 2 7 2 2" xfId="34829"/>
    <cellStyle name="常规 4 2 2 3 3 2 7 3" xfId="25405"/>
    <cellStyle name="常规 4 2 2 3 3 2 8" xfId="9708"/>
    <cellStyle name="常规 4 2 2 3 3 2 8 2" xfId="28553"/>
    <cellStyle name="常规 4 2 2 3 3 2 9" xfId="19131"/>
    <cellStyle name="常规 4 2 2 3 3 3" xfId="680"/>
    <cellStyle name="常规 4 2 2 3 3 3 2" xfId="1464"/>
    <cellStyle name="常规 4 2 2 3 3 3 2 2" xfId="4600"/>
    <cellStyle name="常规 4 2 2 3 3 3 2 2 2" xfId="14020"/>
    <cellStyle name="常规 4 2 2 3 3 3 2 2 2 2" xfId="32868"/>
    <cellStyle name="常规 4 2 2 3 3 3 2 2 3" xfId="23444"/>
    <cellStyle name="常规 4 2 2 3 3 3 2 3" xfId="7736"/>
    <cellStyle name="常规 4 2 2 3 3 3 2 3 2" xfId="17156"/>
    <cellStyle name="常规 4 2 2 3 3 3 2 3 2 2" xfId="36004"/>
    <cellStyle name="常规 4 2 2 3 3 3 2 3 3" xfId="26580"/>
    <cellStyle name="常规 4 2 2 3 3 3 2 4" xfId="10884"/>
    <cellStyle name="常规 4 2 2 3 3 3 2 4 2" xfId="29732"/>
    <cellStyle name="常规 4 2 2 3 3 3 2 5" xfId="20308"/>
    <cellStyle name="常规 4 2 2 3 3 3 3" xfId="2248"/>
    <cellStyle name="常规 4 2 2 3 3 3 3 2" xfId="5384"/>
    <cellStyle name="常规 4 2 2 3 3 3 3 2 2" xfId="14804"/>
    <cellStyle name="常规 4 2 2 3 3 3 3 2 2 2" xfId="33652"/>
    <cellStyle name="常规 4 2 2 3 3 3 3 2 3" xfId="24228"/>
    <cellStyle name="常规 4 2 2 3 3 3 3 3" xfId="8520"/>
    <cellStyle name="常规 4 2 2 3 3 3 3 3 2" xfId="17940"/>
    <cellStyle name="常规 4 2 2 3 3 3 3 3 2 2" xfId="36788"/>
    <cellStyle name="常规 4 2 2 3 3 3 3 3 3" xfId="27364"/>
    <cellStyle name="常规 4 2 2 3 3 3 3 4" xfId="11668"/>
    <cellStyle name="常规 4 2 2 3 3 3 3 4 2" xfId="30516"/>
    <cellStyle name="常规 4 2 2 3 3 3 3 5" xfId="21092"/>
    <cellStyle name="常规 4 2 2 3 3 3 4" xfId="3032"/>
    <cellStyle name="常规 4 2 2 3 3 3 4 2" xfId="6168"/>
    <cellStyle name="常规 4 2 2 3 3 3 4 2 2" xfId="15588"/>
    <cellStyle name="常规 4 2 2 3 3 3 4 2 2 2" xfId="34436"/>
    <cellStyle name="常规 4 2 2 3 3 3 4 2 3" xfId="25012"/>
    <cellStyle name="常规 4 2 2 3 3 3 4 3" xfId="9304"/>
    <cellStyle name="常规 4 2 2 3 3 3 4 3 2" xfId="18724"/>
    <cellStyle name="常规 4 2 2 3 3 3 4 3 2 2" xfId="37572"/>
    <cellStyle name="常规 4 2 2 3 3 3 4 3 3" xfId="28148"/>
    <cellStyle name="常规 4 2 2 3 3 3 4 4" xfId="12452"/>
    <cellStyle name="常规 4 2 2 3 3 3 4 4 2" xfId="31300"/>
    <cellStyle name="常规 4 2 2 3 3 3 4 5" xfId="21876"/>
    <cellStyle name="常规 4 2 2 3 3 3 5" xfId="3816"/>
    <cellStyle name="常规 4 2 2 3 3 3 5 2" xfId="13236"/>
    <cellStyle name="常规 4 2 2 3 3 3 5 2 2" xfId="32084"/>
    <cellStyle name="常规 4 2 2 3 3 3 5 3" xfId="22660"/>
    <cellStyle name="常规 4 2 2 3 3 3 6" xfId="6952"/>
    <cellStyle name="常规 4 2 2 3 3 3 6 2" xfId="16372"/>
    <cellStyle name="常规 4 2 2 3 3 3 6 2 2" xfId="35220"/>
    <cellStyle name="常规 4 2 2 3 3 3 6 3" xfId="25796"/>
    <cellStyle name="常规 4 2 2 3 3 3 7" xfId="10100"/>
    <cellStyle name="常规 4 2 2 3 3 3 7 2" xfId="28948"/>
    <cellStyle name="常规 4 2 2 3 3 3 8" xfId="19524"/>
    <cellStyle name="常规 4 2 2 3 3 4" xfId="1072"/>
    <cellStyle name="常规 4 2 2 3 3 4 2" xfId="4208"/>
    <cellStyle name="常规 4 2 2 3 3 4 2 2" xfId="13628"/>
    <cellStyle name="常规 4 2 2 3 3 4 2 2 2" xfId="32476"/>
    <cellStyle name="常规 4 2 2 3 3 4 2 3" xfId="23052"/>
    <cellStyle name="常规 4 2 2 3 3 4 3" xfId="7344"/>
    <cellStyle name="常规 4 2 2 3 3 4 3 2" xfId="16764"/>
    <cellStyle name="常规 4 2 2 3 3 4 3 2 2" xfId="35612"/>
    <cellStyle name="常规 4 2 2 3 3 4 3 3" xfId="26188"/>
    <cellStyle name="常规 4 2 2 3 3 4 4" xfId="10492"/>
    <cellStyle name="常规 4 2 2 3 3 4 4 2" xfId="29340"/>
    <cellStyle name="常规 4 2 2 3 3 4 5" xfId="19916"/>
    <cellStyle name="常规 4 2 2 3 3 5" xfId="1856"/>
    <cellStyle name="常规 4 2 2 3 3 5 2" xfId="4992"/>
    <cellStyle name="常规 4 2 2 3 3 5 2 2" xfId="14412"/>
    <cellStyle name="常规 4 2 2 3 3 5 2 2 2" xfId="33260"/>
    <cellStyle name="常规 4 2 2 3 3 5 2 3" xfId="23836"/>
    <cellStyle name="常规 4 2 2 3 3 5 3" xfId="8128"/>
    <cellStyle name="常规 4 2 2 3 3 5 3 2" xfId="17548"/>
    <cellStyle name="常规 4 2 2 3 3 5 3 2 2" xfId="36396"/>
    <cellStyle name="常规 4 2 2 3 3 5 3 3" xfId="26972"/>
    <cellStyle name="常规 4 2 2 3 3 5 4" xfId="11276"/>
    <cellStyle name="常规 4 2 2 3 3 5 4 2" xfId="30124"/>
    <cellStyle name="常规 4 2 2 3 3 5 5" xfId="20700"/>
    <cellStyle name="常规 4 2 2 3 3 6" xfId="2640"/>
    <cellStyle name="常规 4 2 2 3 3 6 2" xfId="5776"/>
    <cellStyle name="常规 4 2 2 3 3 6 2 2" xfId="15196"/>
    <cellStyle name="常规 4 2 2 3 3 6 2 2 2" xfId="34044"/>
    <cellStyle name="常规 4 2 2 3 3 6 2 3" xfId="24620"/>
    <cellStyle name="常规 4 2 2 3 3 6 3" xfId="8912"/>
    <cellStyle name="常规 4 2 2 3 3 6 3 2" xfId="18332"/>
    <cellStyle name="常规 4 2 2 3 3 6 3 2 2" xfId="37180"/>
    <cellStyle name="常规 4 2 2 3 3 6 3 3" xfId="27756"/>
    <cellStyle name="常规 4 2 2 3 3 6 4" xfId="12060"/>
    <cellStyle name="常规 4 2 2 3 3 6 4 2" xfId="30908"/>
    <cellStyle name="常规 4 2 2 3 3 6 5" xfId="21484"/>
    <cellStyle name="常规 4 2 2 3 3 7" xfId="3448"/>
    <cellStyle name="常规 4 2 2 3 3 7 2" xfId="12868"/>
    <cellStyle name="常规 4 2 2 3 3 7 2 2" xfId="31716"/>
    <cellStyle name="常规 4 2 2 3 3 7 3" xfId="22292"/>
    <cellStyle name="常规 4 2 2 3 3 8" xfId="6560"/>
    <cellStyle name="常规 4 2 2 3 3 8 2" xfId="15980"/>
    <cellStyle name="常规 4 2 2 3 3 8 2 2" xfId="34828"/>
    <cellStyle name="常规 4 2 2 3 3 8 3" xfId="25404"/>
    <cellStyle name="常规 4 2 2 3 3 9" xfId="9707"/>
    <cellStyle name="常规 4 2 2 3 3 9 2" xfId="28552"/>
    <cellStyle name="常规 4 2 2 3 4" xfId="286"/>
    <cellStyle name="常规 4 2 2 3 4 2" xfId="682"/>
    <cellStyle name="常规 4 2 2 3 4 2 2" xfId="1466"/>
    <cellStyle name="常规 4 2 2 3 4 2 2 2" xfId="4602"/>
    <cellStyle name="常规 4 2 2 3 4 2 2 2 2" xfId="14022"/>
    <cellStyle name="常规 4 2 2 3 4 2 2 2 2 2" xfId="32870"/>
    <cellStyle name="常规 4 2 2 3 4 2 2 2 3" xfId="23446"/>
    <cellStyle name="常规 4 2 2 3 4 2 2 3" xfId="7738"/>
    <cellStyle name="常规 4 2 2 3 4 2 2 3 2" xfId="17158"/>
    <cellStyle name="常规 4 2 2 3 4 2 2 3 2 2" xfId="36006"/>
    <cellStyle name="常规 4 2 2 3 4 2 2 3 3" xfId="26582"/>
    <cellStyle name="常规 4 2 2 3 4 2 2 4" xfId="10886"/>
    <cellStyle name="常规 4 2 2 3 4 2 2 4 2" xfId="29734"/>
    <cellStyle name="常规 4 2 2 3 4 2 2 5" xfId="20310"/>
    <cellStyle name="常规 4 2 2 3 4 2 3" xfId="2250"/>
    <cellStyle name="常规 4 2 2 3 4 2 3 2" xfId="5386"/>
    <cellStyle name="常规 4 2 2 3 4 2 3 2 2" xfId="14806"/>
    <cellStyle name="常规 4 2 2 3 4 2 3 2 2 2" xfId="33654"/>
    <cellStyle name="常规 4 2 2 3 4 2 3 2 3" xfId="24230"/>
    <cellStyle name="常规 4 2 2 3 4 2 3 3" xfId="8522"/>
    <cellStyle name="常规 4 2 2 3 4 2 3 3 2" xfId="17942"/>
    <cellStyle name="常规 4 2 2 3 4 2 3 3 2 2" xfId="36790"/>
    <cellStyle name="常规 4 2 2 3 4 2 3 3 3" xfId="27366"/>
    <cellStyle name="常规 4 2 2 3 4 2 3 4" xfId="11670"/>
    <cellStyle name="常规 4 2 2 3 4 2 3 4 2" xfId="30518"/>
    <cellStyle name="常规 4 2 2 3 4 2 3 5" xfId="21094"/>
    <cellStyle name="常规 4 2 2 3 4 2 4" xfId="3034"/>
    <cellStyle name="常规 4 2 2 3 4 2 4 2" xfId="6170"/>
    <cellStyle name="常规 4 2 2 3 4 2 4 2 2" xfId="15590"/>
    <cellStyle name="常规 4 2 2 3 4 2 4 2 2 2" xfId="34438"/>
    <cellStyle name="常规 4 2 2 3 4 2 4 2 3" xfId="25014"/>
    <cellStyle name="常规 4 2 2 3 4 2 4 3" xfId="9306"/>
    <cellStyle name="常规 4 2 2 3 4 2 4 3 2" xfId="18726"/>
    <cellStyle name="常规 4 2 2 3 4 2 4 3 2 2" xfId="37574"/>
    <cellStyle name="常规 4 2 2 3 4 2 4 3 3" xfId="28150"/>
    <cellStyle name="常规 4 2 2 3 4 2 4 4" xfId="12454"/>
    <cellStyle name="常规 4 2 2 3 4 2 4 4 2" xfId="31302"/>
    <cellStyle name="常规 4 2 2 3 4 2 4 5" xfId="21878"/>
    <cellStyle name="常规 4 2 2 3 4 2 5" xfId="3818"/>
    <cellStyle name="常规 4 2 2 3 4 2 5 2" xfId="13238"/>
    <cellStyle name="常规 4 2 2 3 4 2 5 2 2" xfId="32086"/>
    <cellStyle name="常规 4 2 2 3 4 2 5 3" xfId="22662"/>
    <cellStyle name="常规 4 2 2 3 4 2 6" xfId="6954"/>
    <cellStyle name="常规 4 2 2 3 4 2 6 2" xfId="16374"/>
    <cellStyle name="常规 4 2 2 3 4 2 6 2 2" xfId="35222"/>
    <cellStyle name="常规 4 2 2 3 4 2 6 3" xfId="25798"/>
    <cellStyle name="常规 4 2 2 3 4 2 7" xfId="10102"/>
    <cellStyle name="常规 4 2 2 3 4 2 7 2" xfId="28950"/>
    <cellStyle name="常规 4 2 2 3 4 2 8" xfId="19526"/>
    <cellStyle name="常规 4 2 2 3 4 3" xfId="1074"/>
    <cellStyle name="常规 4 2 2 3 4 3 2" xfId="4210"/>
    <cellStyle name="常规 4 2 2 3 4 3 2 2" xfId="13630"/>
    <cellStyle name="常规 4 2 2 3 4 3 2 2 2" xfId="32478"/>
    <cellStyle name="常规 4 2 2 3 4 3 2 3" xfId="23054"/>
    <cellStyle name="常规 4 2 2 3 4 3 3" xfId="7346"/>
    <cellStyle name="常规 4 2 2 3 4 3 3 2" xfId="16766"/>
    <cellStyle name="常规 4 2 2 3 4 3 3 2 2" xfId="35614"/>
    <cellStyle name="常规 4 2 2 3 4 3 3 3" xfId="26190"/>
    <cellStyle name="常规 4 2 2 3 4 3 4" xfId="10494"/>
    <cellStyle name="常规 4 2 2 3 4 3 4 2" xfId="29342"/>
    <cellStyle name="常规 4 2 2 3 4 3 5" xfId="19918"/>
    <cellStyle name="常规 4 2 2 3 4 4" xfId="1858"/>
    <cellStyle name="常规 4 2 2 3 4 4 2" xfId="4994"/>
    <cellStyle name="常规 4 2 2 3 4 4 2 2" xfId="14414"/>
    <cellStyle name="常规 4 2 2 3 4 4 2 2 2" xfId="33262"/>
    <cellStyle name="常规 4 2 2 3 4 4 2 3" xfId="23838"/>
    <cellStyle name="常规 4 2 2 3 4 4 3" xfId="8130"/>
    <cellStyle name="常规 4 2 2 3 4 4 3 2" xfId="17550"/>
    <cellStyle name="常规 4 2 2 3 4 4 3 2 2" xfId="36398"/>
    <cellStyle name="常规 4 2 2 3 4 4 3 3" xfId="26974"/>
    <cellStyle name="常规 4 2 2 3 4 4 4" xfId="11278"/>
    <cellStyle name="常规 4 2 2 3 4 4 4 2" xfId="30126"/>
    <cellStyle name="常规 4 2 2 3 4 4 5" xfId="20702"/>
    <cellStyle name="常规 4 2 2 3 4 5" xfId="2642"/>
    <cellStyle name="常规 4 2 2 3 4 5 2" xfId="5778"/>
    <cellStyle name="常规 4 2 2 3 4 5 2 2" xfId="15198"/>
    <cellStyle name="常规 4 2 2 3 4 5 2 2 2" xfId="34046"/>
    <cellStyle name="常规 4 2 2 3 4 5 2 3" xfId="24622"/>
    <cellStyle name="常规 4 2 2 3 4 5 3" xfId="8914"/>
    <cellStyle name="常规 4 2 2 3 4 5 3 2" xfId="18334"/>
    <cellStyle name="常规 4 2 2 3 4 5 3 2 2" xfId="37182"/>
    <cellStyle name="常规 4 2 2 3 4 5 3 3" xfId="27758"/>
    <cellStyle name="常规 4 2 2 3 4 5 4" xfId="12062"/>
    <cellStyle name="常规 4 2 2 3 4 5 4 2" xfId="30910"/>
    <cellStyle name="常规 4 2 2 3 4 5 5" xfId="21486"/>
    <cellStyle name="常规 4 2 2 3 4 6" xfId="3450"/>
    <cellStyle name="常规 4 2 2 3 4 6 2" xfId="12870"/>
    <cellStyle name="常规 4 2 2 3 4 6 2 2" xfId="31718"/>
    <cellStyle name="常规 4 2 2 3 4 6 3" xfId="22294"/>
    <cellStyle name="常规 4 2 2 3 4 7" xfId="6562"/>
    <cellStyle name="常规 4 2 2 3 4 7 2" xfId="15982"/>
    <cellStyle name="常规 4 2 2 3 4 7 2 2" xfId="34830"/>
    <cellStyle name="常规 4 2 2 3 4 7 3" xfId="25406"/>
    <cellStyle name="常规 4 2 2 3 4 8" xfId="9709"/>
    <cellStyle name="常规 4 2 2 3 4 8 2" xfId="28554"/>
    <cellStyle name="常规 4 2 2 3 4 9" xfId="19132"/>
    <cellStyle name="常规 4 2 2 3 5" xfId="675"/>
    <cellStyle name="常规 4 2 2 3 5 2" xfId="1459"/>
    <cellStyle name="常规 4 2 2 3 5 2 2" xfId="4595"/>
    <cellStyle name="常规 4 2 2 3 5 2 2 2" xfId="14015"/>
    <cellStyle name="常规 4 2 2 3 5 2 2 2 2" xfId="32863"/>
    <cellStyle name="常规 4 2 2 3 5 2 2 3" xfId="23439"/>
    <cellStyle name="常规 4 2 2 3 5 2 3" xfId="7731"/>
    <cellStyle name="常规 4 2 2 3 5 2 3 2" xfId="17151"/>
    <cellStyle name="常规 4 2 2 3 5 2 3 2 2" xfId="35999"/>
    <cellStyle name="常规 4 2 2 3 5 2 3 3" xfId="26575"/>
    <cellStyle name="常规 4 2 2 3 5 2 4" xfId="10879"/>
    <cellStyle name="常规 4 2 2 3 5 2 4 2" xfId="29727"/>
    <cellStyle name="常规 4 2 2 3 5 2 5" xfId="20303"/>
    <cellStyle name="常规 4 2 2 3 5 3" xfId="2243"/>
    <cellStyle name="常规 4 2 2 3 5 3 2" xfId="5379"/>
    <cellStyle name="常规 4 2 2 3 5 3 2 2" xfId="14799"/>
    <cellStyle name="常规 4 2 2 3 5 3 2 2 2" xfId="33647"/>
    <cellStyle name="常规 4 2 2 3 5 3 2 3" xfId="24223"/>
    <cellStyle name="常规 4 2 2 3 5 3 3" xfId="8515"/>
    <cellStyle name="常规 4 2 2 3 5 3 3 2" xfId="17935"/>
    <cellStyle name="常规 4 2 2 3 5 3 3 2 2" xfId="36783"/>
    <cellStyle name="常规 4 2 2 3 5 3 3 3" xfId="27359"/>
    <cellStyle name="常规 4 2 2 3 5 3 4" xfId="11663"/>
    <cellStyle name="常规 4 2 2 3 5 3 4 2" xfId="30511"/>
    <cellStyle name="常规 4 2 2 3 5 3 5" xfId="21087"/>
    <cellStyle name="常规 4 2 2 3 5 4" xfId="3027"/>
    <cellStyle name="常规 4 2 2 3 5 4 2" xfId="6163"/>
    <cellStyle name="常规 4 2 2 3 5 4 2 2" xfId="15583"/>
    <cellStyle name="常规 4 2 2 3 5 4 2 2 2" xfId="34431"/>
    <cellStyle name="常规 4 2 2 3 5 4 2 3" xfId="25007"/>
    <cellStyle name="常规 4 2 2 3 5 4 3" xfId="9299"/>
    <cellStyle name="常规 4 2 2 3 5 4 3 2" xfId="18719"/>
    <cellStyle name="常规 4 2 2 3 5 4 3 2 2" xfId="37567"/>
    <cellStyle name="常规 4 2 2 3 5 4 3 3" xfId="28143"/>
    <cellStyle name="常规 4 2 2 3 5 4 4" xfId="12447"/>
    <cellStyle name="常规 4 2 2 3 5 4 4 2" xfId="31295"/>
    <cellStyle name="常规 4 2 2 3 5 4 5" xfId="21871"/>
    <cellStyle name="常规 4 2 2 3 5 5" xfId="3811"/>
    <cellStyle name="常规 4 2 2 3 5 5 2" xfId="13231"/>
    <cellStyle name="常规 4 2 2 3 5 5 2 2" xfId="32079"/>
    <cellStyle name="常规 4 2 2 3 5 5 3" xfId="22655"/>
    <cellStyle name="常规 4 2 2 3 5 6" xfId="6947"/>
    <cellStyle name="常规 4 2 2 3 5 6 2" xfId="16367"/>
    <cellStyle name="常规 4 2 2 3 5 6 2 2" xfId="35215"/>
    <cellStyle name="常规 4 2 2 3 5 6 3" xfId="25791"/>
    <cellStyle name="常规 4 2 2 3 5 7" xfId="10095"/>
    <cellStyle name="常规 4 2 2 3 5 7 2" xfId="28943"/>
    <cellStyle name="常规 4 2 2 3 5 8" xfId="19519"/>
    <cellStyle name="常规 4 2 2 3 6" xfId="1067"/>
    <cellStyle name="常规 4 2 2 3 6 2" xfId="4203"/>
    <cellStyle name="常规 4 2 2 3 6 2 2" xfId="13623"/>
    <cellStyle name="常规 4 2 2 3 6 2 2 2" xfId="32471"/>
    <cellStyle name="常规 4 2 2 3 6 2 3" xfId="23047"/>
    <cellStyle name="常规 4 2 2 3 6 3" xfId="7339"/>
    <cellStyle name="常规 4 2 2 3 6 3 2" xfId="16759"/>
    <cellStyle name="常规 4 2 2 3 6 3 2 2" xfId="35607"/>
    <cellStyle name="常规 4 2 2 3 6 3 3" xfId="26183"/>
    <cellStyle name="常规 4 2 2 3 6 4" xfId="10487"/>
    <cellStyle name="常规 4 2 2 3 6 4 2" xfId="29335"/>
    <cellStyle name="常规 4 2 2 3 6 5" xfId="19911"/>
    <cellStyle name="常规 4 2 2 3 7" xfId="1851"/>
    <cellStyle name="常规 4 2 2 3 7 2" xfId="4987"/>
    <cellStyle name="常规 4 2 2 3 7 2 2" xfId="14407"/>
    <cellStyle name="常规 4 2 2 3 7 2 2 2" xfId="33255"/>
    <cellStyle name="常规 4 2 2 3 7 2 3" xfId="23831"/>
    <cellStyle name="常规 4 2 2 3 7 3" xfId="8123"/>
    <cellStyle name="常规 4 2 2 3 7 3 2" xfId="17543"/>
    <cellStyle name="常规 4 2 2 3 7 3 2 2" xfId="36391"/>
    <cellStyle name="常规 4 2 2 3 7 3 3" xfId="26967"/>
    <cellStyle name="常规 4 2 2 3 7 4" xfId="11271"/>
    <cellStyle name="常规 4 2 2 3 7 4 2" xfId="30119"/>
    <cellStyle name="常规 4 2 2 3 7 5" xfId="20695"/>
    <cellStyle name="常规 4 2 2 3 8" xfId="2635"/>
    <cellStyle name="常规 4 2 2 3 8 2" xfId="5771"/>
    <cellStyle name="常规 4 2 2 3 8 2 2" xfId="15191"/>
    <cellStyle name="常规 4 2 2 3 8 2 2 2" xfId="34039"/>
    <cellStyle name="常规 4 2 2 3 8 2 3" xfId="24615"/>
    <cellStyle name="常规 4 2 2 3 8 3" xfId="8907"/>
    <cellStyle name="常规 4 2 2 3 8 3 2" xfId="18327"/>
    <cellStyle name="常规 4 2 2 3 8 3 2 2" xfId="37175"/>
    <cellStyle name="常规 4 2 2 3 8 3 3" xfId="27751"/>
    <cellStyle name="常规 4 2 2 3 8 4" xfId="12055"/>
    <cellStyle name="常规 4 2 2 3 8 4 2" xfId="30903"/>
    <cellStyle name="常规 4 2 2 3 8 5" xfId="21479"/>
    <cellStyle name="常规 4 2 2 3 9" xfId="3179"/>
    <cellStyle name="常规 4 2 2 3 9 2" xfId="12599"/>
    <cellStyle name="常规 4 2 2 3 9 2 2" xfId="31447"/>
    <cellStyle name="常规 4 2 2 3 9 3" xfId="22023"/>
    <cellStyle name="常规 4 2 2 4" xfId="287"/>
    <cellStyle name="常规 4 2 2 4 10" xfId="9710"/>
    <cellStyle name="常规 4 2 2 4 10 2" xfId="28555"/>
    <cellStyle name="常规 4 2 2 4 11" xfId="19133"/>
    <cellStyle name="常规 4 2 2 4 2" xfId="288"/>
    <cellStyle name="常规 4 2 2 4 2 10" xfId="19134"/>
    <cellStyle name="常规 4 2 2 4 2 2" xfId="289"/>
    <cellStyle name="常规 4 2 2 4 2 2 2" xfId="685"/>
    <cellStyle name="常规 4 2 2 4 2 2 2 2" xfId="1469"/>
    <cellStyle name="常规 4 2 2 4 2 2 2 2 2" xfId="4605"/>
    <cellStyle name="常规 4 2 2 4 2 2 2 2 2 2" xfId="14025"/>
    <cellStyle name="常规 4 2 2 4 2 2 2 2 2 2 2" xfId="32873"/>
    <cellStyle name="常规 4 2 2 4 2 2 2 2 2 3" xfId="23449"/>
    <cellStyle name="常规 4 2 2 4 2 2 2 2 3" xfId="7741"/>
    <cellStyle name="常规 4 2 2 4 2 2 2 2 3 2" xfId="17161"/>
    <cellStyle name="常规 4 2 2 4 2 2 2 2 3 2 2" xfId="36009"/>
    <cellStyle name="常规 4 2 2 4 2 2 2 2 3 3" xfId="26585"/>
    <cellStyle name="常规 4 2 2 4 2 2 2 2 4" xfId="10889"/>
    <cellStyle name="常规 4 2 2 4 2 2 2 2 4 2" xfId="29737"/>
    <cellStyle name="常规 4 2 2 4 2 2 2 2 5" xfId="20313"/>
    <cellStyle name="常规 4 2 2 4 2 2 2 3" xfId="2253"/>
    <cellStyle name="常规 4 2 2 4 2 2 2 3 2" xfId="5389"/>
    <cellStyle name="常规 4 2 2 4 2 2 2 3 2 2" xfId="14809"/>
    <cellStyle name="常规 4 2 2 4 2 2 2 3 2 2 2" xfId="33657"/>
    <cellStyle name="常规 4 2 2 4 2 2 2 3 2 3" xfId="24233"/>
    <cellStyle name="常规 4 2 2 4 2 2 2 3 3" xfId="8525"/>
    <cellStyle name="常规 4 2 2 4 2 2 2 3 3 2" xfId="17945"/>
    <cellStyle name="常规 4 2 2 4 2 2 2 3 3 2 2" xfId="36793"/>
    <cellStyle name="常规 4 2 2 4 2 2 2 3 3 3" xfId="27369"/>
    <cellStyle name="常规 4 2 2 4 2 2 2 3 4" xfId="11673"/>
    <cellStyle name="常规 4 2 2 4 2 2 2 3 4 2" xfId="30521"/>
    <cellStyle name="常规 4 2 2 4 2 2 2 3 5" xfId="21097"/>
    <cellStyle name="常规 4 2 2 4 2 2 2 4" xfId="3037"/>
    <cellStyle name="常规 4 2 2 4 2 2 2 4 2" xfId="6173"/>
    <cellStyle name="常规 4 2 2 4 2 2 2 4 2 2" xfId="15593"/>
    <cellStyle name="常规 4 2 2 4 2 2 2 4 2 2 2" xfId="34441"/>
    <cellStyle name="常规 4 2 2 4 2 2 2 4 2 3" xfId="25017"/>
    <cellStyle name="常规 4 2 2 4 2 2 2 4 3" xfId="9309"/>
    <cellStyle name="常规 4 2 2 4 2 2 2 4 3 2" xfId="18729"/>
    <cellStyle name="常规 4 2 2 4 2 2 2 4 3 2 2" xfId="37577"/>
    <cellStyle name="常规 4 2 2 4 2 2 2 4 3 3" xfId="28153"/>
    <cellStyle name="常规 4 2 2 4 2 2 2 4 4" xfId="12457"/>
    <cellStyle name="常规 4 2 2 4 2 2 2 4 4 2" xfId="31305"/>
    <cellStyle name="常规 4 2 2 4 2 2 2 4 5" xfId="21881"/>
    <cellStyle name="常规 4 2 2 4 2 2 2 5" xfId="3821"/>
    <cellStyle name="常规 4 2 2 4 2 2 2 5 2" xfId="13241"/>
    <cellStyle name="常规 4 2 2 4 2 2 2 5 2 2" xfId="32089"/>
    <cellStyle name="常规 4 2 2 4 2 2 2 5 3" xfId="22665"/>
    <cellStyle name="常规 4 2 2 4 2 2 2 6" xfId="6957"/>
    <cellStyle name="常规 4 2 2 4 2 2 2 6 2" xfId="16377"/>
    <cellStyle name="常规 4 2 2 4 2 2 2 6 2 2" xfId="35225"/>
    <cellStyle name="常规 4 2 2 4 2 2 2 6 3" xfId="25801"/>
    <cellStyle name="常规 4 2 2 4 2 2 2 7" xfId="10105"/>
    <cellStyle name="常规 4 2 2 4 2 2 2 7 2" xfId="28953"/>
    <cellStyle name="常规 4 2 2 4 2 2 2 8" xfId="19529"/>
    <cellStyle name="常规 4 2 2 4 2 2 3" xfId="1077"/>
    <cellStyle name="常规 4 2 2 4 2 2 3 2" xfId="4213"/>
    <cellStyle name="常规 4 2 2 4 2 2 3 2 2" xfId="13633"/>
    <cellStyle name="常规 4 2 2 4 2 2 3 2 2 2" xfId="32481"/>
    <cellStyle name="常规 4 2 2 4 2 2 3 2 3" xfId="23057"/>
    <cellStyle name="常规 4 2 2 4 2 2 3 3" xfId="7349"/>
    <cellStyle name="常规 4 2 2 4 2 2 3 3 2" xfId="16769"/>
    <cellStyle name="常规 4 2 2 4 2 2 3 3 2 2" xfId="35617"/>
    <cellStyle name="常规 4 2 2 4 2 2 3 3 3" xfId="26193"/>
    <cellStyle name="常规 4 2 2 4 2 2 3 4" xfId="10497"/>
    <cellStyle name="常规 4 2 2 4 2 2 3 4 2" xfId="29345"/>
    <cellStyle name="常规 4 2 2 4 2 2 3 5" xfId="19921"/>
    <cellStyle name="常规 4 2 2 4 2 2 4" xfId="1861"/>
    <cellStyle name="常规 4 2 2 4 2 2 4 2" xfId="4997"/>
    <cellStyle name="常规 4 2 2 4 2 2 4 2 2" xfId="14417"/>
    <cellStyle name="常规 4 2 2 4 2 2 4 2 2 2" xfId="33265"/>
    <cellStyle name="常规 4 2 2 4 2 2 4 2 3" xfId="23841"/>
    <cellStyle name="常规 4 2 2 4 2 2 4 3" xfId="8133"/>
    <cellStyle name="常规 4 2 2 4 2 2 4 3 2" xfId="17553"/>
    <cellStyle name="常规 4 2 2 4 2 2 4 3 2 2" xfId="36401"/>
    <cellStyle name="常规 4 2 2 4 2 2 4 3 3" xfId="26977"/>
    <cellStyle name="常规 4 2 2 4 2 2 4 4" xfId="11281"/>
    <cellStyle name="常规 4 2 2 4 2 2 4 4 2" xfId="30129"/>
    <cellStyle name="常规 4 2 2 4 2 2 4 5" xfId="20705"/>
    <cellStyle name="常规 4 2 2 4 2 2 5" xfId="2645"/>
    <cellStyle name="常规 4 2 2 4 2 2 5 2" xfId="5781"/>
    <cellStyle name="常规 4 2 2 4 2 2 5 2 2" xfId="15201"/>
    <cellStyle name="常规 4 2 2 4 2 2 5 2 2 2" xfId="34049"/>
    <cellStyle name="常规 4 2 2 4 2 2 5 2 3" xfId="24625"/>
    <cellStyle name="常规 4 2 2 4 2 2 5 3" xfId="8917"/>
    <cellStyle name="常规 4 2 2 4 2 2 5 3 2" xfId="18337"/>
    <cellStyle name="常规 4 2 2 4 2 2 5 3 2 2" xfId="37185"/>
    <cellStyle name="常规 4 2 2 4 2 2 5 3 3" xfId="27761"/>
    <cellStyle name="常规 4 2 2 4 2 2 5 4" xfId="12065"/>
    <cellStyle name="常规 4 2 2 4 2 2 5 4 2" xfId="30913"/>
    <cellStyle name="常规 4 2 2 4 2 2 5 5" xfId="21489"/>
    <cellStyle name="常规 4 2 2 4 2 2 6" xfId="3452"/>
    <cellStyle name="常规 4 2 2 4 2 2 6 2" xfId="12872"/>
    <cellStyle name="常规 4 2 2 4 2 2 6 2 2" xfId="31720"/>
    <cellStyle name="常规 4 2 2 4 2 2 6 3" xfId="22296"/>
    <cellStyle name="常规 4 2 2 4 2 2 7" xfId="6565"/>
    <cellStyle name="常规 4 2 2 4 2 2 7 2" xfId="15985"/>
    <cellStyle name="常规 4 2 2 4 2 2 7 2 2" xfId="34833"/>
    <cellStyle name="常规 4 2 2 4 2 2 7 3" xfId="25409"/>
    <cellStyle name="常规 4 2 2 4 2 2 8" xfId="9712"/>
    <cellStyle name="常规 4 2 2 4 2 2 8 2" xfId="28557"/>
    <cellStyle name="常规 4 2 2 4 2 2 9" xfId="19135"/>
    <cellStyle name="常规 4 2 2 4 2 3" xfId="684"/>
    <cellStyle name="常规 4 2 2 4 2 3 2" xfId="1468"/>
    <cellStyle name="常规 4 2 2 4 2 3 2 2" xfId="4604"/>
    <cellStyle name="常规 4 2 2 4 2 3 2 2 2" xfId="14024"/>
    <cellStyle name="常规 4 2 2 4 2 3 2 2 2 2" xfId="32872"/>
    <cellStyle name="常规 4 2 2 4 2 3 2 2 3" xfId="23448"/>
    <cellStyle name="常规 4 2 2 4 2 3 2 3" xfId="7740"/>
    <cellStyle name="常规 4 2 2 4 2 3 2 3 2" xfId="17160"/>
    <cellStyle name="常规 4 2 2 4 2 3 2 3 2 2" xfId="36008"/>
    <cellStyle name="常规 4 2 2 4 2 3 2 3 3" xfId="26584"/>
    <cellStyle name="常规 4 2 2 4 2 3 2 4" xfId="10888"/>
    <cellStyle name="常规 4 2 2 4 2 3 2 4 2" xfId="29736"/>
    <cellStyle name="常规 4 2 2 4 2 3 2 5" xfId="20312"/>
    <cellStyle name="常规 4 2 2 4 2 3 3" xfId="2252"/>
    <cellStyle name="常规 4 2 2 4 2 3 3 2" xfId="5388"/>
    <cellStyle name="常规 4 2 2 4 2 3 3 2 2" xfId="14808"/>
    <cellStyle name="常规 4 2 2 4 2 3 3 2 2 2" xfId="33656"/>
    <cellStyle name="常规 4 2 2 4 2 3 3 2 3" xfId="24232"/>
    <cellStyle name="常规 4 2 2 4 2 3 3 3" xfId="8524"/>
    <cellStyle name="常规 4 2 2 4 2 3 3 3 2" xfId="17944"/>
    <cellStyle name="常规 4 2 2 4 2 3 3 3 2 2" xfId="36792"/>
    <cellStyle name="常规 4 2 2 4 2 3 3 3 3" xfId="27368"/>
    <cellStyle name="常规 4 2 2 4 2 3 3 4" xfId="11672"/>
    <cellStyle name="常规 4 2 2 4 2 3 3 4 2" xfId="30520"/>
    <cellStyle name="常规 4 2 2 4 2 3 3 5" xfId="21096"/>
    <cellStyle name="常规 4 2 2 4 2 3 4" xfId="3036"/>
    <cellStyle name="常规 4 2 2 4 2 3 4 2" xfId="6172"/>
    <cellStyle name="常规 4 2 2 4 2 3 4 2 2" xfId="15592"/>
    <cellStyle name="常规 4 2 2 4 2 3 4 2 2 2" xfId="34440"/>
    <cellStyle name="常规 4 2 2 4 2 3 4 2 3" xfId="25016"/>
    <cellStyle name="常规 4 2 2 4 2 3 4 3" xfId="9308"/>
    <cellStyle name="常规 4 2 2 4 2 3 4 3 2" xfId="18728"/>
    <cellStyle name="常规 4 2 2 4 2 3 4 3 2 2" xfId="37576"/>
    <cellStyle name="常规 4 2 2 4 2 3 4 3 3" xfId="28152"/>
    <cellStyle name="常规 4 2 2 4 2 3 4 4" xfId="12456"/>
    <cellStyle name="常规 4 2 2 4 2 3 4 4 2" xfId="31304"/>
    <cellStyle name="常规 4 2 2 4 2 3 4 5" xfId="21880"/>
    <cellStyle name="常规 4 2 2 4 2 3 5" xfId="3820"/>
    <cellStyle name="常规 4 2 2 4 2 3 5 2" xfId="13240"/>
    <cellStyle name="常规 4 2 2 4 2 3 5 2 2" xfId="32088"/>
    <cellStyle name="常规 4 2 2 4 2 3 5 3" xfId="22664"/>
    <cellStyle name="常规 4 2 2 4 2 3 6" xfId="6956"/>
    <cellStyle name="常规 4 2 2 4 2 3 6 2" xfId="16376"/>
    <cellStyle name="常规 4 2 2 4 2 3 6 2 2" xfId="35224"/>
    <cellStyle name="常规 4 2 2 4 2 3 6 3" xfId="25800"/>
    <cellStyle name="常规 4 2 2 4 2 3 7" xfId="10104"/>
    <cellStyle name="常规 4 2 2 4 2 3 7 2" xfId="28952"/>
    <cellStyle name="常规 4 2 2 4 2 3 8" xfId="19528"/>
    <cellStyle name="常规 4 2 2 4 2 4" xfId="1076"/>
    <cellStyle name="常规 4 2 2 4 2 4 2" xfId="4212"/>
    <cellStyle name="常规 4 2 2 4 2 4 2 2" xfId="13632"/>
    <cellStyle name="常规 4 2 2 4 2 4 2 2 2" xfId="32480"/>
    <cellStyle name="常规 4 2 2 4 2 4 2 3" xfId="23056"/>
    <cellStyle name="常规 4 2 2 4 2 4 3" xfId="7348"/>
    <cellStyle name="常规 4 2 2 4 2 4 3 2" xfId="16768"/>
    <cellStyle name="常规 4 2 2 4 2 4 3 2 2" xfId="35616"/>
    <cellStyle name="常规 4 2 2 4 2 4 3 3" xfId="26192"/>
    <cellStyle name="常规 4 2 2 4 2 4 4" xfId="10496"/>
    <cellStyle name="常规 4 2 2 4 2 4 4 2" xfId="29344"/>
    <cellStyle name="常规 4 2 2 4 2 4 5" xfId="19920"/>
    <cellStyle name="常规 4 2 2 4 2 5" xfId="1860"/>
    <cellStyle name="常规 4 2 2 4 2 5 2" xfId="4996"/>
    <cellStyle name="常规 4 2 2 4 2 5 2 2" xfId="14416"/>
    <cellStyle name="常规 4 2 2 4 2 5 2 2 2" xfId="33264"/>
    <cellStyle name="常规 4 2 2 4 2 5 2 3" xfId="23840"/>
    <cellStyle name="常规 4 2 2 4 2 5 3" xfId="8132"/>
    <cellStyle name="常规 4 2 2 4 2 5 3 2" xfId="17552"/>
    <cellStyle name="常规 4 2 2 4 2 5 3 2 2" xfId="36400"/>
    <cellStyle name="常规 4 2 2 4 2 5 3 3" xfId="26976"/>
    <cellStyle name="常规 4 2 2 4 2 5 4" xfId="11280"/>
    <cellStyle name="常规 4 2 2 4 2 5 4 2" xfId="30128"/>
    <cellStyle name="常规 4 2 2 4 2 5 5" xfId="20704"/>
    <cellStyle name="常规 4 2 2 4 2 6" xfId="2644"/>
    <cellStyle name="常规 4 2 2 4 2 6 2" xfId="5780"/>
    <cellStyle name="常规 4 2 2 4 2 6 2 2" xfId="15200"/>
    <cellStyle name="常规 4 2 2 4 2 6 2 2 2" xfId="34048"/>
    <cellStyle name="常规 4 2 2 4 2 6 2 3" xfId="24624"/>
    <cellStyle name="常规 4 2 2 4 2 6 3" xfId="8916"/>
    <cellStyle name="常规 4 2 2 4 2 6 3 2" xfId="18336"/>
    <cellStyle name="常规 4 2 2 4 2 6 3 2 2" xfId="37184"/>
    <cellStyle name="常规 4 2 2 4 2 6 3 3" xfId="27760"/>
    <cellStyle name="常规 4 2 2 4 2 6 4" xfId="12064"/>
    <cellStyle name="常规 4 2 2 4 2 6 4 2" xfId="30912"/>
    <cellStyle name="常规 4 2 2 4 2 6 5" xfId="21488"/>
    <cellStyle name="常规 4 2 2 4 2 7" xfId="3451"/>
    <cellStyle name="常规 4 2 2 4 2 7 2" xfId="12871"/>
    <cellStyle name="常规 4 2 2 4 2 7 2 2" xfId="31719"/>
    <cellStyle name="常规 4 2 2 4 2 7 3" xfId="22295"/>
    <cellStyle name="常规 4 2 2 4 2 8" xfId="6564"/>
    <cellStyle name="常规 4 2 2 4 2 8 2" xfId="15984"/>
    <cellStyle name="常规 4 2 2 4 2 8 2 2" xfId="34832"/>
    <cellStyle name="常规 4 2 2 4 2 8 3" xfId="25408"/>
    <cellStyle name="常规 4 2 2 4 2 9" xfId="9711"/>
    <cellStyle name="常规 4 2 2 4 2 9 2" xfId="28556"/>
    <cellStyle name="常规 4 2 2 4 3" xfId="290"/>
    <cellStyle name="常规 4 2 2 4 3 2" xfId="686"/>
    <cellStyle name="常规 4 2 2 4 3 2 2" xfId="1470"/>
    <cellStyle name="常规 4 2 2 4 3 2 2 2" xfId="4606"/>
    <cellStyle name="常规 4 2 2 4 3 2 2 2 2" xfId="14026"/>
    <cellStyle name="常规 4 2 2 4 3 2 2 2 2 2" xfId="32874"/>
    <cellStyle name="常规 4 2 2 4 3 2 2 2 3" xfId="23450"/>
    <cellStyle name="常规 4 2 2 4 3 2 2 3" xfId="7742"/>
    <cellStyle name="常规 4 2 2 4 3 2 2 3 2" xfId="17162"/>
    <cellStyle name="常规 4 2 2 4 3 2 2 3 2 2" xfId="36010"/>
    <cellStyle name="常规 4 2 2 4 3 2 2 3 3" xfId="26586"/>
    <cellStyle name="常规 4 2 2 4 3 2 2 4" xfId="10890"/>
    <cellStyle name="常规 4 2 2 4 3 2 2 4 2" xfId="29738"/>
    <cellStyle name="常规 4 2 2 4 3 2 2 5" xfId="20314"/>
    <cellStyle name="常规 4 2 2 4 3 2 3" xfId="2254"/>
    <cellStyle name="常规 4 2 2 4 3 2 3 2" xfId="5390"/>
    <cellStyle name="常规 4 2 2 4 3 2 3 2 2" xfId="14810"/>
    <cellStyle name="常规 4 2 2 4 3 2 3 2 2 2" xfId="33658"/>
    <cellStyle name="常规 4 2 2 4 3 2 3 2 3" xfId="24234"/>
    <cellStyle name="常规 4 2 2 4 3 2 3 3" xfId="8526"/>
    <cellStyle name="常规 4 2 2 4 3 2 3 3 2" xfId="17946"/>
    <cellStyle name="常规 4 2 2 4 3 2 3 3 2 2" xfId="36794"/>
    <cellStyle name="常规 4 2 2 4 3 2 3 3 3" xfId="27370"/>
    <cellStyle name="常规 4 2 2 4 3 2 3 4" xfId="11674"/>
    <cellStyle name="常规 4 2 2 4 3 2 3 4 2" xfId="30522"/>
    <cellStyle name="常规 4 2 2 4 3 2 3 5" xfId="21098"/>
    <cellStyle name="常规 4 2 2 4 3 2 4" xfId="3038"/>
    <cellStyle name="常规 4 2 2 4 3 2 4 2" xfId="6174"/>
    <cellStyle name="常规 4 2 2 4 3 2 4 2 2" xfId="15594"/>
    <cellStyle name="常规 4 2 2 4 3 2 4 2 2 2" xfId="34442"/>
    <cellStyle name="常规 4 2 2 4 3 2 4 2 3" xfId="25018"/>
    <cellStyle name="常规 4 2 2 4 3 2 4 3" xfId="9310"/>
    <cellStyle name="常规 4 2 2 4 3 2 4 3 2" xfId="18730"/>
    <cellStyle name="常规 4 2 2 4 3 2 4 3 2 2" xfId="37578"/>
    <cellStyle name="常规 4 2 2 4 3 2 4 3 3" xfId="28154"/>
    <cellStyle name="常规 4 2 2 4 3 2 4 4" xfId="12458"/>
    <cellStyle name="常规 4 2 2 4 3 2 4 4 2" xfId="31306"/>
    <cellStyle name="常规 4 2 2 4 3 2 4 5" xfId="21882"/>
    <cellStyle name="常规 4 2 2 4 3 2 5" xfId="3822"/>
    <cellStyle name="常规 4 2 2 4 3 2 5 2" xfId="13242"/>
    <cellStyle name="常规 4 2 2 4 3 2 5 2 2" xfId="32090"/>
    <cellStyle name="常规 4 2 2 4 3 2 5 3" xfId="22666"/>
    <cellStyle name="常规 4 2 2 4 3 2 6" xfId="6958"/>
    <cellStyle name="常规 4 2 2 4 3 2 6 2" xfId="16378"/>
    <cellStyle name="常规 4 2 2 4 3 2 6 2 2" xfId="35226"/>
    <cellStyle name="常规 4 2 2 4 3 2 6 3" xfId="25802"/>
    <cellStyle name="常规 4 2 2 4 3 2 7" xfId="10106"/>
    <cellStyle name="常规 4 2 2 4 3 2 7 2" xfId="28954"/>
    <cellStyle name="常规 4 2 2 4 3 2 8" xfId="19530"/>
    <cellStyle name="常规 4 2 2 4 3 3" xfId="1078"/>
    <cellStyle name="常规 4 2 2 4 3 3 2" xfId="4214"/>
    <cellStyle name="常规 4 2 2 4 3 3 2 2" xfId="13634"/>
    <cellStyle name="常规 4 2 2 4 3 3 2 2 2" xfId="32482"/>
    <cellStyle name="常规 4 2 2 4 3 3 2 3" xfId="23058"/>
    <cellStyle name="常规 4 2 2 4 3 3 3" xfId="7350"/>
    <cellStyle name="常规 4 2 2 4 3 3 3 2" xfId="16770"/>
    <cellStyle name="常规 4 2 2 4 3 3 3 2 2" xfId="35618"/>
    <cellStyle name="常规 4 2 2 4 3 3 3 3" xfId="26194"/>
    <cellStyle name="常规 4 2 2 4 3 3 4" xfId="10498"/>
    <cellStyle name="常规 4 2 2 4 3 3 4 2" xfId="29346"/>
    <cellStyle name="常规 4 2 2 4 3 3 5" xfId="19922"/>
    <cellStyle name="常规 4 2 2 4 3 4" xfId="1862"/>
    <cellStyle name="常规 4 2 2 4 3 4 2" xfId="4998"/>
    <cellStyle name="常规 4 2 2 4 3 4 2 2" xfId="14418"/>
    <cellStyle name="常规 4 2 2 4 3 4 2 2 2" xfId="33266"/>
    <cellStyle name="常规 4 2 2 4 3 4 2 3" xfId="23842"/>
    <cellStyle name="常规 4 2 2 4 3 4 3" xfId="8134"/>
    <cellStyle name="常规 4 2 2 4 3 4 3 2" xfId="17554"/>
    <cellStyle name="常规 4 2 2 4 3 4 3 2 2" xfId="36402"/>
    <cellStyle name="常规 4 2 2 4 3 4 3 3" xfId="26978"/>
    <cellStyle name="常规 4 2 2 4 3 4 4" xfId="11282"/>
    <cellStyle name="常规 4 2 2 4 3 4 4 2" xfId="30130"/>
    <cellStyle name="常规 4 2 2 4 3 4 5" xfId="20706"/>
    <cellStyle name="常规 4 2 2 4 3 5" xfId="2646"/>
    <cellStyle name="常规 4 2 2 4 3 5 2" xfId="5782"/>
    <cellStyle name="常规 4 2 2 4 3 5 2 2" xfId="15202"/>
    <cellStyle name="常规 4 2 2 4 3 5 2 2 2" xfId="34050"/>
    <cellStyle name="常规 4 2 2 4 3 5 2 3" xfId="24626"/>
    <cellStyle name="常规 4 2 2 4 3 5 3" xfId="8918"/>
    <cellStyle name="常规 4 2 2 4 3 5 3 2" xfId="18338"/>
    <cellStyle name="常规 4 2 2 4 3 5 3 2 2" xfId="37186"/>
    <cellStyle name="常规 4 2 2 4 3 5 3 3" xfId="27762"/>
    <cellStyle name="常规 4 2 2 4 3 5 4" xfId="12066"/>
    <cellStyle name="常规 4 2 2 4 3 5 4 2" xfId="30914"/>
    <cellStyle name="常规 4 2 2 4 3 5 5" xfId="21490"/>
    <cellStyle name="常规 4 2 2 4 3 6" xfId="3453"/>
    <cellStyle name="常规 4 2 2 4 3 6 2" xfId="12873"/>
    <cellStyle name="常规 4 2 2 4 3 6 2 2" xfId="31721"/>
    <cellStyle name="常规 4 2 2 4 3 6 3" xfId="22297"/>
    <cellStyle name="常规 4 2 2 4 3 7" xfId="6566"/>
    <cellStyle name="常规 4 2 2 4 3 7 2" xfId="15986"/>
    <cellStyle name="常规 4 2 2 4 3 7 2 2" xfId="34834"/>
    <cellStyle name="常规 4 2 2 4 3 7 3" xfId="25410"/>
    <cellStyle name="常规 4 2 2 4 3 8" xfId="9713"/>
    <cellStyle name="常规 4 2 2 4 3 8 2" xfId="28558"/>
    <cellStyle name="常规 4 2 2 4 3 9" xfId="19136"/>
    <cellStyle name="常规 4 2 2 4 4" xfId="683"/>
    <cellStyle name="常规 4 2 2 4 4 2" xfId="1467"/>
    <cellStyle name="常规 4 2 2 4 4 2 2" xfId="4603"/>
    <cellStyle name="常规 4 2 2 4 4 2 2 2" xfId="14023"/>
    <cellStyle name="常规 4 2 2 4 4 2 2 2 2" xfId="32871"/>
    <cellStyle name="常规 4 2 2 4 4 2 2 3" xfId="23447"/>
    <cellStyle name="常规 4 2 2 4 4 2 3" xfId="7739"/>
    <cellStyle name="常规 4 2 2 4 4 2 3 2" xfId="17159"/>
    <cellStyle name="常规 4 2 2 4 4 2 3 2 2" xfId="36007"/>
    <cellStyle name="常规 4 2 2 4 4 2 3 3" xfId="26583"/>
    <cellStyle name="常规 4 2 2 4 4 2 4" xfId="10887"/>
    <cellStyle name="常规 4 2 2 4 4 2 4 2" xfId="29735"/>
    <cellStyle name="常规 4 2 2 4 4 2 5" xfId="20311"/>
    <cellStyle name="常规 4 2 2 4 4 3" xfId="2251"/>
    <cellStyle name="常规 4 2 2 4 4 3 2" xfId="5387"/>
    <cellStyle name="常规 4 2 2 4 4 3 2 2" xfId="14807"/>
    <cellStyle name="常规 4 2 2 4 4 3 2 2 2" xfId="33655"/>
    <cellStyle name="常规 4 2 2 4 4 3 2 3" xfId="24231"/>
    <cellStyle name="常规 4 2 2 4 4 3 3" xfId="8523"/>
    <cellStyle name="常规 4 2 2 4 4 3 3 2" xfId="17943"/>
    <cellStyle name="常规 4 2 2 4 4 3 3 2 2" xfId="36791"/>
    <cellStyle name="常规 4 2 2 4 4 3 3 3" xfId="27367"/>
    <cellStyle name="常规 4 2 2 4 4 3 4" xfId="11671"/>
    <cellStyle name="常规 4 2 2 4 4 3 4 2" xfId="30519"/>
    <cellStyle name="常规 4 2 2 4 4 3 5" xfId="21095"/>
    <cellStyle name="常规 4 2 2 4 4 4" xfId="3035"/>
    <cellStyle name="常规 4 2 2 4 4 4 2" xfId="6171"/>
    <cellStyle name="常规 4 2 2 4 4 4 2 2" xfId="15591"/>
    <cellStyle name="常规 4 2 2 4 4 4 2 2 2" xfId="34439"/>
    <cellStyle name="常规 4 2 2 4 4 4 2 3" xfId="25015"/>
    <cellStyle name="常规 4 2 2 4 4 4 3" xfId="9307"/>
    <cellStyle name="常规 4 2 2 4 4 4 3 2" xfId="18727"/>
    <cellStyle name="常规 4 2 2 4 4 4 3 2 2" xfId="37575"/>
    <cellStyle name="常规 4 2 2 4 4 4 3 3" xfId="28151"/>
    <cellStyle name="常规 4 2 2 4 4 4 4" xfId="12455"/>
    <cellStyle name="常规 4 2 2 4 4 4 4 2" xfId="31303"/>
    <cellStyle name="常规 4 2 2 4 4 4 5" xfId="21879"/>
    <cellStyle name="常规 4 2 2 4 4 5" xfId="3819"/>
    <cellStyle name="常规 4 2 2 4 4 5 2" xfId="13239"/>
    <cellStyle name="常规 4 2 2 4 4 5 2 2" xfId="32087"/>
    <cellStyle name="常规 4 2 2 4 4 5 3" xfId="22663"/>
    <cellStyle name="常规 4 2 2 4 4 6" xfId="6955"/>
    <cellStyle name="常规 4 2 2 4 4 6 2" xfId="16375"/>
    <cellStyle name="常规 4 2 2 4 4 6 2 2" xfId="35223"/>
    <cellStyle name="常规 4 2 2 4 4 6 3" xfId="25799"/>
    <cellStyle name="常规 4 2 2 4 4 7" xfId="10103"/>
    <cellStyle name="常规 4 2 2 4 4 7 2" xfId="28951"/>
    <cellStyle name="常规 4 2 2 4 4 8" xfId="19527"/>
    <cellStyle name="常规 4 2 2 4 5" xfId="1075"/>
    <cellStyle name="常规 4 2 2 4 5 2" xfId="4211"/>
    <cellStyle name="常规 4 2 2 4 5 2 2" xfId="13631"/>
    <cellStyle name="常规 4 2 2 4 5 2 2 2" xfId="32479"/>
    <cellStyle name="常规 4 2 2 4 5 2 3" xfId="23055"/>
    <cellStyle name="常规 4 2 2 4 5 3" xfId="7347"/>
    <cellStyle name="常规 4 2 2 4 5 3 2" xfId="16767"/>
    <cellStyle name="常规 4 2 2 4 5 3 2 2" xfId="35615"/>
    <cellStyle name="常规 4 2 2 4 5 3 3" xfId="26191"/>
    <cellStyle name="常规 4 2 2 4 5 4" xfId="10495"/>
    <cellStyle name="常规 4 2 2 4 5 4 2" xfId="29343"/>
    <cellStyle name="常规 4 2 2 4 5 5" xfId="19919"/>
    <cellStyle name="常规 4 2 2 4 6" xfId="1859"/>
    <cellStyle name="常规 4 2 2 4 6 2" xfId="4995"/>
    <cellStyle name="常规 4 2 2 4 6 2 2" xfId="14415"/>
    <cellStyle name="常规 4 2 2 4 6 2 2 2" xfId="33263"/>
    <cellStyle name="常规 4 2 2 4 6 2 3" xfId="23839"/>
    <cellStyle name="常规 4 2 2 4 6 3" xfId="8131"/>
    <cellStyle name="常规 4 2 2 4 6 3 2" xfId="17551"/>
    <cellStyle name="常规 4 2 2 4 6 3 2 2" xfId="36399"/>
    <cellStyle name="常规 4 2 2 4 6 3 3" xfId="26975"/>
    <cellStyle name="常规 4 2 2 4 6 4" xfId="11279"/>
    <cellStyle name="常规 4 2 2 4 6 4 2" xfId="30127"/>
    <cellStyle name="常规 4 2 2 4 6 5" xfId="20703"/>
    <cellStyle name="常规 4 2 2 4 7" xfId="2643"/>
    <cellStyle name="常规 4 2 2 4 7 2" xfId="5779"/>
    <cellStyle name="常规 4 2 2 4 7 2 2" xfId="15199"/>
    <cellStyle name="常规 4 2 2 4 7 2 2 2" xfId="34047"/>
    <cellStyle name="常规 4 2 2 4 7 2 3" xfId="24623"/>
    <cellStyle name="常规 4 2 2 4 7 3" xfId="8915"/>
    <cellStyle name="常规 4 2 2 4 7 3 2" xfId="18335"/>
    <cellStyle name="常规 4 2 2 4 7 3 2 2" xfId="37183"/>
    <cellStyle name="常规 4 2 2 4 7 3 3" xfId="27759"/>
    <cellStyle name="常规 4 2 2 4 7 4" xfId="12063"/>
    <cellStyle name="常规 4 2 2 4 7 4 2" xfId="30911"/>
    <cellStyle name="常规 4 2 2 4 7 5" xfId="21487"/>
    <cellStyle name="常规 4 2 2 4 8" xfId="3225"/>
    <cellStyle name="常规 4 2 2 4 8 2" xfId="12645"/>
    <cellStyle name="常规 4 2 2 4 8 2 2" xfId="31493"/>
    <cellStyle name="常规 4 2 2 4 8 3" xfId="22069"/>
    <cellStyle name="常规 4 2 2 4 9" xfId="6563"/>
    <cellStyle name="常规 4 2 2 4 9 2" xfId="15983"/>
    <cellStyle name="常规 4 2 2 4 9 2 2" xfId="34831"/>
    <cellStyle name="常规 4 2 2 4 9 3" xfId="25407"/>
    <cellStyle name="常规 4 2 2 5" xfId="291"/>
    <cellStyle name="常规 4 2 2 5 10" xfId="19137"/>
    <cellStyle name="常规 4 2 2 5 2" xfId="292"/>
    <cellStyle name="常规 4 2 2 5 2 2" xfId="688"/>
    <cellStyle name="常规 4 2 2 5 2 2 2" xfId="1472"/>
    <cellStyle name="常规 4 2 2 5 2 2 2 2" xfId="4608"/>
    <cellStyle name="常规 4 2 2 5 2 2 2 2 2" xfId="14028"/>
    <cellStyle name="常规 4 2 2 5 2 2 2 2 2 2" xfId="32876"/>
    <cellStyle name="常规 4 2 2 5 2 2 2 2 3" xfId="23452"/>
    <cellStyle name="常规 4 2 2 5 2 2 2 3" xfId="7744"/>
    <cellStyle name="常规 4 2 2 5 2 2 2 3 2" xfId="17164"/>
    <cellStyle name="常规 4 2 2 5 2 2 2 3 2 2" xfId="36012"/>
    <cellStyle name="常规 4 2 2 5 2 2 2 3 3" xfId="26588"/>
    <cellStyle name="常规 4 2 2 5 2 2 2 4" xfId="10892"/>
    <cellStyle name="常规 4 2 2 5 2 2 2 4 2" xfId="29740"/>
    <cellStyle name="常规 4 2 2 5 2 2 2 5" xfId="20316"/>
    <cellStyle name="常规 4 2 2 5 2 2 3" xfId="2256"/>
    <cellStyle name="常规 4 2 2 5 2 2 3 2" xfId="5392"/>
    <cellStyle name="常规 4 2 2 5 2 2 3 2 2" xfId="14812"/>
    <cellStyle name="常规 4 2 2 5 2 2 3 2 2 2" xfId="33660"/>
    <cellStyle name="常规 4 2 2 5 2 2 3 2 3" xfId="24236"/>
    <cellStyle name="常规 4 2 2 5 2 2 3 3" xfId="8528"/>
    <cellStyle name="常规 4 2 2 5 2 2 3 3 2" xfId="17948"/>
    <cellStyle name="常规 4 2 2 5 2 2 3 3 2 2" xfId="36796"/>
    <cellStyle name="常规 4 2 2 5 2 2 3 3 3" xfId="27372"/>
    <cellStyle name="常规 4 2 2 5 2 2 3 4" xfId="11676"/>
    <cellStyle name="常规 4 2 2 5 2 2 3 4 2" xfId="30524"/>
    <cellStyle name="常规 4 2 2 5 2 2 3 5" xfId="21100"/>
    <cellStyle name="常规 4 2 2 5 2 2 4" xfId="3040"/>
    <cellStyle name="常规 4 2 2 5 2 2 4 2" xfId="6176"/>
    <cellStyle name="常规 4 2 2 5 2 2 4 2 2" xfId="15596"/>
    <cellStyle name="常规 4 2 2 5 2 2 4 2 2 2" xfId="34444"/>
    <cellStyle name="常规 4 2 2 5 2 2 4 2 3" xfId="25020"/>
    <cellStyle name="常规 4 2 2 5 2 2 4 3" xfId="9312"/>
    <cellStyle name="常规 4 2 2 5 2 2 4 3 2" xfId="18732"/>
    <cellStyle name="常规 4 2 2 5 2 2 4 3 2 2" xfId="37580"/>
    <cellStyle name="常规 4 2 2 5 2 2 4 3 3" xfId="28156"/>
    <cellStyle name="常规 4 2 2 5 2 2 4 4" xfId="12460"/>
    <cellStyle name="常规 4 2 2 5 2 2 4 4 2" xfId="31308"/>
    <cellStyle name="常规 4 2 2 5 2 2 4 5" xfId="21884"/>
    <cellStyle name="常规 4 2 2 5 2 2 5" xfId="3824"/>
    <cellStyle name="常规 4 2 2 5 2 2 5 2" xfId="13244"/>
    <cellStyle name="常规 4 2 2 5 2 2 5 2 2" xfId="32092"/>
    <cellStyle name="常规 4 2 2 5 2 2 5 3" xfId="22668"/>
    <cellStyle name="常规 4 2 2 5 2 2 6" xfId="6960"/>
    <cellStyle name="常规 4 2 2 5 2 2 6 2" xfId="16380"/>
    <cellStyle name="常规 4 2 2 5 2 2 6 2 2" xfId="35228"/>
    <cellStyle name="常规 4 2 2 5 2 2 6 3" xfId="25804"/>
    <cellStyle name="常规 4 2 2 5 2 2 7" xfId="10108"/>
    <cellStyle name="常规 4 2 2 5 2 2 7 2" xfId="28956"/>
    <cellStyle name="常规 4 2 2 5 2 2 8" xfId="19532"/>
    <cellStyle name="常规 4 2 2 5 2 3" xfId="1080"/>
    <cellStyle name="常规 4 2 2 5 2 3 2" xfId="4216"/>
    <cellStyle name="常规 4 2 2 5 2 3 2 2" xfId="13636"/>
    <cellStyle name="常规 4 2 2 5 2 3 2 2 2" xfId="32484"/>
    <cellStyle name="常规 4 2 2 5 2 3 2 3" xfId="23060"/>
    <cellStyle name="常规 4 2 2 5 2 3 3" xfId="7352"/>
    <cellStyle name="常规 4 2 2 5 2 3 3 2" xfId="16772"/>
    <cellStyle name="常规 4 2 2 5 2 3 3 2 2" xfId="35620"/>
    <cellStyle name="常规 4 2 2 5 2 3 3 3" xfId="26196"/>
    <cellStyle name="常规 4 2 2 5 2 3 4" xfId="10500"/>
    <cellStyle name="常规 4 2 2 5 2 3 4 2" xfId="29348"/>
    <cellStyle name="常规 4 2 2 5 2 3 5" xfId="19924"/>
    <cellStyle name="常规 4 2 2 5 2 4" xfId="1864"/>
    <cellStyle name="常规 4 2 2 5 2 4 2" xfId="5000"/>
    <cellStyle name="常规 4 2 2 5 2 4 2 2" xfId="14420"/>
    <cellStyle name="常规 4 2 2 5 2 4 2 2 2" xfId="33268"/>
    <cellStyle name="常规 4 2 2 5 2 4 2 3" xfId="23844"/>
    <cellStyle name="常规 4 2 2 5 2 4 3" xfId="8136"/>
    <cellStyle name="常规 4 2 2 5 2 4 3 2" xfId="17556"/>
    <cellStyle name="常规 4 2 2 5 2 4 3 2 2" xfId="36404"/>
    <cellStyle name="常规 4 2 2 5 2 4 3 3" xfId="26980"/>
    <cellStyle name="常规 4 2 2 5 2 4 4" xfId="11284"/>
    <cellStyle name="常规 4 2 2 5 2 4 4 2" xfId="30132"/>
    <cellStyle name="常规 4 2 2 5 2 4 5" xfId="20708"/>
    <cellStyle name="常规 4 2 2 5 2 5" xfId="2648"/>
    <cellStyle name="常规 4 2 2 5 2 5 2" xfId="5784"/>
    <cellStyle name="常规 4 2 2 5 2 5 2 2" xfId="15204"/>
    <cellStyle name="常规 4 2 2 5 2 5 2 2 2" xfId="34052"/>
    <cellStyle name="常规 4 2 2 5 2 5 2 3" xfId="24628"/>
    <cellStyle name="常规 4 2 2 5 2 5 3" xfId="8920"/>
    <cellStyle name="常规 4 2 2 5 2 5 3 2" xfId="18340"/>
    <cellStyle name="常规 4 2 2 5 2 5 3 2 2" xfId="37188"/>
    <cellStyle name="常规 4 2 2 5 2 5 3 3" xfId="27764"/>
    <cellStyle name="常规 4 2 2 5 2 5 4" xfId="12068"/>
    <cellStyle name="常规 4 2 2 5 2 5 4 2" xfId="30916"/>
    <cellStyle name="常规 4 2 2 5 2 5 5" xfId="21492"/>
    <cellStyle name="常规 4 2 2 5 2 6" xfId="3455"/>
    <cellStyle name="常规 4 2 2 5 2 6 2" xfId="12875"/>
    <cellStyle name="常规 4 2 2 5 2 6 2 2" xfId="31723"/>
    <cellStyle name="常规 4 2 2 5 2 6 3" xfId="22299"/>
    <cellStyle name="常规 4 2 2 5 2 7" xfId="6568"/>
    <cellStyle name="常规 4 2 2 5 2 7 2" xfId="15988"/>
    <cellStyle name="常规 4 2 2 5 2 7 2 2" xfId="34836"/>
    <cellStyle name="常规 4 2 2 5 2 7 3" xfId="25412"/>
    <cellStyle name="常规 4 2 2 5 2 8" xfId="9715"/>
    <cellStyle name="常规 4 2 2 5 2 8 2" xfId="28560"/>
    <cellStyle name="常规 4 2 2 5 2 9" xfId="19138"/>
    <cellStyle name="常规 4 2 2 5 3" xfId="687"/>
    <cellStyle name="常规 4 2 2 5 3 2" xfId="1471"/>
    <cellStyle name="常规 4 2 2 5 3 2 2" xfId="4607"/>
    <cellStyle name="常规 4 2 2 5 3 2 2 2" xfId="14027"/>
    <cellStyle name="常规 4 2 2 5 3 2 2 2 2" xfId="32875"/>
    <cellStyle name="常规 4 2 2 5 3 2 2 3" xfId="23451"/>
    <cellStyle name="常规 4 2 2 5 3 2 3" xfId="7743"/>
    <cellStyle name="常规 4 2 2 5 3 2 3 2" xfId="17163"/>
    <cellStyle name="常规 4 2 2 5 3 2 3 2 2" xfId="36011"/>
    <cellStyle name="常规 4 2 2 5 3 2 3 3" xfId="26587"/>
    <cellStyle name="常规 4 2 2 5 3 2 4" xfId="10891"/>
    <cellStyle name="常规 4 2 2 5 3 2 4 2" xfId="29739"/>
    <cellStyle name="常规 4 2 2 5 3 2 5" xfId="20315"/>
    <cellStyle name="常规 4 2 2 5 3 3" xfId="2255"/>
    <cellStyle name="常规 4 2 2 5 3 3 2" xfId="5391"/>
    <cellStyle name="常规 4 2 2 5 3 3 2 2" xfId="14811"/>
    <cellStyle name="常规 4 2 2 5 3 3 2 2 2" xfId="33659"/>
    <cellStyle name="常规 4 2 2 5 3 3 2 3" xfId="24235"/>
    <cellStyle name="常规 4 2 2 5 3 3 3" xfId="8527"/>
    <cellStyle name="常规 4 2 2 5 3 3 3 2" xfId="17947"/>
    <cellStyle name="常规 4 2 2 5 3 3 3 2 2" xfId="36795"/>
    <cellStyle name="常规 4 2 2 5 3 3 3 3" xfId="27371"/>
    <cellStyle name="常规 4 2 2 5 3 3 4" xfId="11675"/>
    <cellStyle name="常规 4 2 2 5 3 3 4 2" xfId="30523"/>
    <cellStyle name="常规 4 2 2 5 3 3 5" xfId="21099"/>
    <cellStyle name="常规 4 2 2 5 3 4" xfId="3039"/>
    <cellStyle name="常规 4 2 2 5 3 4 2" xfId="6175"/>
    <cellStyle name="常规 4 2 2 5 3 4 2 2" xfId="15595"/>
    <cellStyle name="常规 4 2 2 5 3 4 2 2 2" xfId="34443"/>
    <cellStyle name="常规 4 2 2 5 3 4 2 3" xfId="25019"/>
    <cellStyle name="常规 4 2 2 5 3 4 3" xfId="9311"/>
    <cellStyle name="常规 4 2 2 5 3 4 3 2" xfId="18731"/>
    <cellStyle name="常规 4 2 2 5 3 4 3 2 2" xfId="37579"/>
    <cellStyle name="常规 4 2 2 5 3 4 3 3" xfId="28155"/>
    <cellStyle name="常规 4 2 2 5 3 4 4" xfId="12459"/>
    <cellStyle name="常规 4 2 2 5 3 4 4 2" xfId="31307"/>
    <cellStyle name="常规 4 2 2 5 3 4 5" xfId="21883"/>
    <cellStyle name="常规 4 2 2 5 3 5" xfId="3823"/>
    <cellStyle name="常规 4 2 2 5 3 5 2" xfId="13243"/>
    <cellStyle name="常规 4 2 2 5 3 5 2 2" xfId="32091"/>
    <cellStyle name="常规 4 2 2 5 3 5 3" xfId="22667"/>
    <cellStyle name="常规 4 2 2 5 3 6" xfId="6959"/>
    <cellStyle name="常规 4 2 2 5 3 6 2" xfId="16379"/>
    <cellStyle name="常规 4 2 2 5 3 6 2 2" xfId="35227"/>
    <cellStyle name="常规 4 2 2 5 3 6 3" xfId="25803"/>
    <cellStyle name="常规 4 2 2 5 3 7" xfId="10107"/>
    <cellStyle name="常规 4 2 2 5 3 7 2" xfId="28955"/>
    <cellStyle name="常规 4 2 2 5 3 8" xfId="19531"/>
    <cellStyle name="常规 4 2 2 5 4" xfId="1079"/>
    <cellStyle name="常规 4 2 2 5 4 2" xfId="4215"/>
    <cellStyle name="常规 4 2 2 5 4 2 2" xfId="13635"/>
    <cellStyle name="常规 4 2 2 5 4 2 2 2" xfId="32483"/>
    <cellStyle name="常规 4 2 2 5 4 2 3" xfId="23059"/>
    <cellStyle name="常规 4 2 2 5 4 3" xfId="7351"/>
    <cellStyle name="常规 4 2 2 5 4 3 2" xfId="16771"/>
    <cellStyle name="常规 4 2 2 5 4 3 2 2" xfId="35619"/>
    <cellStyle name="常规 4 2 2 5 4 3 3" xfId="26195"/>
    <cellStyle name="常规 4 2 2 5 4 4" xfId="10499"/>
    <cellStyle name="常规 4 2 2 5 4 4 2" xfId="29347"/>
    <cellStyle name="常规 4 2 2 5 4 5" xfId="19923"/>
    <cellStyle name="常规 4 2 2 5 5" xfId="1863"/>
    <cellStyle name="常规 4 2 2 5 5 2" xfId="4999"/>
    <cellStyle name="常规 4 2 2 5 5 2 2" xfId="14419"/>
    <cellStyle name="常规 4 2 2 5 5 2 2 2" xfId="33267"/>
    <cellStyle name="常规 4 2 2 5 5 2 3" xfId="23843"/>
    <cellStyle name="常规 4 2 2 5 5 3" xfId="8135"/>
    <cellStyle name="常规 4 2 2 5 5 3 2" xfId="17555"/>
    <cellStyle name="常规 4 2 2 5 5 3 2 2" xfId="36403"/>
    <cellStyle name="常规 4 2 2 5 5 3 3" xfId="26979"/>
    <cellStyle name="常规 4 2 2 5 5 4" xfId="11283"/>
    <cellStyle name="常规 4 2 2 5 5 4 2" xfId="30131"/>
    <cellStyle name="常规 4 2 2 5 5 5" xfId="20707"/>
    <cellStyle name="常规 4 2 2 5 6" xfId="2647"/>
    <cellStyle name="常规 4 2 2 5 6 2" xfId="5783"/>
    <cellStyle name="常规 4 2 2 5 6 2 2" xfId="15203"/>
    <cellStyle name="常规 4 2 2 5 6 2 2 2" xfId="34051"/>
    <cellStyle name="常规 4 2 2 5 6 2 3" xfId="24627"/>
    <cellStyle name="常规 4 2 2 5 6 3" xfId="8919"/>
    <cellStyle name="常规 4 2 2 5 6 3 2" xfId="18339"/>
    <cellStyle name="常规 4 2 2 5 6 3 2 2" xfId="37187"/>
    <cellStyle name="常规 4 2 2 5 6 3 3" xfId="27763"/>
    <cellStyle name="常规 4 2 2 5 6 4" xfId="12067"/>
    <cellStyle name="常规 4 2 2 5 6 4 2" xfId="30915"/>
    <cellStyle name="常规 4 2 2 5 6 5" xfId="21491"/>
    <cellStyle name="常规 4 2 2 5 7" xfId="3454"/>
    <cellStyle name="常规 4 2 2 5 7 2" xfId="12874"/>
    <cellStyle name="常规 4 2 2 5 7 2 2" xfId="31722"/>
    <cellStyle name="常规 4 2 2 5 7 3" xfId="22298"/>
    <cellStyle name="常规 4 2 2 5 8" xfId="6567"/>
    <cellStyle name="常规 4 2 2 5 8 2" xfId="15987"/>
    <cellStyle name="常规 4 2 2 5 8 2 2" xfId="34835"/>
    <cellStyle name="常规 4 2 2 5 8 3" xfId="25411"/>
    <cellStyle name="常规 4 2 2 5 9" xfId="9714"/>
    <cellStyle name="常规 4 2 2 5 9 2" xfId="28559"/>
    <cellStyle name="常规 4 2 2 6" xfId="293"/>
    <cellStyle name="常规 4 2 2 6 2" xfId="689"/>
    <cellStyle name="常规 4 2 2 6 2 2" xfId="1473"/>
    <cellStyle name="常规 4 2 2 6 2 2 2" xfId="4609"/>
    <cellStyle name="常规 4 2 2 6 2 2 2 2" xfId="14029"/>
    <cellStyle name="常规 4 2 2 6 2 2 2 2 2" xfId="32877"/>
    <cellStyle name="常规 4 2 2 6 2 2 2 3" xfId="23453"/>
    <cellStyle name="常规 4 2 2 6 2 2 3" xfId="7745"/>
    <cellStyle name="常规 4 2 2 6 2 2 3 2" xfId="17165"/>
    <cellStyle name="常规 4 2 2 6 2 2 3 2 2" xfId="36013"/>
    <cellStyle name="常规 4 2 2 6 2 2 3 3" xfId="26589"/>
    <cellStyle name="常规 4 2 2 6 2 2 4" xfId="10893"/>
    <cellStyle name="常规 4 2 2 6 2 2 4 2" xfId="29741"/>
    <cellStyle name="常规 4 2 2 6 2 2 5" xfId="20317"/>
    <cellStyle name="常规 4 2 2 6 2 3" xfId="2257"/>
    <cellStyle name="常规 4 2 2 6 2 3 2" xfId="5393"/>
    <cellStyle name="常规 4 2 2 6 2 3 2 2" xfId="14813"/>
    <cellStyle name="常规 4 2 2 6 2 3 2 2 2" xfId="33661"/>
    <cellStyle name="常规 4 2 2 6 2 3 2 3" xfId="24237"/>
    <cellStyle name="常规 4 2 2 6 2 3 3" xfId="8529"/>
    <cellStyle name="常规 4 2 2 6 2 3 3 2" xfId="17949"/>
    <cellStyle name="常规 4 2 2 6 2 3 3 2 2" xfId="36797"/>
    <cellStyle name="常规 4 2 2 6 2 3 3 3" xfId="27373"/>
    <cellStyle name="常规 4 2 2 6 2 3 4" xfId="11677"/>
    <cellStyle name="常规 4 2 2 6 2 3 4 2" xfId="30525"/>
    <cellStyle name="常规 4 2 2 6 2 3 5" xfId="21101"/>
    <cellStyle name="常规 4 2 2 6 2 4" xfId="3041"/>
    <cellStyle name="常规 4 2 2 6 2 4 2" xfId="6177"/>
    <cellStyle name="常规 4 2 2 6 2 4 2 2" xfId="15597"/>
    <cellStyle name="常规 4 2 2 6 2 4 2 2 2" xfId="34445"/>
    <cellStyle name="常规 4 2 2 6 2 4 2 3" xfId="25021"/>
    <cellStyle name="常规 4 2 2 6 2 4 3" xfId="9313"/>
    <cellStyle name="常规 4 2 2 6 2 4 3 2" xfId="18733"/>
    <cellStyle name="常规 4 2 2 6 2 4 3 2 2" xfId="37581"/>
    <cellStyle name="常规 4 2 2 6 2 4 3 3" xfId="28157"/>
    <cellStyle name="常规 4 2 2 6 2 4 4" xfId="12461"/>
    <cellStyle name="常规 4 2 2 6 2 4 4 2" xfId="31309"/>
    <cellStyle name="常规 4 2 2 6 2 4 5" xfId="21885"/>
    <cellStyle name="常规 4 2 2 6 2 5" xfId="3825"/>
    <cellStyle name="常规 4 2 2 6 2 5 2" xfId="13245"/>
    <cellStyle name="常规 4 2 2 6 2 5 2 2" xfId="32093"/>
    <cellStyle name="常规 4 2 2 6 2 5 3" xfId="22669"/>
    <cellStyle name="常规 4 2 2 6 2 6" xfId="6961"/>
    <cellStyle name="常规 4 2 2 6 2 6 2" xfId="16381"/>
    <cellStyle name="常规 4 2 2 6 2 6 2 2" xfId="35229"/>
    <cellStyle name="常规 4 2 2 6 2 6 3" xfId="25805"/>
    <cellStyle name="常规 4 2 2 6 2 7" xfId="10109"/>
    <cellStyle name="常规 4 2 2 6 2 7 2" xfId="28957"/>
    <cellStyle name="常规 4 2 2 6 2 8" xfId="19533"/>
    <cellStyle name="常规 4 2 2 6 3" xfId="1081"/>
    <cellStyle name="常规 4 2 2 6 3 2" xfId="4217"/>
    <cellStyle name="常规 4 2 2 6 3 2 2" xfId="13637"/>
    <cellStyle name="常规 4 2 2 6 3 2 2 2" xfId="32485"/>
    <cellStyle name="常规 4 2 2 6 3 2 3" xfId="23061"/>
    <cellStyle name="常规 4 2 2 6 3 3" xfId="7353"/>
    <cellStyle name="常规 4 2 2 6 3 3 2" xfId="16773"/>
    <cellStyle name="常规 4 2 2 6 3 3 2 2" xfId="35621"/>
    <cellStyle name="常规 4 2 2 6 3 3 3" xfId="26197"/>
    <cellStyle name="常规 4 2 2 6 3 4" xfId="10501"/>
    <cellStyle name="常规 4 2 2 6 3 4 2" xfId="29349"/>
    <cellStyle name="常规 4 2 2 6 3 5" xfId="19925"/>
    <cellStyle name="常规 4 2 2 6 4" xfId="1865"/>
    <cellStyle name="常规 4 2 2 6 4 2" xfId="5001"/>
    <cellStyle name="常规 4 2 2 6 4 2 2" xfId="14421"/>
    <cellStyle name="常规 4 2 2 6 4 2 2 2" xfId="33269"/>
    <cellStyle name="常规 4 2 2 6 4 2 3" xfId="23845"/>
    <cellStyle name="常规 4 2 2 6 4 3" xfId="8137"/>
    <cellStyle name="常规 4 2 2 6 4 3 2" xfId="17557"/>
    <cellStyle name="常规 4 2 2 6 4 3 2 2" xfId="36405"/>
    <cellStyle name="常规 4 2 2 6 4 3 3" xfId="26981"/>
    <cellStyle name="常规 4 2 2 6 4 4" xfId="11285"/>
    <cellStyle name="常规 4 2 2 6 4 4 2" xfId="30133"/>
    <cellStyle name="常规 4 2 2 6 4 5" xfId="20709"/>
    <cellStyle name="常规 4 2 2 6 5" xfId="2649"/>
    <cellStyle name="常规 4 2 2 6 5 2" xfId="5785"/>
    <cellStyle name="常规 4 2 2 6 5 2 2" xfId="15205"/>
    <cellStyle name="常规 4 2 2 6 5 2 2 2" xfId="34053"/>
    <cellStyle name="常规 4 2 2 6 5 2 3" xfId="24629"/>
    <cellStyle name="常规 4 2 2 6 5 3" xfId="8921"/>
    <cellStyle name="常规 4 2 2 6 5 3 2" xfId="18341"/>
    <cellStyle name="常规 4 2 2 6 5 3 2 2" xfId="37189"/>
    <cellStyle name="常规 4 2 2 6 5 3 3" xfId="27765"/>
    <cellStyle name="常规 4 2 2 6 5 4" xfId="12069"/>
    <cellStyle name="常规 4 2 2 6 5 4 2" xfId="30917"/>
    <cellStyle name="常规 4 2 2 6 5 5" xfId="21493"/>
    <cellStyle name="常规 4 2 2 6 6" xfId="3456"/>
    <cellStyle name="常规 4 2 2 6 6 2" xfId="12876"/>
    <cellStyle name="常规 4 2 2 6 6 2 2" xfId="31724"/>
    <cellStyle name="常规 4 2 2 6 6 3" xfId="22300"/>
    <cellStyle name="常规 4 2 2 6 7" xfId="6569"/>
    <cellStyle name="常规 4 2 2 6 7 2" xfId="15989"/>
    <cellStyle name="常规 4 2 2 6 7 2 2" xfId="34837"/>
    <cellStyle name="常规 4 2 2 6 7 3" xfId="25413"/>
    <cellStyle name="常规 4 2 2 6 8" xfId="9716"/>
    <cellStyle name="常规 4 2 2 6 8 2" xfId="28561"/>
    <cellStyle name="常规 4 2 2 6 9" xfId="19139"/>
    <cellStyle name="常规 4 2 2 7" xfId="658"/>
    <cellStyle name="常规 4 2 2 7 2" xfId="1442"/>
    <cellStyle name="常规 4 2 2 7 2 2" xfId="4578"/>
    <cellStyle name="常规 4 2 2 7 2 2 2" xfId="13998"/>
    <cellStyle name="常规 4 2 2 7 2 2 2 2" xfId="32846"/>
    <cellStyle name="常规 4 2 2 7 2 2 3" xfId="23422"/>
    <cellStyle name="常规 4 2 2 7 2 3" xfId="7714"/>
    <cellStyle name="常规 4 2 2 7 2 3 2" xfId="17134"/>
    <cellStyle name="常规 4 2 2 7 2 3 2 2" xfId="35982"/>
    <cellStyle name="常规 4 2 2 7 2 3 3" xfId="26558"/>
    <cellStyle name="常规 4 2 2 7 2 4" xfId="10862"/>
    <cellStyle name="常规 4 2 2 7 2 4 2" xfId="29710"/>
    <cellStyle name="常规 4 2 2 7 2 5" xfId="20286"/>
    <cellStyle name="常规 4 2 2 7 3" xfId="2226"/>
    <cellStyle name="常规 4 2 2 7 3 2" xfId="5362"/>
    <cellStyle name="常规 4 2 2 7 3 2 2" xfId="14782"/>
    <cellStyle name="常规 4 2 2 7 3 2 2 2" xfId="33630"/>
    <cellStyle name="常规 4 2 2 7 3 2 3" xfId="24206"/>
    <cellStyle name="常规 4 2 2 7 3 3" xfId="8498"/>
    <cellStyle name="常规 4 2 2 7 3 3 2" xfId="17918"/>
    <cellStyle name="常规 4 2 2 7 3 3 2 2" xfId="36766"/>
    <cellStyle name="常规 4 2 2 7 3 3 3" xfId="27342"/>
    <cellStyle name="常规 4 2 2 7 3 4" xfId="11646"/>
    <cellStyle name="常规 4 2 2 7 3 4 2" xfId="30494"/>
    <cellStyle name="常规 4 2 2 7 3 5" xfId="21070"/>
    <cellStyle name="常规 4 2 2 7 4" xfId="3010"/>
    <cellStyle name="常规 4 2 2 7 4 2" xfId="6146"/>
    <cellStyle name="常规 4 2 2 7 4 2 2" xfId="15566"/>
    <cellStyle name="常规 4 2 2 7 4 2 2 2" xfId="34414"/>
    <cellStyle name="常规 4 2 2 7 4 2 3" xfId="24990"/>
    <cellStyle name="常规 4 2 2 7 4 3" xfId="9282"/>
    <cellStyle name="常规 4 2 2 7 4 3 2" xfId="18702"/>
    <cellStyle name="常规 4 2 2 7 4 3 2 2" xfId="37550"/>
    <cellStyle name="常规 4 2 2 7 4 3 3" xfId="28126"/>
    <cellStyle name="常规 4 2 2 7 4 4" xfId="12430"/>
    <cellStyle name="常规 4 2 2 7 4 4 2" xfId="31278"/>
    <cellStyle name="常规 4 2 2 7 4 5" xfId="21854"/>
    <cellStyle name="常规 4 2 2 7 5" xfId="3794"/>
    <cellStyle name="常规 4 2 2 7 5 2" xfId="13214"/>
    <cellStyle name="常规 4 2 2 7 5 2 2" xfId="32062"/>
    <cellStyle name="常规 4 2 2 7 5 3" xfId="22638"/>
    <cellStyle name="常规 4 2 2 7 6" xfId="6930"/>
    <cellStyle name="常规 4 2 2 7 6 2" xfId="16350"/>
    <cellStyle name="常规 4 2 2 7 6 2 2" xfId="35198"/>
    <cellStyle name="常规 4 2 2 7 6 3" xfId="25774"/>
    <cellStyle name="常规 4 2 2 7 7" xfId="10078"/>
    <cellStyle name="常规 4 2 2 7 7 2" xfId="28926"/>
    <cellStyle name="常规 4 2 2 7 8" xfId="19502"/>
    <cellStyle name="常规 4 2 2 8" xfId="1050"/>
    <cellStyle name="常规 4 2 2 8 2" xfId="4186"/>
    <cellStyle name="常规 4 2 2 8 2 2" xfId="13606"/>
    <cellStyle name="常规 4 2 2 8 2 2 2" xfId="32454"/>
    <cellStyle name="常规 4 2 2 8 2 3" xfId="23030"/>
    <cellStyle name="常规 4 2 2 8 3" xfId="7322"/>
    <cellStyle name="常规 4 2 2 8 3 2" xfId="16742"/>
    <cellStyle name="常规 4 2 2 8 3 2 2" xfId="35590"/>
    <cellStyle name="常规 4 2 2 8 3 3" xfId="26166"/>
    <cellStyle name="常规 4 2 2 8 4" xfId="10470"/>
    <cellStyle name="常规 4 2 2 8 4 2" xfId="29318"/>
    <cellStyle name="常规 4 2 2 8 5" xfId="19894"/>
    <cellStyle name="常规 4 2 2 9" xfId="1834"/>
    <cellStyle name="常规 4 2 2 9 2" xfId="4970"/>
    <cellStyle name="常规 4 2 2 9 2 2" xfId="14390"/>
    <cellStyle name="常规 4 2 2 9 2 2 2" xfId="33238"/>
    <cellStyle name="常规 4 2 2 9 2 3" xfId="23814"/>
    <cellStyle name="常规 4 2 2 9 3" xfId="8106"/>
    <cellStyle name="常规 4 2 2 9 3 2" xfId="17526"/>
    <cellStyle name="常规 4 2 2 9 3 2 2" xfId="36374"/>
    <cellStyle name="常规 4 2 2 9 3 3" xfId="26950"/>
    <cellStyle name="常规 4 2 2 9 4" xfId="11254"/>
    <cellStyle name="常规 4 2 2 9 4 2" xfId="30102"/>
    <cellStyle name="常规 4 2 2 9 5" xfId="20678"/>
    <cellStyle name="常规 4 2 3" xfId="294"/>
    <cellStyle name="常规 4 2 3 10" xfId="3180"/>
    <cellStyle name="常规 4 2 3 10 2" xfId="12600"/>
    <cellStyle name="常规 4 2 3 10 2 2" xfId="31448"/>
    <cellStyle name="常规 4 2 3 10 3" xfId="22024"/>
    <cellStyle name="常规 4 2 3 11" xfId="6570"/>
    <cellStyle name="常规 4 2 3 11 2" xfId="15990"/>
    <cellStyle name="常规 4 2 3 11 2 2" xfId="34838"/>
    <cellStyle name="常规 4 2 3 11 3" xfId="25414"/>
    <cellStyle name="常规 4 2 3 12" xfId="9717"/>
    <cellStyle name="常规 4 2 3 12 2" xfId="28562"/>
    <cellStyle name="常规 4 2 3 13" xfId="19140"/>
    <cellStyle name="常规 4 2 3 2" xfId="295"/>
    <cellStyle name="常规 4 2 3 2 10" xfId="6571"/>
    <cellStyle name="常规 4 2 3 2 10 2" xfId="15991"/>
    <cellStyle name="常规 4 2 3 2 10 2 2" xfId="34839"/>
    <cellStyle name="常规 4 2 3 2 10 3" xfId="25415"/>
    <cellStyle name="常规 4 2 3 2 11" xfId="9718"/>
    <cellStyle name="常规 4 2 3 2 11 2" xfId="28563"/>
    <cellStyle name="常规 4 2 3 2 12" xfId="19141"/>
    <cellStyle name="常规 4 2 3 2 2" xfId="296"/>
    <cellStyle name="常规 4 2 3 2 2 10" xfId="9719"/>
    <cellStyle name="常规 4 2 3 2 2 10 2" xfId="28564"/>
    <cellStyle name="常规 4 2 3 2 2 11" xfId="19142"/>
    <cellStyle name="常规 4 2 3 2 2 2" xfId="297"/>
    <cellStyle name="常规 4 2 3 2 2 2 10" xfId="19143"/>
    <cellStyle name="常规 4 2 3 2 2 2 2" xfId="298"/>
    <cellStyle name="常规 4 2 3 2 2 2 2 2" xfId="694"/>
    <cellStyle name="常规 4 2 3 2 2 2 2 2 2" xfId="1478"/>
    <cellStyle name="常规 4 2 3 2 2 2 2 2 2 2" xfId="4614"/>
    <cellStyle name="常规 4 2 3 2 2 2 2 2 2 2 2" xfId="14034"/>
    <cellStyle name="常规 4 2 3 2 2 2 2 2 2 2 2 2" xfId="32882"/>
    <cellStyle name="常规 4 2 3 2 2 2 2 2 2 2 3" xfId="23458"/>
    <cellStyle name="常规 4 2 3 2 2 2 2 2 2 3" xfId="7750"/>
    <cellStyle name="常规 4 2 3 2 2 2 2 2 2 3 2" xfId="17170"/>
    <cellStyle name="常规 4 2 3 2 2 2 2 2 2 3 2 2" xfId="36018"/>
    <cellStyle name="常规 4 2 3 2 2 2 2 2 2 3 3" xfId="26594"/>
    <cellStyle name="常规 4 2 3 2 2 2 2 2 2 4" xfId="10898"/>
    <cellStyle name="常规 4 2 3 2 2 2 2 2 2 4 2" xfId="29746"/>
    <cellStyle name="常规 4 2 3 2 2 2 2 2 2 5" xfId="20322"/>
    <cellStyle name="常规 4 2 3 2 2 2 2 2 3" xfId="2262"/>
    <cellStyle name="常规 4 2 3 2 2 2 2 2 3 2" xfId="5398"/>
    <cellStyle name="常规 4 2 3 2 2 2 2 2 3 2 2" xfId="14818"/>
    <cellStyle name="常规 4 2 3 2 2 2 2 2 3 2 2 2" xfId="33666"/>
    <cellStyle name="常规 4 2 3 2 2 2 2 2 3 2 3" xfId="24242"/>
    <cellStyle name="常规 4 2 3 2 2 2 2 2 3 3" xfId="8534"/>
    <cellStyle name="常规 4 2 3 2 2 2 2 2 3 3 2" xfId="17954"/>
    <cellStyle name="常规 4 2 3 2 2 2 2 2 3 3 2 2" xfId="36802"/>
    <cellStyle name="常规 4 2 3 2 2 2 2 2 3 3 3" xfId="27378"/>
    <cellStyle name="常规 4 2 3 2 2 2 2 2 3 4" xfId="11682"/>
    <cellStyle name="常规 4 2 3 2 2 2 2 2 3 4 2" xfId="30530"/>
    <cellStyle name="常规 4 2 3 2 2 2 2 2 3 5" xfId="21106"/>
    <cellStyle name="常规 4 2 3 2 2 2 2 2 4" xfId="3046"/>
    <cellStyle name="常规 4 2 3 2 2 2 2 2 4 2" xfId="6182"/>
    <cellStyle name="常规 4 2 3 2 2 2 2 2 4 2 2" xfId="15602"/>
    <cellStyle name="常规 4 2 3 2 2 2 2 2 4 2 2 2" xfId="34450"/>
    <cellStyle name="常规 4 2 3 2 2 2 2 2 4 2 3" xfId="25026"/>
    <cellStyle name="常规 4 2 3 2 2 2 2 2 4 3" xfId="9318"/>
    <cellStyle name="常规 4 2 3 2 2 2 2 2 4 3 2" xfId="18738"/>
    <cellStyle name="常规 4 2 3 2 2 2 2 2 4 3 2 2" xfId="37586"/>
    <cellStyle name="常规 4 2 3 2 2 2 2 2 4 3 3" xfId="28162"/>
    <cellStyle name="常规 4 2 3 2 2 2 2 2 4 4" xfId="12466"/>
    <cellStyle name="常规 4 2 3 2 2 2 2 2 4 4 2" xfId="31314"/>
    <cellStyle name="常规 4 2 3 2 2 2 2 2 4 5" xfId="21890"/>
    <cellStyle name="常规 4 2 3 2 2 2 2 2 5" xfId="3830"/>
    <cellStyle name="常规 4 2 3 2 2 2 2 2 5 2" xfId="13250"/>
    <cellStyle name="常规 4 2 3 2 2 2 2 2 5 2 2" xfId="32098"/>
    <cellStyle name="常规 4 2 3 2 2 2 2 2 5 3" xfId="22674"/>
    <cellStyle name="常规 4 2 3 2 2 2 2 2 6" xfId="6966"/>
    <cellStyle name="常规 4 2 3 2 2 2 2 2 6 2" xfId="16386"/>
    <cellStyle name="常规 4 2 3 2 2 2 2 2 6 2 2" xfId="35234"/>
    <cellStyle name="常规 4 2 3 2 2 2 2 2 6 3" xfId="25810"/>
    <cellStyle name="常规 4 2 3 2 2 2 2 2 7" xfId="10114"/>
    <cellStyle name="常规 4 2 3 2 2 2 2 2 7 2" xfId="28962"/>
    <cellStyle name="常规 4 2 3 2 2 2 2 2 8" xfId="19538"/>
    <cellStyle name="常规 4 2 3 2 2 2 2 3" xfId="1086"/>
    <cellStyle name="常规 4 2 3 2 2 2 2 3 2" xfId="4222"/>
    <cellStyle name="常规 4 2 3 2 2 2 2 3 2 2" xfId="13642"/>
    <cellStyle name="常规 4 2 3 2 2 2 2 3 2 2 2" xfId="32490"/>
    <cellStyle name="常规 4 2 3 2 2 2 2 3 2 3" xfId="23066"/>
    <cellStyle name="常规 4 2 3 2 2 2 2 3 3" xfId="7358"/>
    <cellStyle name="常规 4 2 3 2 2 2 2 3 3 2" xfId="16778"/>
    <cellStyle name="常规 4 2 3 2 2 2 2 3 3 2 2" xfId="35626"/>
    <cellStyle name="常规 4 2 3 2 2 2 2 3 3 3" xfId="26202"/>
    <cellStyle name="常规 4 2 3 2 2 2 2 3 4" xfId="10506"/>
    <cellStyle name="常规 4 2 3 2 2 2 2 3 4 2" xfId="29354"/>
    <cellStyle name="常规 4 2 3 2 2 2 2 3 5" xfId="19930"/>
    <cellStyle name="常规 4 2 3 2 2 2 2 4" xfId="1870"/>
    <cellStyle name="常规 4 2 3 2 2 2 2 4 2" xfId="5006"/>
    <cellStyle name="常规 4 2 3 2 2 2 2 4 2 2" xfId="14426"/>
    <cellStyle name="常规 4 2 3 2 2 2 2 4 2 2 2" xfId="33274"/>
    <cellStyle name="常规 4 2 3 2 2 2 2 4 2 3" xfId="23850"/>
    <cellStyle name="常规 4 2 3 2 2 2 2 4 3" xfId="8142"/>
    <cellStyle name="常规 4 2 3 2 2 2 2 4 3 2" xfId="17562"/>
    <cellStyle name="常规 4 2 3 2 2 2 2 4 3 2 2" xfId="36410"/>
    <cellStyle name="常规 4 2 3 2 2 2 2 4 3 3" xfId="26986"/>
    <cellStyle name="常规 4 2 3 2 2 2 2 4 4" xfId="11290"/>
    <cellStyle name="常规 4 2 3 2 2 2 2 4 4 2" xfId="30138"/>
    <cellStyle name="常规 4 2 3 2 2 2 2 4 5" xfId="20714"/>
    <cellStyle name="常规 4 2 3 2 2 2 2 5" xfId="2654"/>
    <cellStyle name="常规 4 2 3 2 2 2 2 5 2" xfId="5790"/>
    <cellStyle name="常规 4 2 3 2 2 2 2 5 2 2" xfId="15210"/>
    <cellStyle name="常规 4 2 3 2 2 2 2 5 2 2 2" xfId="34058"/>
    <cellStyle name="常规 4 2 3 2 2 2 2 5 2 3" xfId="24634"/>
    <cellStyle name="常规 4 2 3 2 2 2 2 5 3" xfId="8926"/>
    <cellStyle name="常规 4 2 3 2 2 2 2 5 3 2" xfId="18346"/>
    <cellStyle name="常规 4 2 3 2 2 2 2 5 3 2 2" xfId="37194"/>
    <cellStyle name="常规 4 2 3 2 2 2 2 5 3 3" xfId="27770"/>
    <cellStyle name="常规 4 2 3 2 2 2 2 5 4" xfId="12074"/>
    <cellStyle name="常规 4 2 3 2 2 2 2 5 4 2" xfId="30922"/>
    <cellStyle name="常规 4 2 3 2 2 2 2 5 5" xfId="21498"/>
    <cellStyle name="常规 4 2 3 2 2 2 2 6" xfId="3458"/>
    <cellStyle name="常规 4 2 3 2 2 2 2 6 2" xfId="12878"/>
    <cellStyle name="常规 4 2 3 2 2 2 2 6 2 2" xfId="31726"/>
    <cellStyle name="常规 4 2 3 2 2 2 2 6 3" xfId="22302"/>
    <cellStyle name="常规 4 2 3 2 2 2 2 7" xfId="6574"/>
    <cellStyle name="常规 4 2 3 2 2 2 2 7 2" xfId="15994"/>
    <cellStyle name="常规 4 2 3 2 2 2 2 7 2 2" xfId="34842"/>
    <cellStyle name="常规 4 2 3 2 2 2 2 7 3" xfId="25418"/>
    <cellStyle name="常规 4 2 3 2 2 2 2 8" xfId="9721"/>
    <cellStyle name="常规 4 2 3 2 2 2 2 8 2" xfId="28566"/>
    <cellStyle name="常规 4 2 3 2 2 2 2 9" xfId="19144"/>
    <cellStyle name="常规 4 2 3 2 2 2 3" xfId="693"/>
    <cellStyle name="常规 4 2 3 2 2 2 3 2" xfId="1477"/>
    <cellStyle name="常规 4 2 3 2 2 2 3 2 2" xfId="4613"/>
    <cellStyle name="常规 4 2 3 2 2 2 3 2 2 2" xfId="14033"/>
    <cellStyle name="常规 4 2 3 2 2 2 3 2 2 2 2" xfId="32881"/>
    <cellStyle name="常规 4 2 3 2 2 2 3 2 2 3" xfId="23457"/>
    <cellStyle name="常规 4 2 3 2 2 2 3 2 3" xfId="7749"/>
    <cellStyle name="常规 4 2 3 2 2 2 3 2 3 2" xfId="17169"/>
    <cellStyle name="常规 4 2 3 2 2 2 3 2 3 2 2" xfId="36017"/>
    <cellStyle name="常规 4 2 3 2 2 2 3 2 3 3" xfId="26593"/>
    <cellStyle name="常规 4 2 3 2 2 2 3 2 4" xfId="10897"/>
    <cellStyle name="常规 4 2 3 2 2 2 3 2 4 2" xfId="29745"/>
    <cellStyle name="常规 4 2 3 2 2 2 3 2 5" xfId="20321"/>
    <cellStyle name="常规 4 2 3 2 2 2 3 3" xfId="2261"/>
    <cellStyle name="常规 4 2 3 2 2 2 3 3 2" xfId="5397"/>
    <cellStyle name="常规 4 2 3 2 2 2 3 3 2 2" xfId="14817"/>
    <cellStyle name="常规 4 2 3 2 2 2 3 3 2 2 2" xfId="33665"/>
    <cellStyle name="常规 4 2 3 2 2 2 3 3 2 3" xfId="24241"/>
    <cellStyle name="常规 4 2 3 2 2 2 3 3 3" xfId="8533"/>
    <cellStyle name="常规 4 2 3 2 2 2 3 3 3 2" xfId="17953"/>
    <cellStyle name="常规 4 2 3 2 2 2 3 3 3 2 2" xfId="36801"/>
    <cellStyle name="常规 4 2 3 2 2 2 3 3 3 3" xfId="27377"/>
    <cellStyle name="常规 4 2 3 2 2 2 3 3 4" xfId="11681"/>
    <cellStyle name="常规 4 2 3 2 2 2 3 3 4 2" xfId="30529"/>
    <cellStyle name="常规 4 2 3 2 2 2 3 3 5" xfId="21105"/>
    <cellStyle name="常规 4 2 3 2 2 2 3 4" xfId="3045"/>
    <cellStyle name="常规 4 2 3 2 2 2 3 4 2" xfId="6181"/>
    <cellStyle name="常规 4 2 3 2 2 2 3 4 2 2" xfId="15601"/>
    <cellStyle name="常规 4 2 3 2 2 2 3 4 2 2 2" xfId="34449"/>
    <cellStyle name="常规 4 2 3 2 2 2 3 4 2 3" xfId="25025"/>
    <cellStyle name="常规 4 2 3 2 2 2 3 4 3" xfId="9317"/>
    <cellStyle name="常规 4 2 3 2 2 2 3 4 3 2" xfId="18737"/>
    <cellStyle name="常规 4 2 3 2 2 2 3 4 3 2 2" xfId="37585"/>
    <cellStyle name="常规 4 2 3 2 2 2 3 4 3 3" xfId="28161"/>
    <cellStyle name="常规 4 2 3 2 2 2 3 4 4" xfId="12465"/>
    <cellStyle name="常规 4 2 3 2 2 2 3 4 4 2" xfId="31313"/>
    <cellStyle name="常规 4 2 3 2 2 2 3 4 5" xfId="21889"/>
    <cellStyle name="常规 4 2 3 2 2 2 3 5" xfId="3829"/>
    <cellStyle name="常规 4 2 3 2 2 2 3 5 2" xfId="13249"/>
    <cellStyle name="常规 4 2 3 2 2 2 3 5 2 2" xfId="32097"/>
    <cellStyle name="常规 4 2 3 2 2 2 3 5 3" xfId="22673"/>
    <cellStyle name="常规 4 2 3 2 2 2 3 6" xfId="6965"/>
    <cellStyle name="常规 4 2 3 2 2 2 3 6 2" xfId="16385"/>
    <cellStyle name="常规 4 2 3 2 2 2 3 6 2 2" xfId="35233"/>
    <cellStyle name="常规 4 2 3 2 2 2 3 6 3" xfId="25809"/>
    <cellStyle name="常规 4 2 3 2 2 2 3 7" xfId="10113"/>
    <cellStyle name="常规 4 2 3 2 2 2 3 7 2" xfId="28961"/>
    <cellStyle name="常规 4 2 3 2 2 2 3 8" xfId="19537"/>
    <cellStyle name="常规 4 2 3 2 2 2 4" xfId="1085"/>
    <cellStyle name="常规 4 2 3 2 2 2 4 2" xfId="4221"/>
    <cellStyle name="常规 4 2 3 2 2 2 4 2 2" xfId="13641"/>
    <cellStyle name="常规 4 2 3 2 2 2 4 2 2 2" xfId="32489"/>
    <cellStyle name="常规 4 2 3 2 2 2 4 2 3" xfId="23065"/>
    <cellStyle name="常规 4 2 3 2 2 2 4 3" xfId="7357"/>
    <cellStyle name="常规 4 2 3 2 2 2 4 3 2" xfId="16777"/>
    <cellStyle name="常规 4 2 3 2 2 2 4 3 2 2" xfId="35625"/>
    <cellStyle name="常规 4 2 3 2 2 2 4 3 3" xfId="26201"/>
    <cellStyle name="常规 4 2 3 2 2 2 4 4" xfId="10505"/>
    <cellStyle name="常规 4 2 3 2 2 2 4 4 2" xfId="29353"/>
    <cellStyle name="常规 4 2 3 2 2 2 4 5" xfId="19929"/>
    <cellStyle name="常规 4 2 3 2 2 2 5" xfId="1869"/>
    <cellStyle name="常规 4 2 3 2 2 2 5 2" xfId="5005"/>
    <cellStyle name="常规 4 2 3 2 2 2 5 2 2" xfId="14425"/>
    <cellStyle name="常规 4 2 3 2 2 2 5 2 2 2" xfId="33273"/>
    <cellStyle name="常规 4 2 3 2 2 2 5 2 3" xfId="23849"/>
    <cellStyle name="常规 4 2 3 2 2 2 5 3" xfId="8141"/>
    <cellStyle name="常规 4 2 3 2 2 2 5 3 2" xfId="17561"/>
    <cellStyle name="常规 4 2 3 2 2 2 5 3 2 2" xfId="36409"/>
    <cellStyle name="常规 4 2 3 2 2 2 5 3 3" xfId="26985"/>
    <cellStyle name="常规 4 2 3 2 2 2 5 4" xfId="11289"/>
    <cellStyle name="常规 4 2 3 2 2 2 5 4 2" xfId="30137"/>
    <cellStyle name="常规 4 2 3 2 2 2 5 5" xfId="20713"/>
    <cellStyle name="常规 4 2 3 2 2 2 6" xfId="2653"/>
    <cellStyle name="常规 4 2 3 2 2 2 6 2" xfId="5789"/>
    <cellStyle name="常规 4 2 3 2 2 2 6 2 2" xfId="15209"/>
    <cellStyle name="常规 4 2 3 2 2 2 6 2 2 2" xfId="34057"/>
    <cellStyle name="常规 4 2 3 2 2 2 6 2 3" xfId="24633"/>
    <cellStyle name="常规 4 2 3 2 2 2 6 3" xfId="8925"/>
    <cellStyle name="常规 4 2 3 2 2 2 6 3 2" xfId="18345"/>
    <cellStyle name="常规 4 2 3 2 2 2 6 3 2 2" xfId="37193"/>
    <cellStyle name="常规 4 2 3 2 2 2 6 3 3" xfId="27769"/>
    <cellStyle name="常规 4 2 3 2 2 2 6 4" xfId="12073"/>
    <cellStyle name="常规 4 2 3 2 2 2 6 4 2" xfId="30921"/>
    <cellStyle name="常规 4 2 3 2 2 2 6 5" xfId="21497"/>
    <cellStyle name="常规 4 2 3 2 2 2 7" xfId="3457"/>
    <cellStyle name="常规 4 2 3 2 2 2 7 2" xfId="12877"/>
    <cellStyle name="常规 4 2 3 2 2 2 7 2 2" xfId="31725"/>
    <cellStyle name="常规 4 2 3 2 2 2 7 3" xfId="22301"/>
    <cellStyle name="常规 4 2 3 2 2 2 8" xfId="6573"/>
    <cellStyle name="常规 4 2 3 2 2 2 8 2" xfId="15993"/>
    <cellStyle name="常规 4 2 3 2 2 2 8 2 2" xfId="34841"/>
    <cellStyle name="常规 4 2 3 2 2 2 8 3" xfId="25417"/>
    <cellStyle name="常规 4 2 3 2 2 2 9" xfId="9720"/>
    <cellStyle name="常规 4 2 3 2 2 2 9 2" xfId="28565"/>
    <cellStyle name="常规 4 2 3 2 2 3" xfId="299"/>
    <cellStyle name="常规 4 2 3 2 2 3 2" xfId="695"/>
    <cellStyle name="常规 4 2 3 2 2 3 2 2" xfId="1479"/>
    <cellStyle name="常规 4 2 3 2 2 3 2 2 2" xfId="4615"/>
    <cellStyle name="常规 4 2 3 2 2 3 2 2 2 2" xfId="14035"/>
    <cellStyle name="常规 4 2 3 2 2 3 2 2 2 2 2" xfId="32883"/>
    <cellStyle name="常规 4 2 3 2 2 3 2 2 2 3" xfId="23459"/>
    <cellStyle name="常规 4 2 3 2 2 3 2 2 3" xfId="7751"/>
    <cellStyle name="常规 4 2 3 2 2 3 2 2 3 2" xfId="17171"/>
    <cellStyle name="常规 4 2 3 2 2 3 2 2 3 2 2" xfId="36019"/>
    <cellStyle name="常规 4 2 3 2 2 3 2 2 3 3" xfId="26595"/>
    <cellStyle name="常规 4 2 3 2 2 3 2 2 4" xfId="10899"/>
    <cellStyle name="常规 4 2 3 2 2 3 2 2 4 2" xfId="29747"/>
    <cellStyle name="常规 4 2 3 2 2 3 2 2 5" xfId="20323"/>
    <cellStyle name="常规 4 2 3 2 2 3 2 3" xfId="2263"/>
    <cellStyle name="常规 4 2 3 2 2 3 2 3 2" xfId="5399"/>
    <cellStyle name="常规 4 2 3 2 2 3 2 3 2 2" xfId="14819"/>
    <cellStyle name="常规 4 2 3 2 2 3 2 3 2 2 2" xfId="33667"/>
    <cellStyle name="常规 4 2 3 2 2 3 2 3 2 3" xfId="24243"/>
    <cellStyle name="常规 4 2 3 2 2 3 2 3 3" xfId="8535"/>
    <cellStyle name="常规 4 2 3 2 2 3 2 3 3 2" xfId="17955"/>
    <cellStyle name="常规 4 2 3 2 2 3 2 3 3 2 2" xfId="36803"/>
    <cellStyle name="常规 4 2 3 2 2 3 2 3 3 3" xfId="27379"/>
    <cellStyle name="常规 4 2 3 2 2 3 2 3 4" xfId="11683"/>
    <cellStyle name="常规 4 2 3 2 2 3 2 3 4 2" xfId="30531"/>
    <cellStyle name="常规 4 2 3 2 2 3 2 3 5" xfId="21107"/>
    <cellStyle name="常规 4 2 3 2 2 3 2 4" xfId="3047"/>
    <cellStyle name="常规 4 2 3 2 2 3 2 4 2" xfId="6183"/>
    <cellStyle name="常规 4 2 3 2 2 3 2 4 2 2" xfId="15603"/>
    <cellStyle name="常规 4 2 3 2 2 3 2 4 2 2 2" xfId="34451"/>
    <cellStyle name="常规 4 2 3 2 2 3 2 4 2 3" xfId="25027"/>
    <cellStyle name="常规 4 2 3 2 2 3 2 4 3" xfId="9319"/>
    <cellStyle name="常规 4 2 3 2 2 3 2 4 3 2" xfId="18739"/>
    <cellStyle name="常规 4 2 3 2 2 3 2 4 3 2 2" xfId="37587"/>
    <cellStyle name="常规 4 2 3 2 2 3 2 4 3 3" xfId="28163"/>
    <cellStyle name="常规 4 2 3 2 2 3 2 4 4" xfId="12467"/>
    <cellStyle name="常规 4 2 3 2 2 3 2 4 4 2" xfId="31315"/>
    <cellStyle name="常规 4 2 3 2 2 3 2 4 5" xfId="21891"/>
    <cellStyle name="常规 4 2 3 2 2 3 2 5" xfId="3831"/>
    <cellStyle name="常规 4 2 3 2 2 3 2 5 2" xfId="13251"/>
    <cellStyle name="常规 4 2 3 2 2 3 2 5 2 2" xfId="32099"/>
    <cellStyle name="常规 4 2 3 2 2 3 2 5 3" xfId="22675"/>
    <cellStyle name="常规 4 2 3 2 2 3 2 6" xfId="6967"/>
    <cellStyle name="常规 4 2 3 2 2 3 2 6 2" xfId="16387"/>
    <cellStyle name="常规 4 2 3 2 2 3 2 6 2 2" xfId="35235"/>
    <cellStyle name="常规 4 2 3 2 2 3 2 6 3" xfId="25811"/>
    <cellStyle name="常规 4 2 3 2 2 3 2 7" xfId="10115"/>
    <cellStyle name="常规 4 2 3 2 2 3 2 7 2" xfId="28963"/>
    <cellStyle name="常规 4 2 3 2 2 3 2 8" xfId="19539"/>
    <cellStyle name="常规 4 2 3 2 2 3 3" xfId="1087"/>
    <cellStyle name="常规 4 2 3 2 2 3 3 2" xfId="4223"/>
    <cellStyle name="常规 4 2 3 2 2 3 3 2 2" xfId="13643"/>
    <cellStyle name="常规 4 2 3 2 2 3 3 2 2 2" xfId="32491"/>
    <cellStyle name="常规 4 2 3 2 2 3 3 2 3" xfId="23067"/>
    <cellStyle name="常规 4 2 3 2 2 3 3 3" xfId="7359"/>
    <cellStyle name="常规 4 2 3 2 2 3 3 3 2" xfId="16779"/>
    <cellStyle name="常规 4 2 3 2 2 3 3 3 2 2" xfId="35627"/>
    <cellStyle name="常规 4 2 3 2 2 3 3 3 3" xfId="26203"/>
    <cellStyle name="常规 4 2 3 2 2 3 3 4" xfId="10507"/>
    <cellStyle name="常规 4 2 3 2 2 3 3 4 2" xfId="29355"/>
    <cellStyle name="常规 4 2 3 2 2 3 3 5" xfId="19931"/>
    <cellStyle name="常规 4 2 3 2 2 3 4" xfId="1871"/>
    <cellStyle name="常规 4 2 3 2 2 3 4 2" xfId="5007"/>
    <cellStyle name="常规 4 2 3 2 2 3 4 2 2" xfId="14427"/>
    <cellStyle name="常规 4 2 3 2 2 3 4 2 2 2" xfId="33275"/>
    <cellStyle name="常规 4 2 3 2 2 3 4 2 3" xfId="23851"/>
    <cellStyle name="常规 4 2 3 2 2 3 4 3" xfId="8143"/>
    <cellStyle name="常规 4 2 3 2 2 3 4 3 2" xfId="17563"/>
    <cellStyle name="常规 4 2 3 2 2 3 4 3 2 2" xfId="36411"/>
    <cellStyle name="常规 4 2 3 2 2 3 4 3 3" xfId="26987"/>
    <cellStyle name="常规 4 2 3 2 2 3 4 4" xfId="11291"/>
    <cellStyle name="常规 4 2 3 2 2 3 4 4 2" xfId="30139"/>
    <cellStyle name="常规 4 2 3 2 2 3 4 5" xfId="20715"/>
    <cellStyle name="常规 4 2 3 2 2 3 5" xfId="2655"/>
    <cellStyle name="常规 4 2 3 2 2 3 5 2" xfId="5791"/>
    <cellStyle name="常规 4 2 3 2 2 3 5 2 2" xfId="15211"/>
    <cellStyle name="常规 4 2 3 2 2 3 5 2 2 2" xfId="34059"/>
    <cellStyle name="常规 4 2 3 2 2 3 5 2 3" xfId="24635"/>
    <cellStyle name="常规 4 2 3 2 2 3 5 3" xfId="8927"/>
    <cellStyle name="常规 4 2 3 2 2 3 5 3 2" xfId="18347"/>
    <cellStyle name="常规 4 2 3 2 2 3 5 3 2 2" xfId="37195"/>
    <cellStyle name="常规 4 2 3 2 2 3 5 3 3" xfId="27771"/>
    <cellStyle name="常规 4 2 3 2 2 3 5 4" xfId="12075"/>
    <cellStyle name="常规 4 2 3 2 2 3 5 4 2" xfId="30923"/>
    <cellStyle name="常规 4 2 3 2 2 3 5 5" xfId="21499"/>
    <cellStyle name="常规 4 2 3 2 2 3 6" xfId="3459"/>
    <cellStyle name="常规 4 2 3 2 2 3 6 2" xfId="12879"/>
    <cellStyle name="常规 4 2 3 2 2 3 6 2 2" xfId="31727"/>
    <cellStyle name="常规 4 2 3 2 2 3 6 3" xfId="22303"/>
    <cellStyle name="常规 4 2 3 2 2 3 7" xfId="6575"/>
    <cellStyle name="常规 4 2 3 2 2 3 7 2" xfId="15995"/>
    <cellStyle name="常规 4 2 3 2 2 3 7 2 2" xfId="34843"/>
    <cellStyle name="常规 4 2 3 2 2 3 7 3" xfId="25419"/>
    <cellStyle name="常规 4 2 3 2 2 3 8" xfId="9722"/>
    <cellStyle name="常规 4 2 3 2 2 3 8 2" xfId="28567"/>
    <cellStyle name="常规 4 2 3 2 2 3 9" xfId="19145"/>
    <cellStyle name="常规 4 2 3 2 2 4" xfId="692"/>
    <cellStyle name="常规 4 2 3 2 2 4 2" xfId="1476"/>
    <cellStyle name="常规 4 2 3 2 2 4 2 2" xfId="4612"/>
    <cellStyle name="常规 4 2 3 2 2 4 2 2 2" xfId="14032"/>
    <cellStyle name="常规 4 2 3 2 2 4 2 2 2 2" xfId="32880"/>
    <cellStyle name="常规 4 2 3 2 2 4 2 2 3" xfId="23456"/>
    <cellStyle name="常规 4 2 3 2 2 4 2 3" xfId="7748"/>
    <cellStyle name="常规 4 2 3 2 2 4 2 3 2" xfId="17168"/>
    <cellStyle name="常规 4 2 3 2 2 4 2 3 2 2" xfId="36016"/>
    <cellStyle name="常规 4 2 3 2 2 4 2 3 3" xfId="26592"/>
    <cellStyle name="常规 4 2 3 2 2 4 2 4" xfId="10896"/>
    <cellStyle name="常规 4 2 3 2 2 4 2 4 2" xfId="29744"/>
    <cellStyle name="常规 4 2 3 2 2 4 2 5" xfId="20320"/>
    <cellStyle name="常规 4 2 3 2 2 4 3" xfId="2260"/>
    <cellStyle name="常规 4 2 3 2 2 4 3 2" xfId="5396"/>
    <cellStyle name="常规 4 2 3 2 2 4 3 2 2" xfId="14816"/>
    <cellStyle name="常规 4 2 3 2 2 4 3 2 2 2" xfId="33664"/>
    <cellStyle name="常规 4 2 3 2 2 4 3 2 3" xfId="24240"/>
    <cellStyle name="常规 4 2 3 2 2 4 3 3" xfId="8532"/>
    <cellStyle name="常规 4 2 3 2 2 4 3 3 2" xfId="17952"/>
    <cellStyle name="常规 4 2 3 2 2 4 3 3 2 2" xfId="36800"/>
    <cellStyle name="常规 4 2 3 2 2 4 3 3 3" xfId="27376"/>
    <cellStyle name="常规 4 2 3 2 2 4 3 4" xfId="11680"/>
    <cellStyle name="常规 4 2 3 2 2 4 3 4 2" xfId="30528"/>
    <cellStyle name="常规 4 2 3 2 2 4 3 5" xfId="21104"/>
    <cellStyle name="常规 4 2 3 2 2 4 4" xfId="3044"/>
    <cellStyle name="常规 4 2 3 2 2 4 4 2" xfId="6180"/>
    <cellStyle name="常规 4 2 3 2 2 4 4 2 2" xfId="15600"/>
    <cellStyle name="常规 4 2 3 2 2 4 4 2 2 2" xfId="34448"/>
    <cellStyle name="常规 4 2 3 2 2 4 4 2 3" xfId="25024"/>
    <cellStyle name="常规 4 2 3 2 2 4 4 3" xfId="9316"/>
    <cellStyle name="常规 4 2 3 2 2 4 4 3 2" xfId="18736"/>
    <cellStyle name="常规 4 2 3 2 2 4 4 3 2 2" xfId="37584"/>
    <cellStyle name="常规 4 2 3 2 2 4 4 3 3" xfId="28160"/>
    <cellStyle name="常规 4 2 3 2 2 4 4 4" xfId="12464"/>
    <cellStyle name="常规 4 2 3 2 2 4 4 4 2" xfId="31312"/>
    <cellStyle name="常规 4 2 3 2 2 4 4 5" xfId="21888"/>
    <cellStyle name="常规 4 2 3 2 2 4 5" xfId="3828"/>
    <cellStyle name="常规 4 2 3 2 2 4 5 2" xfId="13248"/>
    <cellStyle name="常规 4 2 3 2 2 4 5 2 2" xfId="32096"/>
    <cellStyle name="常规 4 2 3 2 2 4 5 3" xfId="22672"/>
    <cellStyle name="常规 4 2 3 2 2 4 6" xfId="6964"/>
    <cellStyle name="常规 4 2 3 2 2 4 6 2" xfId="16384"/>
    <cellStyle name="常规 4 2 3 2 2 4 6 2 2" xfId="35232"/>
    <cellStyle name="常规 4 2 3 2 2 4 6 3" xfId="25808"/>
    <cellStyle name="常规 4 2 3 2 2 4 7" xfId="10112"/>
    <cellStyle name="常规 4 2 3 2 2 4 7 2" xfId="28960"/>
    <cellStyle name="常规 4 2 3 2 2 4 8" xfId="19536"/>
    <cellStyle name="常规 4 2 3 2 2 5" xfId="1084"/>
    <cellStyle name="常规 4 2 3 2 2 5 2" xfId="4220"/>
    <cellStyle name="常规 4 2 3 2 2 5 2 2" xfId="13640"/>
    <cellStyle name="常规 4 2 3 2 2 5 2 2 2" xfId="32488"/>
    <cellStyle name="常规 4 2 3 2 2 5 2 3" xfId="23064"/>
    <cellStyle name="常规 4 2 3 2 2 5 3" xfId="7356"/>
    <cellStyle name="常规 4 2 3 2 2 5 3 2" xfId="16776"/>
    <cellStyle name="常规 4 2 3 2 2 5 3 2 2" xfId="35624"/>
    <cellStyle name="常规 4 2 3 2 2 5 3 3" xfId="26200"/>
    <cellStyle name="常规 4 2 3 2 2 5 4" xfId="10504"/>
    <cellStyle name="常规 4 2 3 2 2 5 4 2" xfId="29352"/>
    <cellStyle name="常规 4 2 3 2 2 5 5" xfId="19928"/>
    <cellStyle name="常规 4 2 3 2 2 6" xfId="1868"/>
    <cellStyle name="常规 4 2 3 2 2 6 2" xfId="5004"/>
    <cellStyle name="常规 4 2 3 2 2 6 2 2" xfId="14424"/>
    <cellStyle name="常规 4 2 3 2 2 6 2 2 2" xfId="33272"/>
    <cellStyle name="常规 4 2 3 2 2 6 2 3" xfId="23848"/>
    <cellStyle name="常规 4 2 3 2 2 6 3" xfId="8140"/>
    <cellStyle name="常规 4 2 3 2 2 6 3 2" xfId="17560"/>
    <cellStyle name="常规 4 2 3 2 2 6 3 2 2" xfId="36408"/>
    <cellStyle name="常规 4 2 3 2 2 6 3 3" xfId="26984"/>
    <cellStyle name="常规 4 2 3 2 2 6 4" xfId="11288"/>
    <cellStyle name="常规 4 2 3 2 2 6 4 2" xfId="30136"/>
    <cellStyle name="常规 4 2 3 2 2 6 5" xfId="20712"/>
    <cellStyle name="常规 4 2 3 2 2 7" xfId="2652"/>
    <cellStyle name="常规 4 2 3 2 2 7 2" xfId="5788"/>
    <cellStyle name="常规 4 2 3 2 2 7 2 2" xfId="15208"/>
    <cellStyle name="常规 4 2 3 2 2 7 2 2 2" xfId="34056"/>
    <cellStyle name="常规 4 2 3 2 2 7 2 3" xfId="24632"/>
    <cellStyle name="常规 4 2 3 2 2 7 3" xfId="8924"/>
    <cellStyle name="常规 4 2 3 2 2 7 3 2" xfId="18344"/>
    <cellStyle name="常规 4 2 3 2 2 7 3 2 2" xfId="37192"/>
    <cellStyle name="常规 4 2 3 2 2 7 3 3" xfId="27768"/>
    <cellStyle name="常规 4 2 3 2 2 7 4" xfId="12072"/>
    <cellStyle name="常规 4 2 3 2 2 7 4 2" xfId="30920"/>
    <cellStyle name="常规 4 2 3 2 2 7 5" xfId="21496"/>
    <cellStyle name="常规 4 2 3 2 2 8" xfId="3230"/>
    <cellStyle name="常规 4 2 3 2 2 8 2" xfId="12650"/>
    <cellStyle name="常规 4 2 3 2 2 8 2 2" xfId="31498"/>
    <cellStyle name="常规 4 2 3 2 2 8 3" xfId="22074"/>
    <cellStyle name="常规 4 2 3 2 2 9" xfId="6572"/>
    <cellStyle name="常规 4 2 3 2 2 9 2" xfId="15992"/>
    <cellStyle name="常规 4 2 3 2 2 9 2 2" xfId="34840"/>
    <cellStyle name="常规 4 2 3 2 2 9 3" xfId="25416"/>
    <cellStyle name="常规 4 2 3 2 3" xfId="300"/>
    <cellStyle name="常规 4 2 3 2 3 10" xfId="19146"/>
    <cellStyle name="常规 4 2 3 2 3 2" xfId="301"/>
    <cellStyle name="常规 4 2 3 2 3 2 2" xfId="697"/>
    <cellStyle name="常规 4 2 3 2 3 2 2 2" xfId="1481"/>
    <cellStyle name="常规 4 2 3 2 3 2 2 2 2" xfId="4617"/>
    <cellStyle name="常规 4 2 3 2 3 2 2 2 2 2" xfId="14037"/>
    <cellStyle name="常规 4 2 3 2 3 2 2 2 2 2 2" xfId="32885"/>
    <cellStyle name="常规 4 2 3 2 3 2 2 2 2 3" xfId="23461"/>
    <cellStyle name="常规 4 2 3 2 3 2 2 2 3" xfId="7753"/>
    <cellStyle name="常规 4 2 3 2 3 2 2 2 3 2" xfId="17173"/>
    <cellStyle name="常规 4 2 3 2 3 2 2 2 3 2 2" xfId="36021"/>
    <cellStyle name="常规 4 2 3 2 3 2 2 2 3 3" xfId="26597"/>
    <cellStyle name="常规 4 2 3 2 3 2 2 2 4" xfId="10901"/>
    <cellStyle name="常规 4 2 3 2 3 2 2 2 4 2" xfId="29749"/>
    <cellStyle name="常规 4 2 3 2 3 2 2 2 5" xfId="20325"/>
    <cellStyle name="常规 4 2 3 2 3 2 2 3" xfId="2265"/>
    <cellStyle name="常规 4 2 3 2 3 2 2 3 2" xfId="5401"/>
    <cellStyle name="常规 4 2 3 2 3 2 2 3 2 2" xfId="14821"/>
    <cellStyle name="常规 4 2 3 2 3 2 2 3 2 2 2" xfId="33669"/>
    <cellStyle name="常规 4 2 3 2 3 2 2 3 2 3" xfId="24245"/>
    <cellStyle name="常规 4 2 3 2 3 2 2 3 3" xfId="8537"/>
    <cellStyle name="常规 4 2 3 2 3 2 2 3 3 2" xfId="17957"/>
    <cellStyle name="常规 4 2 3 2 3 2 2 3 3 2 2" xfId="36805"/>
    <cellStyle name="常规 4 2 3 2 3 2 2 3 3 3" xfId="27381"/>
    <cellStyle name="常规 4 2 3 2 3 2 2 3 4" xfId="11685"/>
    <cellStyle name="常规 4 2 3 2 3 2 2 3 4 2" xfId="30533"/>
    <cellStyle name="常规 4 2 3 2 3 2 2 3 5" xfId="21109"/>
    <cellStyle name="常规 4 2 3 2 3 2 2 4" xfId="3049"/>
    <cellStyle name="常规 4 2 3 2 3 2 2 4 2" xfId="6185"/>
    <cellStyle name="常规 4 2 3 2 3 2 2 4 2 2" xfId="15605"/>
    <cellStyle name="常规 4 2 3 2 3 2 2 4 2 2 2" xfId="34453"/>
    <cellStyle name="常规 4 2 3 2 3 2 2 4 2 3" xfId="25029"/>
    <cellStyle name="常规 4 2 3 2 3 2 2 4 3" xfId="9321"/>
    <cellStyle name="常规 4 2 3 2 3 2 2 4 3 2" xfId="18741"/>
    <cellStyle name="常规 4 2 3 2 3 2 2 4 3 2 2" xfId="37589"/>
    <cellStyle name="常规 4 2 3 2 3 2 2 4 3 3" xfId="28165"/>
    <cellStyle name="常规 4 2 3 2 3 2 2 4 4" xfId="12469"/>
    <cellStyle name="常规 4 2 3 2 3 2 2 4 4 2" xfId="31317"/>
    <cellStyle name="常规 4 2 3 2 3 2 2 4 5" xfId="21893"/>
    <cellStyle name="常规 4 2 3 2 3 2 2 5" xfId="3833"/>
    <cellStyle name="常规 4 2 3 2 3 2 2 5 2" xfId="13253"/>
    <cellStyle name="常规 4 2 3 2 3 2 2 5 2 2" xfId="32101"/>
    <cellStyle name="常规 4 2 3 2 3 2 2 5 3" xfId="22677"/>
    <cellStyle name="常规 4 2 3 2 3 2 2 6" xfId="6969"/>
    <cellStyle name="常规 4 2 3 2 3 2 2 6 2" xfId="16389"/>
    <cellStyle name="常规 4 2 3 2 3 2 2 6 2 2" xfId="35237"/>
    <cellStyle name="常规 4 2 3 2 3 2 2 6 3" xfId="25813"/>
    <cellStyle name="常规 4 2 3 2 3 2 2 7" xfId="10117"/>
    <cellStyle name="常规 4 2 3 2 3 2 2 7 2" xfId="28965"/>
    <cellStyle name="常规 4 2 3 2 3 2 2 8" xfId="19541"/>
    <cellStyle name="常规 4 2 3 2 3 2 3" xfId="1089"/>
    <cellStyle name="常规 4 2 3 2 3 2 3 2" xfId="4225"/>
    <cellStyle name="常规 4 2 3 2 3 2 3 2 2" xfId="13645"/>
    <cellStyle name="常规 4 2 3 2 3 2 3 2 2 2" xfId="32493"/>
    <cellStyle name="常规 4 2 3 2 3 2 3 2 3" xfId="23069"/>
    <cellStyle name="常规 4 2 3 2 3 2 3 3" xfId="7361"/>
    <cellStyle name="常规 4 2 3 2 3 2 3 3 2" xfId="16781"/>
    <cellStyle name="常规 4 2 3 2 3 2 3 3 2 2" xfId="35629"/>
    <cellStyle name="常规 4 2 3 2 3 2 3 3 3" xfId="26205"/>
    <cellStyle name="常规 4 2 3 2 3 2 3 4" xfId="10509"/>
    <cellStyle name="常规 4 2 3 2 3 2 3 4 2" xfId="29357"/>
    <cellStyle name="常规 4 2 3 2 3 2 3 5" xfId="19933"/>
    <cellStyle name="常规 4 2 3 2 3 2 4" xfId="1873"/>
    <cellStyle name="常规 4 2 3 2 3 2 4 2" xfId="5009"/>
    <cellStyle name="常规 4 2 3 2 3 2 4 2 2" xfId="14429"/>
    <cellStyle name="常规 4 2 3 2 3 2 4 2 2 2" xfId="33277"/>
    <cellStyle name="常规 4 2 3 2 3 2 4 2 3" xfId="23853"/>
    <cellStyle name="常规 4 2 3 2 3 2 4 3" xfId="8145"/>
    <cellStyle name="常规 4 2 3 2 3 2 4 3 2" xfId="17565"/>
    <cellStyle name="常规 4 2 3 2 3 2 4 3 2 2" xfId="36413"/>
    <cellStyle name="常规 4 2 3 2 3 2 4 3 3" xfId="26989"/>
    <cellStyle name="常规 4 2 3 2 3 2 4 4" xfId="11293"/>
    <cellStyle name="常规 4 2 3 2 3 2 4 4 2" xfId="30141"/>
    <cellStyle name="常规 4 2 3 2 3 2 4 5" xfId="20717"/>
    <cellStyle name="常规 4 2 3 2 3 2 5" xfId="2657"/>
    <cellStyle name="常规 4 2 3 2 3 2 5 2" xfId="5793"/>
    <cellStyle name="常规 4 2 3 2 3 2 5 2 2" xfId="15213"/>
    <cellStyle name="常规 4 2 3 2 3 2 5 2 2 2" xfId="34061"/>
    <cellStyle name="常规 4 2 3 2 3 2 5 2 3" xfId="24637"/>
    <cellStyle name="常规 4 2 3 2 3 2 5 3" xfId="8929"/>
    <cellStyle name="常规 4 2 3 2 3 2 5 3 2" xfId="18349"/>
    <cellStyle name="常规 4 2 3 2 3 2 5 3 2 2" xfId="37197"/>
    <cellStyle name="常规 4 2 3 2 3 2 5 3 3" xfId="27773"/>
    <cellStyle name="常规 4 2 3 2 3 2 5 4" xfId="12077"/>
    <cellStyle name="常规 4 2 3 2 3 2 5 4 2" xfId="30925"/>
    <cellStyle name="常规 4 2 3 2 3 2 5 5" xfId="21501"/>
    <cellStyle name="常规 4 2 3 2 3 2 6" xfId="3461"/>
    <cellStyle name="常规 4 2 3 2 3 2 6 2" xfId="12881"/>
    <cellStyle name="常规 4 2 3 2 3 2 6 2 2" xfId="31729"/>
    <cellStyle name="常规 4 2 3 2 3 2 6 3" xfId="22305"/>
    <cellStyle name="常规 4 2 3 2 3 2 7" xfId="6577"/>
    <cellStyle name="常规 4 2 3 2 3 2 7 2" xfId="15997"/>
    <cellStyle name="常规 4 2 3 2 3 2 7 2 2" xfId="34845"/>
    <cellStyle name="常规 4 2 3 2 3 2 7 3" xfId="25421"/>
    <cellStyle name="常规 4 2 3 2 3 2 8" xfId="9724"/>
    <cellStyle name="常规 4 2 3 2 3 2 8 2" xfId="28569"/>
    <cellStyle name="常规 4 2 3 2 3 2 9" xfId="19147"/>
    <cellStyle name="常规 4 2 3 2 3 3" xfId="696"/>
    <cellStyle name="常规 4 2 3 2 3 3 2" xfId="1480"/>
    <cellStyle name="常规 4 2 3 2 3 3 2 2" xfId="4616"/>
    <cellStyle name="常规 4 2 3 2 3 3 2 2 2" xfId="14036"/>
    <cellStyle name="常规 4 2 3 2 3 3 2 2 2 2" xfId="32884"/>
    <cellStyle name="常规 4 2 3 2 3 3 2 2 3" xfId="23460"/>
    <cellStyle name="常规 4 2 3 2 3 3 2 3" xfId="7752"/>
    <cellStyle name="常规 4 2 3 2 3 3 2 3 2" xfId="17172"/>
    <cellStyle name="常规 4 2 3 2 3 3 2 3 2 2" xfId="36020"/>
    <cellStyle name="常规 4 2 3 2 3 3 2 3 3" xfId="26596"/>
    <cellStyle name="常规 4 2 3 2 3 3 2 4" xfId="10900"/>
    <cellStyle name="常规 4 2 3 2 3 3 2 4 2" xfId="29748"/>
    <cellStyle name="常规 4 2 3 2 3 3 2 5" xfId="20324"/>
    <cellStyle name="常规 4 2 3 2 3 3 3" xfId="2264"/>
    <cellStyle name="常规 4 2 3 2 3 3 3 2" xfId="5400"/>
    <cellStyle name="常规 4 2 3 2 3 3 3 2 2" xfId="14820"/>
    <cellStyle name="常规 4 2 3 2 3 3 3 2 2 2" xfId="33668"/>
    <cellStyle name="常规 4 2 3 2 3 3 3 2 3" xfId="24244"/>
    <cellStyle name="常规 4 2 3 2 3 3 3 3" xfId="8536"/>
    <cellStyle name="常规 4 2 3 2 3 3 3 3 2" xfId="17956"/>
    <cellStyle name="常规 4 2 3 2 3 3 3 3 2 2" xfId="36804"/>
    <cellStyle name="常规 4 2 3 2 3 3 3 3 3" xfId="27380"/>
    <cellStyle name="常规 4 2 3 2 3 3 3 4" xfId="11684"/>
    <cellStyle name="常规 4 2 3 2 3 3 3 4 2" xfId="30532"/>
    <cellStyle name="常规 4 2 3 2 3 3 3 5" xfId="21108"/>
    <cellStyle name="常规 4 2 3 2 3 3 4" xfId="3048"/>
    <cellStyle name="常规 4 2 3 2 3 3 4 2" xfId="6184"/>
    <cellStyle name="常规 4 2 3 2 3 3 4 2 2" xfId="15604"/>
    <cellStyle name="常规 4 2 3 2 3 3 4 2 2 2" xfId="34452"/>
    <cellStyle name="常规 4 2 3 2 3 3 4 2 3" xfId="25028"/>
    <cellStyle name="常规 4 2 3 2 3 3 4 3" xfId="9320"/>
    <cellStyle name="常规 4 2 3 2 3 3 4 3 2" xfId="18740"/>
    <cellStyle name="常规 4 2 3 2 3 3 4 3 2 2" xfId="37588"/>
    <cellStyle name="常规 4 2 3 2 3 3 4 3 3" xfId="28164"/>
    <cellStyle name="常规 4 2 3 2 3 3 4 4" xfId="12468"/>
    <cellStyle name="常规 4 2 3 2 3 3 4 4 2" xfId="31316"/>
    <cellStyle name="常规 4 2 3 2 3 3 4 5" xfId="21892"/>
    <cellStyle name="常规 4 2 3 2 3 3 5" xfId="3832"/>
    <cellStyle name="常规 4 2 3 2 3 3 5 2" xfId="13252"/>
    <cellStyle name="常规 4 2 3 2 3 3 5 2 2" xfId="32100"/>
    <cellStyle name="常规 4 2 3 2 3 3 5 3" xfId="22676"/>
    <cellStyle name="常规 4 2 3 2 3 3 6" xfId="6968"/>
    <cellStyle name="常规 4 2 3 2 3 3 6 2" xfId="16388"/>
    <cellStyle name="常规 4 2 3 2 3 3 6 2 2" xfId="35236"/>
    <cellStyle name="常规 4 2 3 2 3 3 6 3" xfId="25812"/>
    <cellStyle name="常规 4 2 3 2 3 3 7" xfId="10116"/>
    <cellStyle name="常规 4 2 3 2 3 3 7 2" xfId="28964"/>
    <cellStyle name="常规 4 2 3 2 3 3 8" xfId="19540"/>
    <cellStyle name="常规 4 2 3 2 3 4" xfId="1088"/>
    <cellStyle name="常规 4 2 3 2 3 4 2" xfId="4224"/>
    <cellStyle name="常规 4 2 3 2 3 4 2 2" xfId="13644"/>
    <cellStyle name="常规 4 2 3 2 3 4 2 2 2" xfId="32492"/>
    <cellStyle name="常规 4 2 3 2 3 4 2 3" xfId="23068"/>
    <cellStyle name="常规 4 2 3 2 3 4 3" xfId="7360"/>
    <cellStyle name="常规 4 2 3 2 3 4 3 2" xfId="16780"/>
    <cellStyle name="常规 4 2 3 2 3 4 3 2 2" xfId="35628"/>
    <cellStyle name="常规 4 2 3 2 3 4 3 3" xfId="26204"/>
    <cellStyle name="常规 4 2 3 2 3 4 4" xfId="10508"/>
    <cellStyle name="常规 4 2 3 2 3 4 4 2" xfId="29356"/>
    <cellStyle name="常规 4 2 3 2 3 4 5" xfId="19932"/>
    <cellStyle name="常规 4 2 3 2 3 5" xfId="1872"/>
    <cellStyle name="常规 4 2 3 2 3 5 2" xfId="5008"/>
    <cellStyle name="常规 4 2 3 2 3 5 2 2" xfId="14428"/>
    <cellStyle name="常规 4 2 3 2 3 5 2 2 2" xfId="33276"/>
    <cellStyle name="常规 4 2 3 2 3 5 2 3" xfId="23852"/>
    <cellStyle name="常规 4 2 3 2 3 5 3" xfId="8144"/>
    <cellStyle name="常规 4 2 3 2 3 5 3 2" xfId="17564"/>
    <cellStyle name="常规 4 2 3 2 3 5 3 2 2" xfId="36412"/>
    <cellStyle name="常规 4 2 3 2 3 5 3 3" xfId="26988"/>
    <cellStyle name="常规 4 2 3 2 3 5 4" xfId="11292"/>
    <cellStyle name="常规 4 2 3 2 3 5 4 2" xfId="30140"/>
    <cellStyle name="常规 4 2 3 2 3 5 5" xfId="20716"/>
    <cellStyle name="常规 4 2 3 2 3 6" xfId="2656"/>
    <cellStyle name="常规 4 2 3 2 3 6 2" xfId="5792"/>
    <cellStyle name="常规 4 2 3 2 3 6 2 2" xfId="15212"/>
    <cellStyle name="常规 4 2 3 2 3 6 2 2 2" xfId="34060"/>
    <cellStyle name="常规 4 2 3 2 3 6 2 3" xfId="24636"/>
    <cellStyle name="常规 4 2 3 2 3 6 3" xfId="8928"/>
    <cellStyle name="常规 4 2 3 2 3 6 3 2" xfId="18348"/>
    <cellStyle name="常规 4 2 3 2 3 6 3 2 2" xfId="37196"/>
    <cellStyle name="常规 4 2 3 2 3 6 3 3" xfId="27772"/>
    <cellStyle name="常规 4 2 3 2 3 6 4" xfId="12076"/>
    <cellStyle name="常规 4 2 3 2 3 6 4 2" xfId="30924"/>
    <cellStyle name="常规 4 2 3 2 3 6 5" xfId="21500"/>
    <cellStyle name="常规 4 2 3 2 3 7" xfId="3460"/>
    <cellStyle name="常规 4 2 3 2 3 7 2" xfId="12880"/>
    <cellStyle name="常规 4 2 3 2 3 7 2 2" xfId="31728"/>
    <cellStyle name="常规 4 2 3 2 3 7 3" xfId="22304"/>
    <cellStyle name="常规 4 2 3 2 3 8" xfId="6576"/>
    <cellStyle name="常规 4 2 3 2 3 8 2" xfId="15996"/>
    <cellStyle name="常规 4 2 3 2 3 8 2 2" xfId="34844"/>
    <cellStyle name="常规 4 2 3 2 3 8 3" xfId="25420"/>
    <cellStyle name="常规 4 2 3 2 3 9" xfId="9723"/>
    <cellStyle name="常规 4 2 3 2 3 9 2" xfId="28568"/>
    <cellStyle name="常规 4 2 3 2 4" xfId="302"/>
    <cellStyle name="常规 4 2 3 2 4 2" xfId="698"/>
    <cellStyle name="常规 4 2 3 2 4 2 2" xfId="1482"/>
    <cellStyle name="常规 4 2 3 2 4 2 2 2" xfId="4618"/>
    <cellStyle name="常规 4 2 3 2 4 2 2 2 2" xfId="14038"/>
    <cellStyle name="常规 4 2 3 2 4 2 2 2 2 2" xfId="32886"/>
    <cellStyle name="常规 4 2 3 2 4 2 2 2 3" xfId="23462"/>
    <cellStyle name="常规 4 2 3 2 4 2 2 3" xfId="7754"/>
    <cellStyle name="常规 4 2 3 2 4 2 2 3 2" xfId="17174"/>
    <cellStyle name="常规 4 2 3 2 4 2 2 3 2 2" xfId="36022"/>
    <cellStyle name="常规 4 2 3 2 4 2 2 3 3" xfId="26598"/>
    <cellStyle name="常规 4 2 3 2 4 2 2 4" xfId="10902"/>
    <cellStyle name="常规 4 2 3 2 4 2 2 4 2" xfId="29750"/>
    <cellStyle name="常规 4 2 3 2 4 2 2 5" xfId="20326"/>
    <cellStyle name="常规 4 2 3 2 4 2 3" xfId="2266"/>
    <cellStyle name="常规 4 2 3 2 4 2 3 2" xfId="5402"/>
    <cellStyle name="常规 4 2 3 2 4 2 3 2 2" xfId="14822"/>
    <cellStyle name="常规 4 2 3 2 4 2 3 2 2 2" xfId="33670"/>
    <cellStyle name="常规 4 2 3 2 4 2 3 2 3" xfId="24246"/>
    <cellStyle name="常规 4 2 3 2 4 2 3 3" xfId="8538"/>
    <cellStyle name="常规 4 2 3 2 4 2 3 3 2" xfId="17958"/>
    <cellStyle name="常规 4 2 3 2 4 2 3 3 2 2" xfId="36806"/>
    <cellStyle name="常规 4 2 3 2 4 2 3 3 3" xfId="27382"/>
    <cellStyle name="常规 4 2 3 2 4 2 3 4" xfId="11686"/>
    <cellStyle name="常规 4 2 3 2 4 2 3 4 2" xfId="30534"/>
    <cellStyle name="常规 4 2 3 2 4 2 3 5" xfId="21110"/>
    <cellStyle name="常规 4 2 3 2 4 2 4" xfId="3050"/>
    <cellStyle name="常规 4 2 3 2 4 2 4 2" xfId="6186"/>
    <cellStyle name="常规 4 2 3 2 4 2 4 2 2" xfId="15606"/>
    <cellStyle name="常规 4 2 3 2 4 2 4 2 2 2" xfId="34454"/>
    <cellStyle name="常规 4 2 3 2 4 2 4 2 3" xfId="25030"/>
    <cellStyle name="常规 4 2 3 2 4 2 4 3" xfId="9322"/>
    <cellStyle name="常规 4 2 3 2 4 2 4 3 2" xfId="18742"/>
    <cellStyle name="常规 4 2 3 2 4 2 4 3 2 2" xfId="37590"/>
    <cellStyle name="常规 4 2 3 2 4 2 4 3 3" xfId="28166"/>
    <cellStyle name="常规 4 2 3 2 4 2 4 4" xfId="12470"/>
    <cellStyle name="常规 4 2 3 2 4 2 4 4 2" xfId="31318"/>
    <cellStyle name="常规 4 2 3 2 4 2 4 5" xfId="21894"/>
    <cellStyle name="常规 4 2 3 2 4 2 5" xfId="3834"/>
    <cellStyle name="常规 4 2 3 2 4 2 5 2" xfId="13254"/>
    <cellStyle name="常规 4 2 3 2 4 2 5 2 2" xfId="32102"/>
    <cellStyle name="常规 4 2 3 2 4 2 5 3" xfId="22678"/>
    <cellStyle name="常规 4 2 3 2 4 2 6" xfId="6970"/>
    <cellStyle name="常规 4 2 3 2 4 2 6 2" xfId="16390"/>
    <cellStyle name="常规 4 2 3 2 4 2 6 2 2" xfId="35238"/>
    <cellStyle name="常规 4 2 3 2 4 2 6 3" xfId="25814"/>
    <cellStyle name="常规 4 2 3 2 4 2 7" xfId="10118"/>
    <cellStyle name="常规 4 2 3 2 4 2 7 2" xfId="28966"/>
    <cellStyle name="常规 4 2 3 2 4 2 8" xfId="19542"/>
    <cellStyle name="常规 4 2 3 2 4 3" xfId="1090"/>
    <cellStyle name="常规 4 2 3 2 4 3 2" xfId="4226"/>
    <cellStyle name="常规 4 2 3 2 4 3 2 2" xfId="13646"/>
    <cellStyle name="常规 4 2 3 2 4 3 2 2 2" xfId="32494"/>
    <cellStyle name="常规 4 2 3 2 4 3 2 3" xfId="23070"/>
    <cellStyle name="常规 4 2 3 2 4 3 3" xfId="7362"/>
    <cellStyle name="常规 4 2 3 2 4 3 3 2" xfId="16782"/>
    <cellStyle name="常规 4 2 3 2 4 3 3 2 2" xfId="35630"/>
    <cellStyle name="常规 4 2 3 2 4 3 3 3" xfId="26206"/>
    <cellStyle name="常规 4 2 3 2 4 3 4" xfId="10510"/>
    <cellStyle name="常规 4 2 3 2 4 3 4 2" xfId="29358"/>
    <cellStyle name="常规 4 2 3 2 4 3 5" xfId="19934"/>
    <cellStyle name="常规 4 2 3 2 4 4" xfId="1874"/>
    <cellStyle name="常规 4 2 3 2 4 4 2" xfId="5010"/>
    <cellStyle name="常规 4 2 3 2 4 4 2 2" xfId="14430"/>
    <cellStyle name="常规 4 2 3 2 4 4 2 2 2" xfId="33278"/>
    <cellStyle name="常规 4 2 3 2 4 4 2 3" xfId="23854"/>
    <cellStyle name="常规 4 2 3 2 4 4 3" xfId="8146"/>
    <cellStyle name="常规 4 2 3 2 4 4 3 2" xfId="17566"/>
    <cellStyle name="常规 4 2 3 2 4 4 3 2 2" xfId="36414"/>
    <cellStyle name="常规 4 2 3 2 4 4 3 3" xfId="26990"/>
    <cellStyle name="常规 4 2 3 2 4 4 4" xfId="11294"/>
    <cellStyle name="常规 4 2 3 2 4 4 4 2" xfId="30142"/>
    <cellStyle name="常规 4 2 3 2 4 4 5" xfId="20718"/>
    <cellStyle name="常规 4 2 3 2 4 5" xfId="2658"/>
    <cellStyle name="常规 4 2 3 2 4 5 2" xfId="5794"/>
    <cellStyle name="常规 4 2 3 2 4 5 2 2" xfId="15214"/>
    <cellStyle name="常规 4 2 3 2 4 5 2 2 2" xfId="34062"/>
    <cellStyle name="常规 4 2 3 2 4 5 2 3" xfId="24638"/>
    <cellStyle name="常规 4 2 3 2 4 5 3" xfId="8930"/>
    <cellStyle name="常规 4 2 3 2 4 5 3 2" xfId="18350"/>
    <cellStyle name="常规 4 2 3 2 4 5 3 2 2" xfId="37198"/>
    <cellStyle name="常规 4 2 3 2 4 5 3 3" xfId="27774"/>
    <cellStyle name="常规 4 2 3 2 4 5 4" xfId="12078"/>
    <cellStyle name="常规 4 2 3 2 4 5 4 2" xfId="30926"/>
    <cellStyle name="常规 4 2 3 2 4 5 5" xfId="21502"/>
    <cellStyle name="常规 4 2 3 2 4 6" xfId="3462"/>
    <cellStyle name="常规 4 2 3 2 4 6 2" xfId="12882"/>
    <cellStyle name="常规 4 2 3 2 4 6 2 2" xfId="31730"/>
    <cellStyle name="常规 4 2 3 2 4 6 3" xfId="22306"/>
    <cellStyle name="常规 4 2 3 2 4 7" xfId="6578"/>
    <cellStyle name="常规 4 2 3 2 4 7 2" xfId="15998"/>
    <cellStyle name="常规 4 2 3 2 4 7 2 2" xfId="34846"/>
    <cellStyle name="常规 4 2 3 2 4 7 3" xfId="25422"/>
    <cellStyle name="常规 4 2 3 2 4 8" xfId="9725"/>
    <cellStyle name="常规 4 2 3 2 4 8 2" xfId="28570"/>
    <cellStyle name="常规 4 2 3 2 4 9" xfId="19148"/>
    <cellStyle name="常规 4 2 3 2 5" xfId="691"/>
    <cellStyle name="常规 4 2 3 2 5 2" xfId="1475"/>
    <cellStyle name="常规 4 2 3 2 5 2 2" xfId="4611"/>
    <cellStyle name="常规 4 2 3 2 5 2 2 2" xfId="14031"/>
    <cellStyle name="常规 4 2 3 2 5 2 2 2 2" xfId="32879"/>
    <cellStyle name="常规 4 2 3 2 5 2 2 3" xfId="23455"/>
    <cellStyle name="常规 4 2 3 2 5 2 3" xfId="7747"/>
    <cellStyle name="常规 4 2 3 2 5 2 3 2" xfId="17167"/>
    <cellStyle name="常规 4 2 3 2 5 2 3 2 2" xfId="36015"/>
    <cellStyle name="常规 4 2 3 2 5 2 3 3" xfId="26591"/>
    <cellStyle name="常规 4 2 3 2 5 2 4" xfId="10895"/>
    <cellStyle name="常规 4 2 3 2 5 2 4 2" xfId="29743"/>
    <cellStyle name="常规 4 2 3 2 5 2 5" xfId="20319"/>
    <cellStyle name="常规 4 2 3 2 5 3" xfId="2259"/>
    <cellStyle name="常规 4 2 3 2 5 3 2" xfId="5395"/>
    <cellStyle name="常规 4 2 3 2 5 3 2 2" xfId="14815"/>
    <cellStyle name="常规 4 2 3 2 5 3 2 2 2" xfId="33663"/>
    <cellStyle name="常规 4 2 3 2 5 3 2 3" xfId="24239"/>
    <cellStyle name="常规 4 2 3 2 5 3 3" xfId="8531"/>
    <cellStyle name="常规 4 2 3 2 5 3 3 2" xfId="17951"/>
    <cellStyle name="常规 4 2 3 2 5 3 3 2 2" xfId="36799"/>
    <cellStyle name="常规 4 2 3 2 5 3 3 3" xfId="27375"/>
    <cellStyle name="常规 4 2 3 2 5 3 4" xfId="11679"/>
    <cellStyle name="常规 4 2 3 2 5 3 4 2" xfId="30527"/>
    <cellStyle name="常规 4 2 3 2 5 3 5" xfId="21103"/>
    <cellStyle name="常规 4 2 3 2 5 4" xfId="3043"/>
    <cellStyle name="常规 4 2 3 2 5 4 2" xfId="6179"/>
    <cellStyle name="常规 4 2 3 2 5 4 2 2" xfId="15599"/>
    <cellStyle name="常规 4 2 3 2 5 4 2 2 2" xfId="34447"/>
    <cellStyle name="常规 4 2 3 2 5 4 2 3" xfId="25023"/>
    <cellStyle name="常规 4 2 3 2 5 4 3" xfId="9315"/>
    <cellStyle name="常规 4 2 3 2 5 4 3 2" xfId="18735"/>
    <cellStyle name="常规 4 2 3 2 5 4 3 2 2" xfId="37583"/>
    <cellStyle name="常规 4 2 3 2 5 4 3 3" xfId="28159"/>
    <cellStyle name="常规 4 2 3 2 5 4 4" xfId="12463"/>
    <cellStyle name="常规 4 2 3 2 5 4 4 2" xfId="31311"/>
    <cellStyle name="常规 4 2 3 2 5 4 5" xfId="21887"/>
    <cellStyle name="常规 4 2 3 2 5 5" xfId="3827"/>
    <cellStyle name="常规 4 2 3 2 5 5 2" xfId="13247"/>
    <cellStyle name="常规 4 2 3 2 5 5 2 2" xfId="32095"/>
    <cellStyle name="常规 4 2 3 2 5 5 3" xfId="22671"/>
    <cellStyle name="常规 4 2 3 2 5 6" xfId="6963"/>
    <cellStyle name="常规 4 2 3 2 5 6 2" xfId="16383"/>
    <cellStyle name="常规 4 2 3 2 5 6 2 2" xfId="35231"/>
    <cellStyle name="常规 4 2 3 2 5 6 3" xfId="25807"/>
    <cellStyle name="常规 4 2 3 2 5 7" xfId="10111"/>
    <cellStyle name="常规 4 2 3 2 5 7 2" xfId="28959"/>
    <cellStyle name="常规 4 2 3 2 5 8" xfId="19535"/>
    <cellStyle name="常规 4 2 3 2 6" xfId="1083"/>
    <cellStyle name="常规 4 2 3 2 6 2" xfId="4219"/>
    <cellStyle name="常规 4 2 3 2 6 2 2" xfId="13639"/>
    <cellStyle name="常规 4 2 3 2 6 2 2 2" xfId="32487"/>
    <cellStyle name="常规 4 2 3 2 6 2 3" xfId="23063"/>
    <cellStyle name="常规 4 2 3 2 6 3" xfId="7355"/>
    <cellStyle name="常规 4 2 3 2 6 3 2" xfId="16775"/>
    <cellStyle name="常规 4 2 3 2 6 3 2 2" xfId="35623"/>
    <cellStyle name="常规 4 2 3 2 6 3 3" xfId="26199"/>
    <cellStyle name="常规 4 2 3 2 6 4" xfId="10503"/>
    <cellStyle name="常规 4 2 3 2 6 4 2" xfId="29351"/>
    <cellStyle name="常规 4 2 3 2 6 5" xfId="19927"/>
    <cellStyle name="常规 4 2 3 2 7" xfId="1867"/>
    <cellStyle name="常规 4 2 3 2 7 2" xfId="5003"/>
    <cellStyle name="常规 4 2 3 2 7 2 2" xfId="14423"/>
    <cellStyle name="常规 4 2 3 2 7 2 2 2" xfId="33271"/>
    <cellStyle name="常规 4 2 3 2 7 2 3" xfId="23847"/>
    <cellStyle name="常规 4 2 3 2 7 3" xfId="8139"/>
    <cellStyle name="常规 4 2 3 2 7 3 2" xfId="17559"/>
    <cellStyle name="常规 4 2 3 2 7 3 2 2" xfId="36407"/>
    <cellStyle name="常规 4 2 3 2 7 3 3" xfId="26983"/>
    <cellStyle name="常规 4 2 3 2 7 4" xfId="11287"/>
    <cellStyle name="常规 4 2 3 2 7 4 2" xfId="30135"/>
    <cellStyle name="常规 4 2 3 2 7 5" xfId="20711"/>
    <cellStyle name="常规 4 2 3 2 8" xfId="2651"/>
    <cellStyle name="常规 4 2 3 2 8 2" xfId="5787"/>
    <cellStyle name="常规 4 2 3 2 8 2 2" xfId="15207"/>
    <cellStyle name="常规 4 2 3 2 8 2 2 2" xfId="34055"/>
    <cellStyle name="常规 4 2 3 2 8 2 3" xfId="24631"/>
    <cellStyle name="常规 4 2 3 2 8 3" xfId="8923"/>
    <cellStyle name="常规 4 2 3 2 8 3 2" xfId="18343"/>
    <cellStyle name="常规 4 2 3 2 8 3 2 2" xfId="37191"/>
    <cellStyle name="常规 4 2 3 2 8 3 3" xfId="27767"/>
    <cellStyle name="常规 4 2 3 2 8 4" xfId="12071"/>
    <cellStyle name="常规 4 2 3 2 8 4 2" xfId="30919"/>
    <cellStyle name="常规 4 2 3 2 8 5" xfId="21495"/>
    <cellStyle name="常规 4 2 3 2 9" xfId="3181"/>
    <cellStyle name="常规 4 2 3 2 9 2" xfId="12601"/>
    <cellStyle name="常规 4 2 3 2 9 2 2" xfId="31449"/>
    <cellStyle name="常规 4 2 3 2 9 3" xfId="22025"/>
    <cellStyle name="常规 4 2 3 3" xfId="303"/>
    <cellStyle name="常规 4 2 3 3 10" xfId="9726"/>
    <cellStyle name="常规 4 2 3 3 10 2" xfId="28571"/>
    <cellStyle name="常规 4 2 3 3 11" xfId="19149"/>
    <cellStyle name="常规 4 2 3 3 2" xfId="304"/>
    <cellStyle name="常规 4 2 3 3 2 10" xfId="19150"/>
    <cellStyle name="常规 4 2 3 3 2 2" xfId="305"/>
    <cellStyle name="常规 4 2 3 3 2 2 2" xfId="701"/>
    <cellStyle name="常规 4 2 3 3 2 2 2 2" xfId="1485"/>
    <cellStyle name="常规 4 2 3 3 2 2 2 2 2" xfId="4621"/>
    <cellStyle name="常规 4 2 3 3 2 2 2 2 2 2" xfId="14041"/>
    <cellStyle name="常规 4 2 3 3 2 2 2 2 2 2 2" xfId="32889"/>
    <cellStyle name="常规 4 2 3 3 2 2 2 2 2 3" xfId="23465"/>
    <cellStyle name="常规 4 2 3 3 2 2 2 2 3" xfId="7757"/>
    <cellStyle name="常规 4 2 3 3 2 2 2 2 3 2" xfId="17177"/>
    <cellStyle name="常规 4 2 3 3 2 2 2 2 3 2 2" xfId="36025"/>
    <cellStyle name="常规 4 2 3 3 2 2 2 2 3 3" xfId="26601"/>
    <cellStyle name="常规 4 2 3 3 2 2 2 2 4" xfId="10905"/>
    <cellStyle name="常规 4 2 3 3 2 2 2 2 4 2" xfId="29753"/>
    <cellStyle name="常规 4 2 3 3 2 2 2 2 5" xfId="20329"/>
    <cellStyle name="常规 4 2 3 3 2 2 2 3" xfId="2269"/>
    <cellStyle name="常规 4 2 3 3 2 2 2 3 2" xfId="5405"/>
    <cellStyle name="常规 4 2 3 3 2 2 2 3 2 2" xfId="14825"/>
    <cellStyle name="常规 4 2 3 3 2 2 2 3 2 2 2" xfId="33673"/>
    <cellStyle name="常规 4 2 3 3 2 2 2 3 2 3" xfId="24249"/>
    <cellStyle name="常规 4 2 3 3 2 2 2 3 3" xfId="8541"/>
    <cellStyle name="常规 4 2 3 3 2 2 2 3 3 2" xfId="17961"/>
    <cellStyle name="常规 4 2 3 3 2 2 2 3 3 2 2" xfId="36809"/>
    <cellStyle name="常规 4 2 3 3 2 2 2 3 3 3" xfId="27385"/>
    <cellStyle name="常规 4 2 3 3 2 2 2 3 4" xfId="11689"/>
    <cellStyle name="常规 4 2 3 3 2 2 2 3 4 2" xfId="30537"/>
    <cellStyle name="常规 4 2 3 3 2 2 2 3 5" xfId="21113"/>
    <cellStyle name="常规 4 2 3 3 2 2 2 4" xfId="3053"/>
    <cellStyle name="常规 4 2 3 3 2 2 2 4 2" xfId="6189"/>
    <cellStyle name="常规 4 2 3 3 2 2 2 4 2 2" xfId="15609"/>
    <cellStyle name="常规 4 2 3 3 2 2 2 4 2 2 2" xfId="34457"/>
    <cellStyle name="常规 4 2 3 3 2 2 2 4 2 3" xfId="25033"/>
    <cellStyle name="常规 4 2 3 3 2 2 2 4 3" xfId="9325"/>
    <cellStyle name="常规 4 2 3 3 2 2 2 4 3 2" xfId="18745"/>
    <cellStyle name="常规 4 2 3 3 2 2 2 4 3 2 2" xfId="37593"/>
    <cellStyle name="常规 4 2 3 3 2 2 2 4 3 3" xfId="28169"/>
    <cellStyle name="常规 4 2 3 3 2 2 2 4 4" xfId="12473"/>
    <cellStyle name="常规 4 2 3 3 2 2 2 4 4 2" xfId="31321"/>
    <cellStyle name="常规 4 2 3 3 2 2 2 4 5" xfId="21897"/>
    <cellStyle name="常规 4 2 3 3 2 2 2 5" xfId="3837"/>
    <cellStyle name="常规 4 2 3 3 2 2 2 5 2" xfId="13257"/>
    <cellStyle name="常规 4 2 3 3 2 2 2 5 2 2" xfId="32105"/>
    <cellStyle name="常规 4 2 3 3 2 2 2 5 3" xfId="22681"/>
    <cellStyle name="常规 4 2 3 3 2 2 2 6" xfId="6973"/>
    <cellStyle name="常规 4 2 3 3 2 2 2 6 2" xfId="16393"/>
    <cellStyle name="常规 4 2 3 3 2 2 2 6 2 2" xfId="35241"/>
    <cellStyle name="常规 4 2 3 3 2 2 2 6 3" xfId="25817"/>
    <cellStyle name="常规 4 2 3 3 2 2 2 7" xfId="10121"/>
    <cellStyle name="常规 4 2 3 3 2 2 2 7 2" xfId="28969"/>
    <cellStyle name="常规 4 2 3 3 2 2 2 8" xfId="19545"/>
    <cellStyle name="常规 4 2 3 3 2 2 3" xfId="1093"/>
    <cellStyle name="常规 4 2 3 3 2 2 3 2" xfId="4229"/>
    <cellStyle name="常规 4 2 3 3 2 2 3 2 2" xfId="13649"/>
    <cellStyle name="常规 4 2 3 3 2 2 3 2 2 2" xfId="32497"/>
    <cellStyle name="常规 4 2 3 3 2 2 3 2 3" xfId="23073"/>
    <cellStyle name="常规 4 2 3 3 2 2 3 3" xfId="7365"/>
    <cellStyle name="常规 4 2 3 3 2 2 3 3 2" xfId="16785"/>
    <cellStyle name="常规 4 2 3 3 2 2 3 3 2 2" xfId="35633"/>
    <cellStyle name="常规 4 2 3 3 2 2 3 3 3" xfId="26209"/>
    <cellStyle name="常规 4 2 3 3 2 2 3 4" xfId="10513"/>
    <cellStyle name="常规 4 2 3 3 2 2 3 4 2" xfId="29361"/>
    <cellStyle name="常规 4 2 3 3 2 2 3 5" xfId="19937"/>
    <cellStyle name="常规 4 2 3 3 2 2 4" xfId="1877"/>
    <cellStyle name="常规 4 2 3 3 2 2 4 2" xfId="5013"/>
    <cellStyle name="常规 4 2 3 3 2 2 4 2 2" xfId="14433"/>
    <cellStyle name="常规 4 2 3 3 2 2 4 2 2 2" xfId="33281"/>
    <cellStyle name="常规 4 2 3 3 2 2 4 2 3" xfId="23857"/>
    <cellStyle name="常规 4 2 3 3 2 2 4 3" xfId="8149"/>
    <cellStyle name="常规 4 2 3 3 2 2 4 3 2" xfId="17569"/>
    <cellStyle name="常规 4 2 3 3 2 2 4 3 2 2" xfId="36417"/>
    <cellStyle name="常规 4 2 3 3 2 2 4 3 3" xfId="26993"/>
    <cellStyle name="常规 4 2 3 3 2 2 4 4" xfId="11297"/>
    <cellStyle name="常规 4 2 3 3 2 2 4 4 2" xfId="30145"/>
    <cellStyle name="常规 4 2 3 3 2 2 4 5" xfId="20721"/>
    <cellStyle name="常规 4 2 3 3 2 2 5" xfId="2661"/>
    <cellStyle name="常规 4 2 3 3 2 2 5 2" xfId="5797"/>
    <cellStyle name="常规 4 2 3 3 2 2 5 2 2" xfId="15217"/>
    <cellStyle name="常规 4 2 3 3 2 2 5 2 2 2" xfId="34065"/>
    <cellStyle name="常规 4 2 3 3 2 2 5 2 3" xfId="24641"/>
    <cellStyle name="常规 4 2 3 3 2 2 5 3" xfId="8933"/>
    <cellStyle name="常规 4 2 3 3 2 2 5 3 2" xfId="18353"/>
    <cellStyle name="常规 4 2 3 3 2 2 5 3 2 2" xfId="37201"/>
    <cellStyle name="常规 4 2 3 3 2 2 5 3 3" xfId="27777"/>
    <cellStyle name="常规 4 2 3 3 2 2 5 4" xfId="12081"/>
    <cellStyle name="常规 4 2 3 3 2 2 5 4 2" xfId="30929"/>
    <cellStyle name="常规 4 2 3 3 2 2 5 5" xfId="21505"/>
    <cellStyle name="常规 4 2 3 3 2 2 6" xfId="3464"/>
    <cellStyle name="常规 4 2 3 3 2 2 6 2" xfId="12884"/>
    <cellStyle name="常规 4 2 3 3 2 2 6 2 2" xfId="31732"/>
    <cellStyle name="常规 4 2 3 3 2 2 6 3" xfId="22308"/>
    <cellStyle name="常规 4 2 3 3 2 2 7" xfId="6581"/>
    <cellStyle name="常规 4 2 3 3 2 2 7 2" xfId="16001"/>
    <cellStyle name="常规 4 2 3 3 2 2 7 2 2" xfId="34849"/>
    <cellStyle name="常规 4 2 3 3 2 2 7 3" xfId="25425"/>
    <cellStyle name="常规 4 2 3 3 2 2 8" xfId="9728"/>
    <cellStyle name="常规 4 2 3 3 2 2 8 2" xfId="28573"/>
    <cellStyle name="常规 4 2 3 3 2 2 9" xfId="19151"/>
    <cellStyle name="常规 4 2 3 3 2 3" xfId="700"/>
    <cellStyle name="常规 4 2 3 3 2 3 2" xfId="1484"/>
    <cellStyle name="常规 4 2 3 3 2 3 2 2" xfId="4620"/>
    <cellStyle name="常规 4 2 3 3 2 3 2 2 2" xfId="14040"/>
    <cellStyle name="常规 4 2 3 3 2 3 2 2 2 2" xfId="32888"/>
    <cellStyle name="常规 4 2 3 3 2 3 2 2 3" xfId="23464"/>
    <cellStyle name="常规 4 2 3 3 2 3 2 3" xfId="7756"/>
    <cellStyle name="常规 4 2 3 3 2 3 2 3 2" xfId="17176"/>
    <cellStyle name="常规 4 2 3 3 2 3 2 3 2 2" xfId="36024"/>
    <cellStyle name="常规 4 2 3 3 2 3 2 3 3" xfId="26600"/>
    <cellStyle name="常规 4 2 3 3 2 3 2 4" xfId="10904"/>
    <cellStyle name="常规 4 2 3 3 2 3 2 4 2" xfId="29752"/>
    <cellStyle name="常规 4 2 3 3 2 3 2 5" xfId="20328"/>
    <cellStyle name="常规 4 2 3 3 2 3 3" xfId="2268"/>
    <cellStyle name="常规 4 2 3 3 2 3 3 2" xfId="5404"/>
    <cellStyle name="常规 4 2 3 3 2 3 3 2 2" xfId="14824"/>
    <cellStyle name="常规 4 2 3 3 2 3 3 2 2 2" xfId="33672"/>
    <cellStyle name="常规 4 2 3 3 2 3 3 2 3" xfId="24248"/>
    <cellStyle name="常规 4 2 3 3 2 3 3 3" xfId="8540"/>
    <cellStyle name="常规 4 2 3 3 2 3 3 3 2" xfId="17960"/>
    <cellStyle name="常规 4 2 3 3 2 3 3 3 2 2" xfId="36808"/>
    <cellStyle name="常规 4 2 3 3 2 3 3 3 3" xfId="27384"/>
    <cellStyle name="常规 4 2 3 3 2 3 3 4" xfId="11688"/>
    <cellStyle name="常规 4 2 3 3 2 3 3 4 2" xfId="30536"/>
    <cellStyle name="常规 4 2 3 3 2 3 3 5" xfId="21112"/>
    <cellStyle name="常规 4 2 3 3 2 3 4" xfId="3052"/>
    <cellStyle name="常规 4 2 3 3 2 3 4 2" xfId="6188"/>
    <cellStyle name="常规 4 2 3 3 2 3 4 2 2" xfId="15608"/>
    <cellStyle name="常规 4 2 3 3 2 3 4 2 2 2" xfId="34456"/>
    <cellStyle name="常规 4 2 3 3 2 3 4 2 3" xfId="25032"/>
    <cellStyle name="常规 4 2 3 3 2 3 4 3" xfId="9324"/>
    <cellStyle name="常规 4 2 3 3 2 3 4 3 2" xfId="18744"/>
    <cellStyle name="常规 4 2 3 3 2 3 4 3 2 2" xfId="37592"/>
    <cellStyle name="常规 4 2 3 3 2 3 4 3 3" xfId="28168"/>
    <cellStyle name="常规 4 2 3 3 2 3 4 4" xfId="12472"/>
    <cellStyle name="常规 4 2 3 3 2 3 4 4 2" xfId="31320"/>
    <cellStyle name="常规 4 2 3 3 2 3 4 5" xfId="21896"/>
    <cellStyle name="常规 4 2 3 3 2 3 5" xfId="3836"/>
    <cellStyle name="常规 4 2 3 3 2 3 5 2" xfId="13256"/>
    <cellStyle name="常规 4 2 3 3 2 3 5 2 2" xfId="32104"/>
    <cellStyle name="常规 4 2 3 3 2 3 5 3" xfId="22680"/>
    <cellStyle name="常规 4 2 3 3 2 3 6" xfId="6972"/>
    <cellStyle name="常规 4 2 3 3 2 3 6 2" xfId="16392"/>
    <cellStyle name="常规 4 2 3 3 2 3 6 2 2" xfId="35240"/>
    <cellStyle name="常规 4 2 3 3 2 3 6 3" xfId="25816"/>
    <cellStyle name="常规 4 2 3 3 2 3 7" xfId="10120"/>
    <cellStyle name="常规 4 2 3 3 2 3 7 2" xfId="28968"/>
    <cellStyle name="常规 4 2 3 3 2 3 8" xfId="19544"/>
    <cellStyle name="常规 4 2 3 3 2 4" xfId="1092"/>
    <cellStyle name="常规 4 2 3 3 2 4 2" xfId="4228"/>
    <cellStyle name="常规 4 2 3 3 2 4 2 2" xfId="13648"/>
    <cellStyle name="常规 4 2 3 3 2 4 2 2 2" xfId="32496"/>
    <cellStyle name="常规 4 2 3 3 2 4 2 3" xfId="23072"/>
    <cellStyle name="常规 4 2 3 3 2 4 3" xfId="7364"/>
    <cellStyle name="常规 4 2 3 3 2 4 3 2" xfId="16784"/>
    <cellStyle name="常规 4 2 3 3 2 4 3 2 2" xfId="35632"/>
    <cellStyle name="常规 4 2 3 3 2 4 3 3" xfId="26208"/>
    <cellStyle name="常规 4 2 3 3 2 4 4" xfId="10512"/>
    <cellStyle name="常规 4 2 3 3 2 4 4 2" xfId="29360"/>
    <cellStyle name="常规 4 2 3 3 2 4 5" xfId="19936"/>
    <cellStyle name="常规 4 2 3 3 2 5" xfId="1876"/>
    <cellStyle name="常规 4 2 3 3 2 5 2" xfId="5012"/>
    <cellStyle name="常规 4 2 3 3 2 5 2 2" xfId="14432"/>
    <cellStyle name="常规 4 2 3 3 2 5 2 2 2" xfId="33280"/>
    <cellStyle name="常规 4 2 3 3 2 5 2 3" xfId="23856"/>
    <cellStyle name="常规 4 2 3 3 2 5 3" xfId="8148"/>
    <cellStyle name="常规 4 2 3 3 2 5 3 2" xfId="17568"/>
    <cellStyle name="常规 4 2 3 3 2 5 3 2 2" xfId="36416"/>
    <cellStyle name="常规 4 2 3 3 2 5 3 3" xfId="26992"/>
    <cellStyle name="常规 4 2 3 3 2 5 4" xfId="11296"/>
    <cellStyle name="常规 4 2 3 3 2 5 4 2" xfId="30144"/>
    <cellStyle name="常规 4 2 3 3 2 5 5" xfId="20720"/>
    <cellStyle name="常规 4 2 3 3 2 6" xfId="2660"/>
    <cellStyle name="常规 4 2 3 3 2 6 2" xfId="5796"/>
    <cellStyle name="常规 4 2 3 3 2 6 2 2" xfId="15216"/>
    <cellStyle name="常规 4 2 3 3 2 6 2 2 2" xfId="34064"/>
    <cellStyle name="常规 4 2 3 3 2 6 2 3" xfId="24640"/>
    <cellStyle name="常规 4 2 3 3 2 6 3" xfId="8932"/>
    <cellStyle name="常规 4 2 3 3 2 6 3 2" xfId="18352"/>
    <cellStyle name="常规 4 2 3 3 2 6 3 2 2" xfId="37200"/>
    <cellStyle name="常规 4 2 3 3 2 6 3 3" xfId="27776"/>
    <cellStyle name="常规 4 2 3 3 2 6 4" xfId="12080"/>
    <cellStyle name="常规 4 2 3 3 2 6 4 2" xfId="30928"/>
    <cellStyle name="常规 4 2 3 3 2 6 5" xfId="21504"/>
    <cellStyle name="常规 4 2 3 3 2 7" xfId="3463"/>
    <cellStyle name="常规 4 2 3 3 2 7 2" xfId="12883"/>
    <cellStyle name="常规 4 2 3 3 2 7 2 2" xfId="31731"/>
    <cellStyle name="常规 4 2 3 3 2 7 3" xfId="22307"/>
    <cellStyle name="常规 4 2 3 3 2 8" xfId="6580"/>
    <cellStyle name="常规 4 2 3 3 2 8 2" xfId="16000"/>
    <cellStyle name="常规 4 2 3 3 2 8 2 2" xfId="34848"/>
    <cellStyle name="常规 4 2 3 3 2 8 3" xfId="25424"/>
    <cellStyle name="常规 4 2 3 3 2 9" xfId="9727"/>
    <cellStyle name="常规 4 2 3 3 2 9 2" xfId="28572"/>
    <cellStyle name="常规 4 2 3 3 3" xfId="306"/>
    <cellStyle name="常规 4 2 3 3 3 2" xfId="702"/>
    <cellStyle name="常规 4 2 3 3 3 2 2" xfId="1486"/>
    <cellStyle name="常规 4 2 3 3 3 2 2 2" xfId="4622"/>
    <cellStyle name="常规 4 2 3 3 3 2 2 2 2" xfId="14042"/>
    <cellStyle name="常规 4 2 3 3 3 2 2 2 2 2" xfId="32890"/>
    <cellStyle name="常规 4 2 3 3 3 2 2 2 3" xfId="23466"/>
    <cellStyle name="常规 4 2 3 3 3 2 2 3" xfId="7758"/>
    <cellStyle name="常规 4 2 3 3 3 2 2 3 2" xfId="17178"/>
    <cellStyle name="常规 4 2 3 3 3 2 2 3 2 2" xfId="36026"/>
    <cellStyle name="常规 4 2 3 3 3 2 2 3 3" xfId="26602"/>
    <cellStyle name="常规 4 2 3 3 3 2 2 4" xfId="10906"/>
    <cellStyle name="常规 4 2 3 3 3 2 2 4 2" xfId="29754"/>
    <cellStyle name="常规 4 2 3 3 3 2 2 5" xfId="20330"/>
    <cellStyle name="常规 4 2 3 3 3 2 3" xfId="2270"/>
    <cellStyle name="常规 4 2 3 3 3 2 3 2" xfId="5406"/>
    <cellStyle name="常规 4 2 3 3 3 2 3 2 2" xfId="14826"/>
    <cellStyle name="常规 4 2 3 3 3 2 3 2 2 2" xfId="33674"/>
    <cellStyle name="常规 4 2 3 3 3 2 3 2 3" xfId="24250"/>
    <cellStyle name="常规 4 2 3 3 3 2 3 3" xfId="8542"/>
    <cellStyle name="常规 4 2 3 3 3 2 3 3 2" xfId="17962"/>
    <cellStyle name="常规 4 2 3 3 3 2 3 3 2 2" xfId="36810"/>
    <cellStyle name="常规 4 2 3 3 3 2 3 3 3" xfId="27386"/>
    <cellStyle name="常规 4 2 3 3 3 2 3 4" xfId="11690"/>
    <cellStyle name="常规 4 2 3 3 3 2 3 4 2" xfId="30538"/>
    <cellStyle name="常规 4 2 3 3 3 2 3 5" xfId="21114"/>
    <cellStyle name="常规 4 2 3 3 3 2 4" xfId="3054"/>
    <cellStyle name="常规 4 2 3 3 3 2 4 2" xfId="6190"/>
    <cellStyle name="常规 4 2 3 3 3 2 4 2 2" xfId="15610"/>
    <cellStyle name="常规 4 2 3 3 3 2 4 2 2 2" xfId="34458"/>
    <cellStyle name="常规 4 2 3 3 3 2 4 2 3" xfId="25034"/>
    <cellStyle name="常规 4 2 3 3 3 2 4 3" xfId="9326"/>
    <cellStyle name="常规 4 2 3 3 3 2 4 3 2" xfId="18746"/>
    <cellStyle name="常规 4 2 3 3 3 2 4 3 2 2" xfId="37594"/>
    <cellStyle name="常规 4 2 3 3 3 2 4 3 3" xfId="28170"/>
    <cellStyle name="常规 4 2 3 3 3 2 4 4" xfId="12474"/>
    <cellStyle name="常规 4 2 3 3 3 2 4 4 2" xfId="31322"/>
    <cellStyle name="常规 4 2 3 3 3 2 4 5" xfId="21898"/>
    <cellStyle name="常规 4 2 3 3 3 2 5" xfId="3838"/>
    <cellStyle name="常规 4 2 3 3 3 2 5 2" xfId="13258"/>
    <cellStyle name="常规 4 2 3 3 3 2 5 2 2" xfId="32106"/>
    <cellStyle name="常规 4 2 3 3 3 2 5 3" xfId="22682"/>
    <cellStyle name="常规 4 2 3 3 3 2 6" xfId="6974"/>
    <cellStyle name="常规 4 2 3 3 3 2 6 2" xfId="16394"/>
    <cellStyle name="常规 4 2 3 3 3 2 6 2 2" xfId="35242"/>
    <cellStyle name="常规 4 2 3 3 3 2 6 3" xfId="25818"/>
    <cellStyle name="常规 4 2 3 3 3 2 7" xfId="10122"/>
    <cellStyle name="常规 4 2 3 3 3 2 7 2" xfId="28970"/>
    <cellStyle name="常规 4 2 3 3 3 2 8" xfId="19546"/>
    <cellStyle name="常规 4 2 3 3 3 3" xfId="1094"/>
    <cellStyle name="常规 4 2 3 3 3 3 2" xfId="4230"/>
    <cellStyle name="常规 4 2 3 3 3 3 2 2" xfId="13650"/>
    <cellStyle name="常规 4 2 3 3 3 3 2 2 2" xfId="32498"/>
    <cellStyle name="常规 4 2 3 3 3 3 2 3" xfId="23074"/>
    <cellStyle name="常规 4 2 3 3 3 3 3" xfId="7366"/>
    <cellStyle name="常规 4 2 3 3 3 3 3 2" xfId="16786"/>
    <cellStyle name="常规 4 2 3 3 3 3 3 2 2" xfId="35634"/>
    <cellStyle name="常规 4 2 3 3 3 3 3 3" xfId="26210"/>
    <cellStyle name="常规 4 2 3 3 3 3 4" xfId="10514"/>
    <cellStyle name="常规 4 2 3 3 3 3 4 2" xfId="29362"/>
    <cellStyle name="常规 4 2 3 3 3 3 5" xfId="19938"/>
    <cellStyle name="常规 4 2 3 3 3 4" xfId="1878"/>
    <cellStyle name="常规 4 2 3 3 3 4 2" xfId="5014"/>
    <cellStyle name="常规 4 2 3 3 3 4 2 2" xfId="14434"/>
    <cellStyle name="常规 4 2 3 3 3 4 2 2 2" xfId="33282"/>
    <cellStyle name="常规 4 2 3 3 3 4 2 3" xfId="23858"/>
    <cellStyle name="常规 4 2 3 3 3 4 3" xfId="8150"/>
    <cellStyle name="常规 4 2 3 3 3 4 3 2" xfId="17570"/>
    <cellStyle name="常规 4 2 3 3 3 4 3 2 2" xfId="36418"/>
    <cellStyle name="常规 4 2 3 3 3 4 3 3" xfId="26994"/>
    <cellStyle name="常规 4 2 3 3 3 4 4" xfId="11298"/>
    <cellStyle name="常规 4 2 3 3 3 4 4 2" xfId="30146"/>
    <cellStyle name="常规 4 2 3 3 3 4 5" xfId="20722"/>
    <cellStyle name="常规 4 2 3 3 3 5" xfId="2662"/>
    <cellStyle name="常规 4 2 3 3 3 5 2" xfId="5798"/>
    <cellStyle name="常规 4 2 3 3 3 5 2 2" xfId="15218"/>
    <cellStyle name="常规 4 2 3 3 3 5 2 2 2" xfId="34066"/>
    <cellStyle name="常规 4 2 3 3 3 5 2 3" xfId="24642"/>
    <cellStyle name="常规 4 2 3 3 3 5 3" xfId="8934"/>
    <cellStyle name="常规 4 2 3 3 3 5 3 2" xfId="18354"/>
    <cellStyle name="常规 4 2 3 3 3 5 3 2 2" xfId="37202"/>
    <cellStyle name="常规 4 2 3 3 3 5 3 3" xfId="27778"/>
    <cellStyle name="常规 4 2 3 3 3 5 4" xfId="12082"/>
    <cellStyle name="常规 4 2 3 3 3 5 4 2" xfId="30930"/>
    <cellStyle name="常规 4 2 3 3 3 5 5" xfId="21506"/>
    <cellStyle name="常规 4 2 3 3 3 6" xfId="3465"/>
    <cellStyle name="常规 4 2 3 3 3 6 2" xfId="12885"/>
    <cellStyle name="常规 4 2 3 3 3 6 2 2" xfId="31733"/>
    <cellStyle name="常规 4 2 3 3 3 6 3" xfId="22309"/>
    <cellStyle name="常规 4 2 3 3 3 7" xfId="6582"/>
    <cellStyle name="常规 4 2 3 3 3 7 2" xfId="16002"/>
    <cellStyle name="常规 4 2 3 3 3 7 2 2" xfId="34850"/>
    <cellStyle name="常规 4 2 3 3 3 7 3" xfId="25426"/>
    <cellStyle name="常规 4 2 3 3 3 8" xfId="9729"/>
    <cellStyle name="常规 4 2 3 3 3 8 2" xfId="28574"/>
    <cellStyle name="常规 4 2 3 3 3 9" xfId="19152"/>
    <cellStyle name="常规 4 2 3 3 4" xfId="699"/>
    <cellStyle name="常规 4 2 3 3 4 2" xfId="1483"/>
    <cellStyle name="常规 4 2 3 3 4 2 2" xfId="4619"/>
    <cellStyle name="常规 4 2 3 3 4 2 2 2" xfId="14039"/>
    <cellStyle name="常规 4 2 3 3 4 2 2 2 2" xfId="32887"/>
    <cellStyle name="常规 4 2 3 3 4 2 2 3" xfId="23463"/>
    <cellStyle name="常规 4 2 3 3 4 2 3" xfId="7755"/>
    <cellStyle name="常规 4 2 3 3 4 2 3 2" xfId="17175"/>
    <cellStyle name="常规 4 2 3 3 4 2 3 2 2" xfId="36023"/>
    <cellStyle name="常规 4 2 3 3 4 2 3 3" xfId="26599"/>
    <cellStyle name="常规 4 2 3 3 4 2 4" xfId="10903"/>
    <cellStyle name="常规 4 2 3 3 4 2 4 2" xfId="29751"/>
    <cellStyle name="常规 4 2 3 3 4 2 5" xfId="20327"/>
    <cellStyle name="常规 4 2 3 3 4 3" xfId="2267"/>
    <cellStyle name="常规 4 2 3 3 4 3 2" xfId="5403"/>
    <cellStyle name="常规 4 2 3 3 4 3 2 2" xfId="14823"/>
    <cellStyle name="常规 4 2 3 3 4 3 2 2 2" xfId="33671"/>
    <cellStyle name="常规 4 2 3 3 4 3 2 3" xfId="24247"/>
    <cellStyle name="常规 4 2 3 3 4 3 3" xfId="8539"/>
    <cellStyle name="常规 4 2 3 3 4 3 3 2" xfId="17959"/>
    <cellStyle name="常规 4 2 3 3 4 3 3 2 2" xfId="36807"/>
    <cellStyle name="常规 4 2 3 3 4 3 3 3" xfId="27383"/>
    <cellStyle name="常规 4 2 3 3 4 3 4" xfId="11687"/>
    <cellStyle name="常规 4 2 3 3 4 3 4 2" xfId="30535"/>
    <cellStyle name="常规 4 2 3 3 4 3 5" xfId="21111"/>
    <cellStyle name="常规 4 2 3 3 4 4" xfId="3051"/>
    <cellStyle name="常规 4 2 3 3 4 4 2" xfId="6187"/>
    <cellStyle name="常规 4 2 3 3 4 4 2 2" xfId="15607"/>
    <cellStyle name="常规 4 2 3 3 4 4 2 2 2" xfId="34455"/>
    <cellStyle name="常规 4 2 3 3 4 4 2 3" xfId="25031"/>
    <cellStyle name="常规 4 2 3 3 4 4 3" xfId="9323"/>
    <cellStyle name="常规 4 2 3 3 4 4 3 2" xfId="18743"/>
    <cellStyle name="常规 4 2 3 3 4 4 3 2 2" xfId="37591"/>
    <cellStyle name="常规 4 2 3 3 4 4 3 3" xfId="28167"/>
    <cellStyle name="常规 4 2 3 3 4 4 4" xfId="12471"/>
    <cellStyle name="常规 4 2 3 3 4 4 4 2" xfId="31319"/>
    <cellStyle name="常规 4 2 3 3 4 4 5" xfId="21895"/>
    <cellStyle name="常规 4 2 3 3 4 5" xfId="3835"/>
    <cellStyle name="常规 4 2 3 3 4 5 2" xfId="13255"/>
    <cellStyle name="常规 4 2 3 3 4 5 2 2" xfId="32103"/>
    <cellStyle name="常规 4 2 3 3 4 5 3" xfId="22679"/>
    <cellStyle name="常规 4 2 3 3 4 6" xfId="6971"/>
    <cellStyle name="常规 4 2 3 3 4 6 2" xfId="16391"/>
    <cellStyle name="常规 4 2 3 3 4 6 2 2" xfId="35239"/>
    <cellStyle name="常规 4 2 3 3 4 6 3" xfId="25815"/>
    <cellStyle name="常规 4 2 3 3 4 7" xfId="10119"/>
    <cellStyle name="常规 4 2 3 3 4 7 2" xfId="28967"/>
    <cellStyle name="常规 4 2 3 3 4 8" xfId="19543"/>
    <cellStyle name="常规 4 2 3 3 5" xfId="1091"/>
    <cellStyle name="常规 4 2 3 3 5 2" xfId="4227"/>
    <cellStyle name="常规 4 2 3 3 5 2 2" xfId="13647"/>
    <cellStyle name="常规 4 2 3 3 5 2 2 2" xfId="32495"/>
    <cellStyle name="常规 4 2 3 3 5 2 3" xfId="23071"/>
    <cellStyle name="常规 4 2 3 3 5 3" xfId="7363"/>
    <cellStyle name="常规 4 2 3 3 5 3 2" xfId="16783"/>
    <cellStyle name="常规 4 2 3 3 5 3 2 2" xfId="35631"/>
    <cellStyle name="常规 4 2 3 3 5 3 3" xfId="26207"/>
    <cellStyle name="常规 4 2 3 3 5 4" xfId="10511"/>
    <cellStyle name="常规 4 2 3 3 5 4 2" xfId="29359"/>
    <cellStyle name="常规 4 2 3 3 5 5" xfId="19935"/>
    <cellStyle name="常规 4 2 3 3 6" xfId="1875"/>
    <cellStyle name="常规 4 2 3 3 6 2" xfId="5011"/>
    <cellStyle name="常规 4 2 3 3 6 2 2" xfId="14431"/>
    <cellStyle name="常规 4 2 3 3 6 2 2 2" xfId="33279"/>
    <cellStyle name="常规 4 2 3 3 6 2 3" xfId="23855"/>
    <cellStyle name="常规 4 2 3 3 6 3" xfId="8147"/>
    <cellStyle name="常规 4 2 3 3 6 3 2" xfId="17567"/>
    <cellStyle name="常规 4 2 3 3 6 3 2 2" xfId="36415"/>
    <cellStyle name="常规 4 2 3 3 6 3 3" xfId="26991"/>
    <cellStyle name="常规 4 2 3 3 6 4" xfId="11295"/>
    <cellStyle name="常规 4 2 3 3 6 4 2" xfId="30143"/>
    <cellStyle name="常规 4 2 3 3 6 5" xfId="20719"/>
    <cellStyle name="常规 4 2 3 3 7" xfId="2659"/>
    <cellStyle name="常规 4 2 3 3 7 2" xfId="5795"/>
    <cellStyle name="常规 4 2 3 3 7 2 2" xfId="15215"/>
    <cellStyle name="常规 4 2 3 3 7 2 2 2" xfId="34063"/>
    <cellStyle name="常规 4 2 3 3 7 2 3" xfId="24639"/>
    <cellStyle name="常规 4 2 3 3 7 3" xfId="8931"/>
    <cellStyle name="常规 4 2 3 3 7 3 2" xfId="18351"/>
    <cellStyle name="常规 4 2 3 3 7 3 2 2" xfId="37199"/>
    <cellStyle name="常规 4 2 3 3 7 3 3" xfId="27775"/>
    <cellStyle name="常规 4 2 3 3 7 4" xfId="12079"/>
    <cellStyle name="常规 4 2 3 3 7 4 2" xfId="30927"/>
    <cellStyle name="常规 4 2 3 3 7 5" xfId="21503"/>
    <cellStyle name="常规 4 2 3 3 8" xfId="3229"/>
    <cellStyle name="常规 4 2 3 3 8 2" xfId="12649"/>
    <cellStyle name="常规 4 2 3 3 8 2 2" xfId="31497"/>
    <cellStyle name="常规 4 2 3 3 8 3" xfId="22073"/>
    <cellStyle name="常规 4 2 3 3 9" xfId="6579"/>
    <cellStyle name="常规 4 2 3 3 9 2" xfId="15999"/>
    <cellStyle name="常规 4 2 3 3 9 2 2" xfId="34847"/>
    <cellStyle name="常规 4 2 3 3 9 3" xfId="25423"/>
    <cellStyle name="常规 4 2 3 4" xfId="307"/>
    <cellStyle name="常规 4 2 3 4 10" xfId="19153"/>
    <cellStyle name="常规 4 2 3 4 2" xfId="308"/>
    <cellStyle name="常规 4 2 3 4 2 2" xfId="704"/>
    <cellStyle name="常规 4 2 3 4 2 2 2" xfId="1488"/>
    <cellStyle name="常规 4 2 3 4 2 2 2 2" xfId="4624"/>
    <cellStyle name="常规 4 2 3 4 2 2 2 2 2" xfId="14044"/>
    <cellStyle name="常规 4 2 3 4 2 2 2 2 2 2" xfId="32892"/>
    <cellStyle name="常规 4 2 3 4 2 2 2 2 3" xfId="23468"/>
    <cellStyle name="常规 4 2 3 4 2 2 2 3" xfId="7760"/>
    <cellStyle name="常规 4 2 3 4 2 2 2 3 2" xfId="17180"/>
    <cellStyle name="常规 4 2 3 4 2 2 2 3 2 2" xfId="36028"/>
    <cellStyle name="常规 4 2 3 4 2 2 2 3 3" xfId="26604"/>
    <cellStyle name="常规 4 2 3 4 2 2 2 4" xfId="10908"/>
    <cellStyle name="常规 4 2 3 4 2 2 2 4 2" xfId="29756"/>
    <cellStyle name="常规 4 2 3 4 2 2 2 5" xfId="20332"/>
    <cellStyle name="常规 4 2 3 4 2 2 3" xfId="2272"/>
    <cellStyle name="常规 4 2 3 4 2 2 3 2" xfId="5408"/>
    <cellStyle name="常规 4 2 3 4 2 2 3 2 2" xfId="14828"/>
    <cellStyle name="常规 4 2 3 4 2 2 3 2 2 2" xfId="33676"/>
    <cellStyle name="常规 4 2 3 4 2 2 3 2 3" xfId="24252"/>
    <cellStyle name="常规 4 2 3 4 2 2 3 3" xfId="8544"/>
    <cellStyle name="常规 4 2 3 4 2 2 3 3 2" xfId="17964"/>
    <cellStyle name="常规 4 2 3 4 2 2 3 3 2 2" xfId="36812"/>
    <cellStyle name="常规 4 2 3 4 2 2 3 3 3" xfId="27388"/>
    <cellStyle name="常规 4 2 3 4 2 2 3 4" xfId="11692"/>
    <cellStyle name="常规 4 2 3 4 2 2 3 4 2" xfId="30540"/>
    <cellStyle name="常规 4 2 3 4 2 2 3 5" xfId="21116"/>
    <cellStyle name="常规 4 2 3 4 2 2 4" xfId="3056"/>
    <cellStyle name="常规 4 2 3 4 2 2 4 2" xfId="6192"/>
    <cellStyle name="常规 4 2 3 4 2 2 4 2 2" xfId="15612"/>
    <cellStyle name="常规 4 2 3 4 2 2 4 2 2 2" xfId="34460"/>
    <cellStyle name="常规 4 2 3 4 2 2 4 2 3" xfId="25036"/>
    <cellStyle name="常规 4 2 3 4 2 2 4 3" xfId="9328"/>
    <cellStyle name="常规 4 2 3 4 2 2 4 3 2" xfId="18748"/>
    <cellStyle name="常规 4 2 3 4 2 2 4 3 2 2" xfId="37596"/>
    <cellStyle name="常规 4 2 3 4 2 2 4 3 3" xfId="28172"/>
    <cellStyle name="常规 4 2 3 4 2 2 4 4" xfId="12476"/>
    <cellStyle name="常规 4 2 3 4 2 2 4 4 2" xfId="31324"/>
    <cellStyle name="常规 4 2 3 4 2 2 4 5" xfId="21900"/>
    <cellStyle name="常规 4 2 3 4 2 2 5" xfId="3840"/>
    <cellStyle name="常规 4 2 3 4 2 2 5 2" xfId="13260"/>
    <cellStyle name="常规 4 2 3 4 2 2 5 2 2" xfId="32108"/>
    <cellStyle name="常规 4 2 3 4 2 2 5 3" xfId="22684"/>
    <cellStyle name="常规 4 2 3 4 2 2 6" xfId="6976"/>
    <cellStyle name="常规 4 2 3 4 2 2 6 2" xfId="16396"/>
    <cellStyle name="常规 4 2 3 4 2 2 6 2 2" xfId="35244"/>
    <cellStyle name="常规 4 2 3 4 2 2 6 3" xfId="25820"/>
    <cellStyle name="常规 4 2 3 4 2 2 7" xfId="10124"/>
    <cellStyle name="常规 4 2 3 4 2 2 7 2" xfId="28972"/>
    <cellStyle name="常规 4 2 3 4 2 2 8" xfId="19548"/>
    <cellStyle name="常规 4 2 3 4 2 3" xfId="1096"/>
    <cellStyle name="常规 4 2 3 4 2 3 2" xfId="4232"/>
    <cellStyle name="常规 4 2 3 4 2 3 2 2" xfId="13652"/>
    <cellStyle name="常规 4 2 3 4 2 3 2 2 2" xfId="32500"/>
    <cellStyle name="常规 4 2 3 4 2 3 2 3" xfId="23076"/>
    <cellStyle name="常规 4 2 3 4 2 3 3" xfId="7368"/>
    <cellStyle name="常规 4 2 3 4 2 3 3 2" xfId="16788"/>
    <cellStyle name="常规 4 2 3 4 2 3 3 2 2" xfId="35636"/>
    <cellStyle name="常规 4 2 3 4 2 3 3 3" xfId="26212"/>
    <cellStyle name="常规 4 2 3 4 2 3 4" xfId="10516"/>
    <cellStyle name="常规 4 2 3 4 2 3 4 2" xfId="29364"/>
    <cellStyle name="常规 4 2 3 4 2 3 5" xfId="19940"/>
    <cellStyle name="常规 4 2 3 4 2 4" xfId="1880"/>
    <cellStyle name="常规 4 2 3 4 2 4 2" xfId="5016"/>
    <cellStyle name="常规 4 2 3 4 2 4 2 2" xfId="14436"/>
    <cellStyle name="常规 4 2 3 4 2 4 2 2 2" xfId="33284"/>
    <cellStyle name="常规 4 2 3 4 2 4 2 3" xfId="23860"/>
    <cellStyle name="常规 4 2 3 4 2 4 3" xfId="8152"/>
    <cellStyle name="常规 4 2 3 4 2 4 3 2" xfId="17572"/>
    <cellStyle name="常规 4 2 3 4 2 4 3 2 2" xfId="36420"/>
    <cellStyle name="常规 4 2 3 4 2 4 3 3" xfId="26996"/>
    <cellStyle name="常规 4 2 3 4 2 4 4" xfId="11300"/>
    <cellStyle name="常规 4 2 3 4 2 4 4 2" xfId="30148"/>
    <cellStyle name="常规 4 2 3 4 2 4 5" xfId="20724"/>
    <cellStyle name="常规 4 2 3 4 2 5" xfId="2664"/>
    <cellStyle name="常规 4 2 3 4 2 5 2" xfId="5800"/>
    <cellStyle name="常规 4 2 3 4 2 5 2 2" xfId="15220"/>
    <cellStyle name="常规 4 2 3 4 2 5 2 2 2" xfId="34068"/>
    <cellStyle name="常规 4 2 3 4 2 5 2 3" xfId="24644"/>
    <cellStyle name="常规 4 2 3 4 2 5 3" xfId="8936"/>
    <cellStyle name="常规 4 2 3 4 2 5 3 2" xfId="18356"/>
    <cellStyle name="常规 4 2 3 4 2 5 3 2 2" xfId="37204"/>
    <cellStyle name="常规 4 2 3 4 2 5 3 3" xfId="27780"/>
    <cellStyle name="常规 4 2 3 4 2 5 4" xfId="12084"/>
    <cellStyle name="常规 4 2 3 4 2 5 4 2" xfId="30932"/>
    <cellStyle name="常规 4 2 3 4 2 5 5" xfId="21508"/>
    <cellStyle name="常规 4 2 3 4 2 6" xfId="3467"/>
    <cellStyle name="常规 4 2 3 4 2 6 2" xfId="12887"/>
    <cellStyle name="常规 4 2 3 4 2 6 2 2" xfId="31735"/>
    <cellStyle name="常规 4 2 3 4 2 6 3" xfId="22311"/>
    <cellStyle name="常规 4 2 3 4 2 7" xfId="6584"/>
    <cellStyle name="常规 4 2 3 4 2 7 2" xfId="16004"/>
    <cellStyle name="常规 4 2 3 4 2 7 2 2" xfId="34852"/>
    <cellStyle name="常规 4 2 3 4 2 7 3" xfId="25428"/>
    <cellStyle name="常规 4 2 3 4 2 8" xfId="9731"/>
    <cellStyle name="常规 4 2 3 4 2 8 2" xfId="28576"/>
    <cellStyle name="常规 4 2 3 4 2 9" xfId="19154"/>
    <cellStyle name="常规 4 2 3 4 3" xfId="703"/>
    <cellStyle name="常规 4 2 3 4 3 2" xfId="1487"/>
    <cellStyle name="常规 4 2 3 4 3 2 2" xfId="4623"/>
    <cellStyle name="常规 4 2 3 4 3 2 2 2" xfId="14043"/>
    <cellStyle name="常规 4 2 3 4 3 2 2 2 2" xfId="32891"/>
    <cellStyle name="常规 4 2 3 4 3 2 2 3" xfId="23467"/>
    <cellStyle name="常规 4 2 3 4 3 2 3" xfId="7759"/>
    <cellStyle name="常规 4 2 3 4 3 2 3 2" xfId="17179"/>
    <cellStyle name="常规 4 2 3 4 3 2 3 2 2" xfId="36027"/>
    <cellStyle name="常规 4 2 3 4 3 2 3 3" xfId="26603"/>
    <cellStyle name="常规 4 2 3 4 3 2 4" xfId="10907"/>
    <cellStyle name="常规 4 2 3 4 3 2 4 2" xfId="29755"/>
    <cellStyle name="常规 4 2 3 4 3 2 5" xfId="20331"/>
    <cellStyle name="常规 4 2 3 4 3 3" xfId="2271"/>
    <cellStyle name="常规 4 2 3 4 3 3 2" xfId="5407"/>
    <cellStyle name="常规 4 2 3 4 3 3 2 2" xfId="14827"/>
    <cellStyle name="常规 4 2 3 4 3 3 2 2 2" xfId="33675"/>
    <cellStyle name="常规 4 2 3 4 3 3 2 3" xfId="24251"/>
    <cellStyle name="常规 4 2 3 4 3 3 3" xfId="8543"/>
    <cellStyle name="常规 4 2 3 4 3 3 3 2" xfId="17963"/>
    <cellStyle name="常规 4 2 3 4 3 3 3 2 2" xfId="36811"/>
    <cellStyle name="常规 4 2 3 4 3 3 3 3" xfId="27387"/>
    <cellStyle name="常规 4 2 3 4 3 3 4" xfId="11691"/>
    <cellStyle name="常规 4 2 3 4 3 3 4 2" xfId="30539"/>
    <cellStyle name="常规 4 2 3 4 3 3 5" xfId="21115"/>
    <cellStyle name="常规 4 2 3 4 3 4" xfId="3055"/>
    <cellStyle name="常规 4 2 3 4 3 4 2" xfId="6191"/>
    <cellStyle name="常规 4 2 3 4 3 4 2 2" xfId="15611"/>
    <cellStyle name="常规 4 2 3 4 3 4 2 2 2" xfId="34459"/>
    <cellStyle name="常规 4 2 3 4 3 4 2 3" xfId="25035"/>
    <cellStyle name="常规 4 2 3 4 3 4 3" xfId="9327"/>
    <cellStyle name="常规 4 2 3 4 3 4 3 2" xfId="18747"/>
    <cellStyle name="常规 4 2 3 4 3 4 3 2 2" xfId="37595"/>
    <cellStyle name="常规 4 2 3 4 3 4 3 3" xfId="28171"/>
    <cellStyle name="常规 4 2 3 4 3 4 4" xfId="12475"/>
    <cellStyle name="常规 4 2 3 4 3 4 4 2" xfId="31323"/>
    <cellStyle name="常规 4 2 3 4 3 4 5" xfId="21899"/>
    <cellStyle name="常规 4 2 3 4 3 5" xfId="3839"/>
    <cellStyle name="常规 4 2 3 4 3 5 2" xfId="13259"/>
    <cellStyle name="常规 4 2 3 4 3 5 2 2" xfId="32107"/>
    <cellStyle name="常规 4 2 3 4 3 5 3" xfId="22683"/>
    <cellStyle name="常规 4 2 3 4 3 6" xfId="6975"/>
    <cellStyle name="常规 4 2 3 4 3 6 2" xfId="16395"/>
    <cellStyle name="常规 4 2 3 4 3 6 2 2" xfId="35243"/>
    <cellStyle name="常规 4 2 3 4 3 6 3" xfId="25819"/>
    <cellStyle name="常规 4 2 3 4 3 7" xfId="10123"/>
    <cellStyle name="常规 4 2 3 4 3 7 2" xfId="28971"/>
    <cellStyle name="常规 4 2 3 4 3 8" xfId="19547"/>
    <cellStyle name="常规 4 2 3 4 4" xfId="1095"/>
    <cellStyle name="常规 4 2 3 4 4 2" xfId="4231"/>
    <cellStyle name="常规 4 2 3 4 4 2 2" xfId="13651"/>
    <cellStyle name="常规 4 2 3 4 4 2 2 2" xfId="32499"/>
    <cellStyle name="常规 4 2 3 4 4 2 3" xfId="23075"/>
    <cellStyle name="常规 4 2 3 4 4 3" xfId="7367"/>
    <cellStyle name="常规 4 2 3 4 4 3 2" xfId="16787"/>
    <cellStyle name="常规 4 2 3 4 4 3 2 2" xfId="35635"/>
    <cellStyle name="常规 4 2 3 4 4 3 3" xfId="26211"/>
    <cellStyle name="常规 4 2 3 4 4 4" xfId="10515"/>
    <cellStyle name="常规 4 2 3 4 4 4 2" xfId="29363"/>
    <cellStyle name="常规 4 2 3 4 4 5" xfId="19939"/>
    <cellStyle name="常规 4 2 3 4 5" xfId="1879"/>
    <cellStyle name="常规 4 2 3 4 5 2" xfId="5015"/>
    <cellStyle name="常规 4 2 3 4 5 2 2" xfId="14435"/>
    <cellStyle name="常规 4 2 3 4 5 2 2 2" xfId="33283"/>
    <cellStyle name="常规 4 2 3 4 5 2 3" xfId="23859"/>
    <cellStyle name="常规 4 2 3 4 5 3" xfId="8151"/>
    <cellStyle name="常规 4 2 3 4 5 3 2" xfId="17571"/>
    <cellStyle name="常规 4 2 3 4 5 3 2 2" xfId="36419"/>
    <cellStyle name="常规 4 2 3 4 5 3 3" xfId="26995"/>
    <cellStyle name="常规 4 2 3 4 5 4" xfId="11299"/>
    <cellStyle name="常规 4 2 3 4 5 4 2" xfId="30147"/>
    <cellStyle name="常规 4 2 3 4 5 5" xfId="20723"/>
    <cellStyle name="常规 4 2 3 4 6" xfId="2663"/>
    <cellStyle name="常规 4 2 3 4 6 2" xfId="5799"/>
    <cellStyle name="常规 4 2 3 4 6 2 2" xfId="15219"/>
    <cellStyle name="常规 4 2 3 4 6 2 2 2" xfId="34067"/>
    <cellStyle name="常规 4 2 3 4 6 2 3" xfId="24643"/>
    <cellStyle name="常规 4 2 3 4 6 3" xfId="8935"/>
    <cellStyle name="常规 4 2 3 4 6 3 2" xfId="18355"/>
    <cellStyle name="常规 4 2 3 4 6 3 2 2" xfId="37203"/>
    <cellStyle name="常规 4 2 3 4 6 3 3" xfId="27779"/>
    <cellStyle name="常规 4 2 3 4 6 4" xfId="12083"/>
    <cellStyle name="常规 4 2 3 4 6 4 2" xfId="30931"/>
    <cellStyle name="常规 4 2 3 4 6 5" xfId="21507"/>
    <cellStyle name="常规 4 2 3 4 7" xfId="3466"/>
    <cellStyle name="常规 4 2 3 4 7 2" xfId="12886"/>
    <cellStyle name="常规 4 2 3 4 7 2 2" xfId="31734"/>
    <cellStyle name="常规 4 2 3 4 7 3" xfId="22310"/>
    <cellStyle name="常规 4 2 3 4 8" xfId="6583"/>
    <cellStyle name="常规 4 2 3 4 8 2" xfId="16003"/>
    <cellStyle name="常规 4 2 3 4 8 2 2" xfId="34851"/>
    <cellStyle name="常规 4 2 3 4 8 3" xfId="25427"/>
    <cellStyle name="常规 4 2 3 4 9" xfId="9730"/>
    <cellStyle name="常规 4 2 3 4 9 2" xfId="28575"/>
    <cellStyle name="常规 4 2 3 5" xfId="309"/>
    <cellStyle name="常规 4 2 3 5 2" xfId="705"/>
    <cellStyle name="常规 4 2 3 5 2 2" xfId="1489"/>
    <cellStyle name="常规 4 2 3 5 2 2 2" xfId="4625"/>
    <cellStyle name="常规 4 2 3 5 2 2 2 2" xfId="14045"/>
    <cellStyle name="常规 4 2 3 5 2 2 2 2 2" xfId="32893"/>
    <cellStyle name="常规 4 2 3 5 2 2 2 3" xfId="23469"/>
    <cellStyle name="常规 4 2 3 5 2 2 3" xfId="7761"/>
    <cellStyle name="常规 4 2 3 5 2 2 3 2" xfId="17181"/>
    <cellStyle name="常规 4 2 3 5 2 2 3 2 2" xfId="36029"/>
    <cellStyle name="常规 4 2 3 5 2 2 3 3" xfId="26605"/>
    <cellStyle name="常规 4 2 3 5 2 2 4" xfId="10909"/>
    <cellStyle name="常规 4 2 3 5 2 2 4 2" xfId="29757"/>
    <cellStyle name="常规 4 2 3 5 2 2 5" xfId="20333"/>
    <cellStyle name="常规 4 2 3 5 2 3" xfId="2273"/>
    <cellStyle name="常规 4 2 3 5 2 3 2" xfId="5409"/>
    <cellStyle name="常规 4 2 3 5 2 3 2 2" xfId="14829"/>
    <cellStyle name="常规 4 2 3 5 2 3 2 2 2" xfId="33677"/>
    <cellStyle name="常规 4 2 3 5 2 3 2 3" xfId="24253"/>
    <cellStyle name="常规 4 2 3 5 2 3 3" xfId="8545"/>
    <cellStyle name="常规 4 2 3 5 2 3 3 2" xfId="17965"/>
    <cellStyle name="常规 4 2 3 5 2 3 3 2 2" xfId="36813"/>
    <cellStyle name="常规 4 2 3 5 2 3 3 3" xfId="27389"/>
    <cellStyle name="常规 4 2 3 5 2 3 4" xfId="11693"/>
    <cellStyle name="常规 4 2 3 5 2 3 4 2" xfId="30541"/>
    <cellStyle name="常规 4 2 3 5 2 3 5" xfId="21117"/>
    <cellStyle name="常规 4 2 3 5 2 4" xfId="3057"/>
    <cellStyle name="常规 4 2 3 5 2 4 2" xfId="6193"/>
    <cellStyle name="常规 4 2 3 5 2 4 2 2" xfId="15613"/>
    <cellStyle name="常规 4 2 3 5 2 4 2 2 2" xfId="34461"/>
    <cellStyle name="常规 4 2 3 5 2 4 2 3" xfId="25037"/>
    <cellStyle name="常规 4 2 3 5 2 4 3" xfId="9329"/>
    <cellStyle name="常规 4 2 3 5 2 4 3 2" xfId="18749"/>
    <cellStyle name="常规 4 2 3 5 2 4 3 2 2" xfId="37597"/>
    <cellStyle name="常规 4 2 3 5 2 4 3 3" xfId="28173"/>
    <cellStyle name="常规 4 2 3 5 2 4 4" xfId="12477"/>
    <cellStyle name="常规 4 2 3 5 2 4 4 2" xfId="31325"/>
    <cellStyle name="常规 4 2 3 5 2 4 5" xfId="21901"/>
    <cellStyle name="常规 4 2 3 5 2 5" xfId="3841"/>
    <cellStyle name="常规 4 2 3 5 2 5 2" xfId="13261"/>
    <cellStyle name="常规 4 2 3 5 2 5 2 2" xfId="32109"/>
    <cellStyle name="常规 4 2 3 5 2 5 3" xfId="22685"/>
    <cellStyle name="常规 4 2 3 5 2 6" xfId="6977"/>
    <cellStyle name="常规 4 2 3 5 2 6 2" xfId="16397"/>
    <cellStyle name="常规 4 2 3 5 2 6 2 2" xfId="35245"/>
    <cellStyle name="常规 4 2 3 5 2 6 3" xfId="25821"/>
    <cellStyle name="常规 4 2 3 5 2 7" xfId="10125"/>
    <cellStyle name="常规 4 2 3 5 2 7 2" xfId="28973"/>
    <cellStyle name="常规 4 2 3 5 2 8" xfId="19549"/>
    <cellStyle name="常规 4 2 3 5 3" xfId="1097"/>
    <cellStyle name="常规 4 2 3 5 3 2" xfId="4233"/>
    <cellStyle name="常规 4 2 3 5 3 2 2" xfId="13653"/>
    <cellStyle name="常规 4 2 3 5 3 2 2 2" xfId="32501"/>
    <cellStyle name="常规 4 2 3 5 3 2 3" xfId="23077"/>
    <cellStyle name="常规 4 2 3 5 3 3" xfId="7369"/>
    <cellStyle name="常规 4 2 3 5 3 3 2" xfId="16789"/>
    <cellStyle name="常规 4 2 3 5 3 3 2 2" xfId="35637"/>
    <cellStyle name="常规 4 2 3 5 3 3 3" xfId="26213"/>
    <cellStyle name="常规 4 2 3 5 3 4" xfId="10517"/>
    <cellStyle name="常规 4 2 3 5 3 4 2" xfId="29365"/>
    <cellStyle name="常规 4 2 3 5 3 5" xfId="19941"/>
    <cellStyle name="常规 4 2 3 5 4" xfId="1881"/>
    <cellStyle name="常规 4 2 3 5 4 2" xfId="5017"/>
    <cellStyle name="常规 4 2 3 5 4 2 2" xfId="14437"/>
    <cellStyle name="常规 4 2 3 5 4 2 2 2" xfId="33285"/>
    <cellStyle name="常规 4 2 3 5 4 2 3" xfId="23861"/>
    <cellStyle name="常规 4 2 3 5 4 3" xfId="8153"/>
    <cellStyle name="常规 4 2 3 5 4 3 2" xfId="17573"/>
    <cellStyle name="常规 4 2 3 5 4 3 2 2" xfId="36421"/>
    <cellStyle name="常规 4 2 3 5 4 3 3" xfId="26997"/>
    <cellStyle name="常规 4 2 3 5 4 4" xfId="11301"/>
    <cellStyle name="常规 4 2 3 5 4 4 2" xfId="30149"/>
    <cellStyle name="常规 4 2 3 5 4 5" xfId="20725"/>
    <cellStyle name="常规 4 2 3 5 5" xfId="2665"/>
    <cellStyle name="常规 4 2 3 5 5 2" xfId="5801"/>
    <cellStyle name="常规 4 2 3 5 5 2 2" xfId="15221"/>
    <cellStyle name="常规 4 2 3 5 5 2 2 2" xfId="34069"/>
    <cellStyle name="常规 4 2 3 5 5 2 3" xfId="24645"/>
    <cellStyle name="常规 4 2 3 5 5 3" xfId="8937"/>
    <cellStyle name="常规 4 2 3 5 5 3 2" xfId="18357"/>
    <cellStyle name="常规 4 2 3 5 5 3 2 2" xfId="37205"/>
    <cellStyle name="常规 4 2 3 5 5 3 3" xfId="27781"/>
    <cellStyle name="常规 4 2 3 5 5 4" xfId="12085"/>
    <cellStyle name="常规 4 2 3 5 5 4 2" xfId="30933"/>
    <cellStyle name="常规 4 2 3 5 5 5" xfId="21509"/>
    <cellStyle name="常规 4 2 3 5 6" xfId="3468"/>
    <cellStyle name="常规 4 2 3 5 6 2" xfId="12888"/>
    <cellStyle name="常规 4 2 3 5 6 2 2" xfId="31736"/>
    <cellStyle name="常规 4 2 3 5 6 3" xfId="22312"/>
    <cellStyle name="常规 4 2 3 5 7" xfId="6585"/>
    <cellStyle name="常规 4 2 3 5 7 2" xfId="16005"/>
    <cellStyle name="常规 4 2 3 5 7 2 2" xfId="34853"/>
    <cellStyle name="常规 4 2 3 5 7 3" xfId="25429"/>
    <cellStyle name="常规 4 2 3 5 8" xfId="9732"/>
    <cellStyle name="常规 4 2 3 5 8 2" xfId="28577"/>
    <cellStyle name="常规 4 2 3 5 9" xfId="19155"/>
    <cellStyle name="常规 4 2 3 6" xfId="690"/>
    <cellStyle name="常规 4 2 3 6 2" xfId="1474"/>
    <cellStyle name="常规 4 2 3 6 2 2" xfId="4610"/>
    <cellStyle name="常规 4 2 3 6 2 2 2" xfId="14030"/>
    <cellStyle name="常规 4 2 3 6 2 2 2 2" xfId="32878"/>
    <cellStyle name="常规 4 2 3 6 2 2 3" xfId="23454"/>
    <cellStyle name="常规 4 2 3 6 2 3" xfId="7746"/>
    <cellStyle name="常规 4 2 3 6 2 3 2" xfId="17166"/>
    <cellStyle name="常规 4 2 3 6 2 3 2 2" xfId="36014"/>
    <cellStyle name="常规 4 2 3 6 2 3 3" xfId="26590"/>
    <cellStyle name="常规 4 2 3 6 2 4" xfId="10894"/>
    <cellStyle name="常规 4 2 3 6 2 4 2" xfId="29742"/>
    <cellStyle name="常规 4 2 3 6 2 5" xfId="20318"/>
    <cellStyle name="常规 4 2 3 6 3" xfId="2258"/>
    <cellStyle name="常规 4 2 3 6 3 2" xfId="5394"/>
    <cellStyle name="常规 4 2 3 6 3 2 2" xfId="14814"/>
    <cellStyle name="常规 4 2 3 6 3 2 2 2" xfId="33662"/>
    <cellStyle name="常规 4 2 3 6 3 2 3" xfId="24238"/>
    <cellStyle name="常规 4 2 3 6 3 3" xfId="8530"/>
    <cellStyle name="常规 4 2 3 6 3 3 2" xfId="17950"/>
    <cellStyle name="常规 4 2 3 6 3 3 2 2" xfId="36798"/>
    <cellStyle name="常规 4 2 3 6 3 3 3" xfId="27374"/>
    <cellStyle name="常规 4 2 3 6 3 4" xfId="11678"/>
    <cellStyle name="常规 4 2 3 6 3 4 2" xfId="30526"/>
    <cellStyle name="常规 4 2 3 6 3 5" xfId="21102"/>
    <cellStyle name="常规 4 2 3 6 4" xfId="3042"/>
    <cellStyle name="常规 4 2 3 6 4 2" xfId="6178"/>
    <cellStyle name="常规 4 2 3 6 4 2 2" xfId="15598"/>
    <cellStyle name="常规 4 2 3 6 4 2 2 2" xfId="34446"/>
    <cellStyle name="常规 4 2 3 6 4 2 3" xfId="25022"/>
    <cellStyle name="常规 4 2 3 6 4 3" xfId="9314"/>
    <cellStyle name="常规 4 2 3 6 4 3 2" xfId="18734"/>
    <cellStyle name="常规 4 2 3 6 4 3 2 2" xfId="37582"/>
    <cellStyle name="常规 4 2 3 6 4 3 3" xfId="28158"/>
    <cellStyle name="常规 4 2 3 6 4 4" xfId="12462"/>
    <cellStyle name="常规 4 2 3 6 4 4 2" xfId="31310"/>
    <cellStyle name="常规 4 2 3 6 4 5" xfId="21886"/>
    <cellStyle name="常规 4 2 3 6 5" xfId="3826"/>
    <cellStyle name="常规 4 2 3 6 5 2" xfId="13246"/>
    <cellStyle name="常规 4 2 3 6 5 2 2" xfId="32094"/>
    <cellStyle name="常规 4 2 3 6 5 3" xfId="22670"/>
    <cellStyle name="常规 4 2 3 6 6" xfId="6962"/>
    <cellStyle name="常规 4 2 3 6 6 2" xfId="16382"/>
    <cellStyle name="常规 4 2 3 6 6 2 2" xfId="35230"/>
    <cellStyle name="常规 4 2 3 6 6 3" xfId="25806"/>
    <cellStyle name="常规 4 2 3 6 7" xfId="10110"/>
    <cellStyle name="常规 4 2 3 6 7 2" xfId="28958"/>
    <cellStyle name="常规 4 2 3 6 8" xfId="19534"/>
    <cellStyle name="常规 4 2 3 7" xfId="1082"/>
    <cellStyle name="常规 4 2 3 7 2" xfId="4218"/>
    <cellStyle name="常规 4 2 3 7 2 2" xfId="13638"/>
    <cellStyle name="常规 4 2 3 7 2 2 2" xfId="32486"/>
    <cellStyle name="常规 4 2 3 7 2 3" xfId="23062"/>
    <cellStyle name="常规 4 2 3 7 3" xfId="7354"/>
    <cellStyle name="常规 4 2 3 7 3 2" xfId="16774"/>
    <cellStyle name="常规 4 2 3 7 3 2 2" xfId="35622"/>
    <cellStyle name="常规 4 2 3 7 3 3" xfId="26198"/>
    <cellStyle name="常规 4 2 3 7 4" xfId="10502"/>
    <cellStyle name="常规 4 2 3 7 4 2" xfId="29350"/>
    <cellStyle name="常规 4 2 3 7 5" xfId="19926"/>
    <cellStyle name="常规 4 2 3 8" xfId="1866"/>
    <cellStyle name="常规 4 2 3 8 2" xfId="5002"/>
    <cellStyle name="常规 4 2 3 8 2 2" xfId="14422"/>
    <cellStyle name="常规 4 2 3 8 2 2 2" xfId="33270"/>
    <cellStyle name="常规 4 2 3 8 2 3" xfId="23846"/>
    <cellStyle name="常规 4 2 3 8 3" xfId="8138"/>
    <cellStyle name="常规 4 2 3 8 3 2" xfId="17558"/>
    <cellStyle name="常规 4 2 3 8 3 2 2" xfId="36406"/>
    <cellStyle name="常规 4 2 3 8 3 3" xfId="26982"/>
    <cellStyle name="常规 4 2 3 8 4" xfId="11286"/>
    <cellStyle name="常规 4 2 3 8 4 2" xfId="30134"/>
    <cellStyle name="常规 4 2 3 8 5" xfId="20710"/>
    <cellStyle name="常规 4 2 3 9" xfId="2650"/>
    <cellStyle name="常规 4 2 3 9 2" xfId="5786"/>
    <cellStyle name="常规 4 2 3 9 2 2" xfId="15206"/>
    <cellStyle name="常规 4 2 3 9 2 2 2" xfId="34054"/>
    <cellStyle name="常规 4 2 3 9 2 3" xfId="24630"/>
    <cellStyle name="常规 4 2 3 9 3" xfId="8922"/>
    <cellStyle name="常规 4 2 3 9 3 2" xfId="18342"/>
    <cellStyle name="常规 4 2 3 9 3 2 2" xfId="37190"/>
    <cellStyle name="常规 4 2 3 9 3 3" xfId="27766"/>
    <cellStyle name="常规 4 2 3 9 4" xfId="12070"/>
    <cellStyle name="常规 4 2 3 9 4 2" xfId="30918"/>
    <cellStyle name="常规 4 2 3 9 5" xfId="21494"/>
    <cellStyle name="常规 4 2 4" xfId="310"/>
    <cellStyle name="常规 4 2 4 10" xfId="6586"/>
    <cellStyle name="常规 4 2 4 10 2" xfId="16006"/>
    <cellStyle name="常规 4 2 4 10 2 2" xfId="34854"/>
    <cellStyle name="常规 4 2 4 10 3" xfId="25430"/>
    <cellStyle name="常规 4 2 4 11" xfId="9733"/>
    <cellStyle name="常规 4 2 4 11 2" xfId="28578"/>
    <cellStyle name="常规 4 2 4 12" xfId="19156"/>
    <cellStyle name="常规 4 2 4 2" xfId="311"/>
    <cellStyle name="常规 4 2 4 2 10" xfId="9734"/>
    <cellStyle name="常规 4 2 4 2 10 2" xfId="28579"/>
    <cellStyle name="常规 4 2 4 2 11" xfId="19157"/>
    <cellStyle name="常规 4 2 4 2 2" xfId="312"/>
    <cellStyle name="常规 4 2 4 2 2 10" xfId="19158"/>
    <cellStyle name="常规 4 2 4 2 2 2" xfId="313"/>
    <cellStyle name="常规 4 2 4 2 2 2 2" xfId="709"/>
    <cellStyle name="常规 4 2 4 2 2 2 2 2" xfId="1493"/>
    <cellStyle name="常规 4 2 4 2 2 2 2 2 2" xfId="4629"/>
    <cellStyle name="常规 4 2 4 2 2 2 2 2 2 2" xfId="14049"/>
    <cellStyle name="常规 4 2 4 2 2 2 2 2 2 2 2" xfId="32897"/>
    <cellStyle name="常规 4 2 4 2 2 2 2 2 2 3" xfId="23473"/>
    <cellStyle name="常规 4 2 4 2 2 2 2 2 3" xfId="7765"/>
    <cellStyle name="常规 4 2 4 2 2 2 2 2 3 2" xfId="17185"/>
    <cellStyle name="常规 4 2 4 2 2 2 2 2 3 2 2" xfId="36033"/>
    <cellStyle name="常规 4 2 4 2 2 2 2 2 3 3" xfId="26609"/>
    <cellStyle name="常规 4 2 4 2 2 2 2 2 4" xfId="10913"/>
    <cellStyle name="常规 4 2 4 2 2 2 2 2 4 2" xfId="29761"/>
    <cellStyle name="常规 4 2 4 2 2 2 2 2 5" xfId="20337"/>
    <cellStyle name="常规 4 2 4 2 2 2 2 3" xfId="2277"/>
    <cellStyle name="常规 4 2 4 2 2 2 2 3 2" xfId="5413"/>
    <cellStyle name="常规 4 2 4 2 2 2 2 3 2 2" xfId="14833"/>
    <cellStyle name="常规 4 2 4 2 2 2 2 3 2 2 2" xfId="33681"/>
    <cellStyle name="常规 4 2 4 2 2 2 2 3 2 3" xfId="24257"/>
    <cellStyle name="常规 4 2 4 2 2 2 2 3 3" xfId="8549"/>
    <cellStyle name="常规 4 2 4 2 2 2 2 3 3 2" xfId="17969"/>
    <cellStyle name="常规 4 2 4 2 2 2 2 3 3 2 2" xfId="36817"/>
    <cellStyle name="常规 4 2 4 2 2 2 2 3 3 3" xfId="27393"/>
    <cellStyle name="常规 4 2 4 2 2 2 2 3 4" xfId="11697"/>
    <cellStyle name="常规 4 2 4 2 2 2 2 3 4 2" xfId="30545"/>
    <cellStyle name="常规 4 2 4 2 2 2 2 3 5" xfId="21121"/>
    <cellStyle name="常规 4 2 4 2 2 2 2 4" xfId="3061"/>
    <cellStyle name="常规 4 2 4 2 2 2 2 4 2" xfId="6197"/>
    <cellStyle name="常规 4 2 4 2 2 2 2 4 2 2" xfId="15617"/>
    <cellStyle name="常规 4 2 4 2 2 2 2 4 2 2 2" xfId="34465"/>
    <cellStyle name="常规 4 2 4 2 2 2 2 4 2 3" xfId="25041"/>
    <cellStyle name="常规 4 2 4 2 2 2 2 4 3" xfId="9333"/>
    <cellStyle name="常规 4 2 4 2 2 2 2 4 3 2" xfId="18753"/>
    <cellStyle name="常规 4 2 4 2 2 2 2 4 3 2 2" xfId="37601"/>
    <cellStyle name="常规 4 2 4 2 2 2 2 4 3 3" xfId="28177"/>
    <cellStyle name="常规 4 2 4 2 2 2 2 4 4" xfId="12481"/>
    <cellStyle name="常规 4 2 4 2 2 2 2 4 4 2" xfId="31329"/>
    <cellStyle name="常规 4 2 4 2 2 2 2 4 5" xfId="21905"/>
    <cellStyle name="常规 4 2 4 2 2 2 2 5" xfId="3845"/>
    <cellStyle name="常规 4 2 4 2 2 2 2 5 2" xfId="13265"/>
    <cellStyle name="常规 4 2 4 2 2 2 2 5 2 2" xfId="32113"/>
    <cellStyle name="常规 4 2 4 2 2 2 2 5 3" xfId="22689"/>
    <cellStyle name="常规 4 2 4 2 2 2 2 6" xfId="6981"/>
    <cellStyle name="常规 4 2 4 2 2 2 2 6 2" xfId="16401"/>
    <cellStyle name="常规 4 2 4 2 2 2 2 6 2 2" xfId="35249"/>
    <cellStyle name="常规 4 2 4 2 2 2 2 6 3" xfId="25825"/>
    <cellStyle name="常规 4 2 4 2 2 2 2 7" xfId="10129"/>
    <cellStyle name="常规 4 2 4 2 2 2 2 7 2" xfId="28977"/>
    <cellStyle name="常规 4 2 4 2 2 2 2 8" xfId="19553"/>
    <cellStyle name="常规 4 2 4 2 2 2 3" xfId="1101"/>
    <cellStyle name="常规 4 2 4 2 2 2 3 2" xfId="4237"/>
    <cellStyle name="常规 4 2 4 2 2 2 3 2 2" xfId="13657"/>
    <cellStyle name="常规 4 2 4 2 2 2 3 2 2 2" xfId="32505"/>
    <cellStyle name="常规 4 2 4 2 2 2 3 2 3" xfId="23081"/>
    <cellStyle name="常规 4 2 4 2 2 2 3 3" xfId="7373"/>
    <cellStyle name="常规 4 2 4 2 2 2 3 3 2" xfId="16793"/>
    <cellStyle name="常规 4 2 4 2 2 2 3 3 2 2" xfId="35641"/>
    <cellStyle name="常规 4 2 4 2 2 2 3 3 3" xfId="26217"/>
    <cellStyle name="常规 4 2 4 2 2 2 3 4" xfId="10521"/>
    <cellStyle name="常规 4 2 4 2 2 2 3 4 2" xfId="29369"/>
    <cellStyle name="常规 4 2 4 2 2 2 3 5" xfId="19945"/>
    <cellStyle name="常规 4 2 4 2 2 2 4" xfId="1885"/>
    <cellStyle name="常规 4 2 4 2 2 2 4 2" xfId="5021"/>
    <cellStyle name="常规 4 2 4 2 2 2 4 2 2" xfId="14441"/>
    <cellStyle name="常规 4 2 4 2 2 2 4 2 2 2" xfId="33289"/>
    <cellStyle name="常规 4 2 4 2 2 2 4 2 3" xfId="23865"/>
    <cellStyle name="常规 4 2 4 2 2 2 4 3" xfId="8157"/>
    <cellStyle name="常规 4 2 4 2 2 2 4 3 2" xfId="17577"/>
    <cellStyle name="常规 4 2 4 2 2 2 4 3 2 2" xfId="36425"/>
    <cellStyle name="常规 4 2 4 2 2 2 4 3 3" xfId="27001"/>
    <cellStyle name="常规 4 2 4 2 2 2 4 4" xfId="11305"/>
    <cellStyle name="常规 4 2 4 2 2 2 4 4 2" xfId="30153"/>
    <cellStyle name="常规 4 2 4 2 2 2 4 5" xfId="20729"/>
    <cellStyle name="常规 4 2 4 2 2 2 5" xfId="2669"/>
    <cellStyle name="常规 4 2 4 2 2 2 5 2" xfId="5805"/>
    <cellStyle name="常规 4 2 4 2 2 2 5 2 2" xfId="15225"/>
    <cellStyle name="常规 4 2 4 2 2 2 5 2 2 2" xfId="34073"/>
    <cellStyle name="常规 4 2 4 2 2 2 5 2 3" xfId="24649"/>
    <cellStyle name="常规 4 2 4 2 2 2 5 3" xfId="8941"/>
    <cellStyle name="常规 4 2 4 2 2 2 5 3 2" xfId="18361"/>
    <cellStyle name="常规 4 2 4 2 2 2 5 3 2 2" xfId="37209"/>
    <cellStyle name="常规 4 2 4 2 2 2 5 3 3" xfId="27785"/>
    <cellStyle name="常规 4 2 4 2 2 2 5 4" xfId="12089"/>
    <cellStyle name="常规 4 2 4 2 2 2 5 4 2" xfId="30937"/>
    <cellStyle name="常规 4 2 4 2 2 2 5 5" xfId="21513"/>
    <cellStyle name="常规 4 2 4 2 2 2 6" xfId="3470"/>
    <cellStyle name="常规 4 2 4 2 2 2 6 2" xfId="12890"/>
    <cellStyle name="常规 4 2 4 2 2 2 6 2 2" xfId="31738"/>
    <cellStyle name="常规 4 2 4 2 2 2 6 3" xfId="22314"/>
    <cellStyle name="常规 4 2 4 2 2 2 7" xfId="6589"/>
    <cellStyle name="常规 4 2 4 2 2 2 7 2" xfId="16009"/>
    <cellStyle name="常规 4 2 4 2 2 2 7 2 2" xfId="34857"/>
    <cellStyle name="常规 4 2 4 2 2 2 7 3" xfId="25433"/>
    <cellStyle name="常规 4 2 4 2 2 2 8" xfId="9736"/>
    <cellStyle name="常规 4 2 4 2 2 2 8 2" xfId="28581"/>
    <cellStyle name="常规 4 2 4 2 2 2 9" xfId="19159"/>
    <cellStyle name="常规 4 2 4 2 2 3" xfId="708"/>
    <cellStyle name="常规 4 2 4 2 2 3 2" xfId="1492"/>
    <cellStyle name="常规 4 2 4 2 2 3 2 2" xfId="4628"/>
    <cellStyle name="常规 4 2 4 2 2 3 2 2 2" xfId="14048"/>
    <cellStyle name="常规 4 2 4 2 2 3 2 2 2 2" xfId="32896"/>
    <cellStyle name="常规 4 2 4 2 2 3 2 2 3" xfId="23472"/>
    <cellStyle name="常规 4 2 4 2 2 3 2 3" xfId="7764"/>
    <cellStyle name="常规 4 2 4 2 2 3 2 3 2" xfId="17184"/>
    <cellStyle name="常规 4 2 4 2 2 3 2 3 2 2" xfId="36032"/>
    <cellStyle name="常规 4 2 4 2 2 3 2 3 3" xfId="26608"/>
    <cellStyle name="常规 4 2 4 2 2 3 2 4" xfId="10912"/>
    <cellStyle name="常规 4 2 4 2 2 3 2 4 2" xfId="29760"/>
    <cellStyle name="常规 4 2 4 2 2 3 2 5" xfId="20336"/>
    <cellStyle name="常规 4 2 4 2 2 3 3" xfId="2276"/>
    <cellStyle name="常规 4 2 4 2 2 3 3 2" xfId="5412"/>
    <cellStyle name="常规 4 2 4 2 2 3 3 2 2" xfId="14832"/>
    <cellStyle name="常规 4 2 4 2 2 3 3 2 2 2" xfId="33680"/>
    <cellStyle name="常规 4 2 4 2 2 3 3 2 3" xfId="24256"/>
    <cellStyle name="常规 4 2 4 2 2 3 3 3" xfId="8548"/>
    <cellStyle name="常规 4 2 4 2 2 3 3 3 2" xfId="17968"/>
    <cellStyle name="常规 4 2 4 2 2 3 3 3 2 2" xfId="36816"/>
    <cellStyle name="常规 4 2 4 2 2 3 3 3 3" xfId="27392"/>
    <cellStyle name="常规 4 2 4 2 2 3 3 4" xfId="11696"/>
    <cellStyle name="常规 4 2 4 2 2 3 3 4 2" xfId="30544"/>
    <cellStyle name="常规 4 2 4 2 2 3 3 5" xfId="21120"/>
    <cellStyle name="常规 4 2 4 2 2 3 4" xfId="3060"/>
    <cellStyle name="常规 4 2 4 2 2 3 4 2" xfId="6196"/>
    <cellStyle name="常规 4 2 4 2 2 3 4 2 2" xfId="15616"/>
    <cellStyle name="常规 4 2 4 2 2 3 4 2 2 2" xfId="34464"/>
    <cellStyle name="常规 4 2 4 2 2 3 4 2 3" xfId="25040"/>
    <cellStyle name="常规 4 2 4 2 2 3 4 3" xfId="9332"/>
    <cellStyle name="常规 4 2 4 2 2 3 4 3 2" xfId="18752"/>
    <cellStyle name="常规 4 2 4 2 2 3 4 3 2 2" xfId="37600"/>
    <cellStyle name="常规 4 2 4 2 2 3 4 3 3" xfId="28176"/>
    <cellStyle name="常规 4 2 4 2 2 3 4 4" xfId="12480"/>
    <cellStyle name="常规 4 2 4 2 2 3 4 4 2" xfId="31328"/>
    <cellStyle name="常规 4 2 4 2 2 3 4 5" xfId="21904"/>
    <cellStyle name="常规 4 2 4 2 2 3 5" xfId="3844"/>
    <cellStyle name="常规 4 2 4 2 2 3 5 2" xfId="13264"/>
    <cellStyle name="常规 4 2 4 2 2 3 5 2 2" xfId="32112"/>
    <cellStyle name="常规 4 2 4 2 2 3 5 3" xfId="22688"/>
    <cellStyle name="常规 4 2 4 2 2 3 6" xfId="6980"/>
    <cellStyle name="常规 4 2 4 2 2 3 6 2" xfId="16400"/>
    <cellStyle name="常规 4 2 4 2 2 3 6 2 2" xfId="35248"/>
    <cellStyle name="常规 4 2 4 2 2 3 6 3" xfId="25824"/>
    <cellStyle name="常规 4 2 4 2 2 3 7" xfId="10128"/>
    <cellStyle name="常规 4 2 4 2 2 3 7 2" xfId="28976"/>
    <cellStyle name="常规 4 2 4 2 2 3 8" xfId="19552"/>
    <cellStyle name="常规 4 2 4 2 2 4" xfId="1100"/>
    <cellStyle name="常规 4 2 4 2 2 4 2" xfId="4236"/>
    <cellStyle name="常规 4 2 4 2 2 4 2 2" xfId="13656"/>
    <cellStyle name="常规 4 2 4 2 2 4 2 2 2" xfId="32504"/>
    <cellStyle name="常规 4 2 4 2 2 4 2 3" xfId="23080"/>
    <cellStyle name="常规 4 2 4 2 2 4 3" xfId="7372"/>
    <cellStyle name="常规 4 2 4 2 2 4 3 2" xfId="16792"/>
    <cellStyle name="常规 4 2 4 2 2 4 3 2 2" xfId="35640"/>
    <cellStyle name="常规 4 2 4 2 2 4 3 3" xfId="26216"/>
    <cellStyle name="常规 4 2 4 2 2 4 4" xfId="10520"/>
    <cellStyle name="常规 4 2 4 2 2 4 4 2" xfId="29368"/>
    <cellStyle name="常规 4 2 4 2 2 4 5" xfId="19944"/>
    <cellStyle name="常规 4 2 4 2 2 5" xfId="1884"/>
    <cellStyle name="常规 4 2 4 2 2 5 2" xfId="5020"/>
    <cellStyle name="常规 4 2 4 2 2 5 2 2" xfId="14440"/>
    <cellStyle name="常规 4 2 4 2 2 5 2 2 2" xfId="33288"/>
    <cellStyle name="常规 4 2 4 2 2 5 2 3" xfId="23864"/>
    <cellStyle name="常规 4 2 4 2 2 5 3" xfId="8156"/>
    <cellStyle name="常规 4 2 4 2 2 5 3 2" xfId="17576"/>
    <cellStyle name="常规 4 2 4 2 2 5 3 2 2" xfId="36424"/>
    <cellStyle name="常规 4 2 4 2 2 5 3 3" xfId="27000"/>
    <cellStyle name="常规 4 2 4 2 2 5 4" xfId="11304"/>
    <cellStyle name="常规 4 2 4 2 2 5 4 2" xfId="30152"/>
    <cellStyle name="常规 4 2 4 2 2 5 5" xfId="20728"/>
    <cellStyle name="常规 4 2 4 2 2 6" xfId="2668"/>
    <cellStyle name="常规 4 2 4 2 2 6 2" xfId="5804"/>
    <cellStyle name="常规 4 2 4 2 2 6 2 2" xfId="15224"/>
    <cellStyle name="常规 4 2 4 2 2 6 2 2 2" xfId="34072"/>
    <cellStyle name="常规 4 2 4 2 2 6 2 3" xfId="24648"/>
    <cellStyle name="常规 4 2 4 2 2 6 3" xfId="8940"/>
    <cellStyle name="常规 4 2 4 2 2 6 3 2" xfId="18360"/>
    <cellStyle name="常规 4 2 4 2 2 6 3 2 2" xfId="37208"/>
    <cellStyle name="常规 4 2 4 2 2 6 3 3" xfId="27784"/>
    <cellStyle name="常规 4 2 4 2 2 6 4" xfId="12088"/>
    <cellStyle name="常规 4 2 4 2 2 6 4 2" xfId="30936"/>
    <cellStyle name="常规 4 2 4 2 2 6 5" xfId="21512"/>
    <cellStyle name="常规 4 2 4 2 2 7" xfId="3469"/>
    <cellStyle name="常规 4 2 4 2 2 7 2" xfId="12889"/>
    <cellStyle name="常规 4 2 4 2 2 7 2 2" xfId="31737"/>
    <cellStyle name="常规 4 2 4 2 2 7 3" xfId="22313"/>
    <cellStyle name="常规 4 2 4 2 2 8" xfId="6588"/>
    <cellStyle name="常规 4 2 4 2 2 8 2" xfId="16008"/>
    <cellStyle name="常规 4 2 4 2 2 8 2 2" xfId="34856"/>
    <cellStyle name="常规 4 2 4 2 2 8 3" xfId="25432"/>
    <cellStyle name="常规 4 2 4 2 2 9" xfId="9735"/>
    <cellStyle name="常规 4 2 4 2 2 9 2" xfId="28580"/>
    <cellStyle name="常规 4 2 4 2 3" xfId="314"/>
    <cellStyle name="常规 4 2 4 2 3 2" xfId="710"/>
    <cellStyle name="常规 4 2 4 2 3 2 2" xfId="1494"/>
    <cellStyle name="常规 4 2 4 2 3 2 2 2" xfId="4630"/>
    <cellStyle name="常规 4 2 4 2 3 2 2 2 2" xfId="14050"/>
    <cellStyle name="常规 4 2 4 2 3 2 2 2 2 2" xfId="32898"/>
    <cellStyle name="常规 4 2 4 2 3 2 2 2 3" xfId="23474"/>
    <cellStyle name="常规 4 2 4 2 3 2 2 3" xfId="7766"/>
    <cellStyle name="常规 4 2 4 2 3 2 2 3 2" xfId="17186"/>
    <cellStyle name="常规 4 2 4 2 3 2 2 3 2 2" xfId="36034"/>
    <cellStyle name="常规 4 2 4 2 3 2 2 3 3" xfId="26610"/>
    <cellStyle name="常规 4 2 4 2 3 2 2 4" xfId="10914"/>
    <cellStyle name="常规 4 2 4 2 3 2 2 4 2" xfId="29762"/>
    <cellStyle name="常规 4 2 4 2 3 2 2 5" xfId="20338"/>
    <cellStyle name="常规 4 2 4 2 3 2 3" xfId="2278"/>
    <cellStyle name="常规 4 2 4 2 3 2 3 2" xfId="5414"/>
    <cellStyle name="常规 4 2 4 2 3 2 3 2 2" xfId="14834"/>
    <cellStyle name="常规 4 2 4 2 3 2 3 2 2 2" xfId="33682"/>
    <cellStyle name="常规 4 2 4 2 3 2 3 2 3" xfId="24258"/>
    <cellStyle name="常规 4 2 4 2 3 2 3 3" xfId="8550"/>
    <cellStyle name="常规 4 2 4 2 3 2 3 3 2" xfId="17970"/>
    <cellStyle name="常规 4 2 4 2 3 2 3 3 2 2" xfId="36818"/>
    <cellStyle name="常规 4 2 4 2 3 2 3 3 3" xfId="27394"/>
    <cellStyle name="常规 4 2 4 2 3 2 3 4" xfId="11698"/>
    <cellStyle name="常规 4 2 4 2 3 2 3 4 2" xfId="30546"/>
    <cellStyle name="常规 4 2 4 2 3 2 3 5" xfId="21122"/>
    <cellStyle name="常规 4 2 4 2 3 2 4" xfId="3062"/>
    <cellStyle name="常规 4 2 4 2 3 2 4 2" xfId="6198"/>
    <cellStyle name="常规 4 2 4 2 3 2 4 2 2" xfId="15618"/>
    <cellStyle name="常规 4 2 4 2 3 2 4 2 2 2" xfId="34466"/>
    <cellStyle name="常规 4 2 4 2 3 2 4 2 3" xfId="25042"/>
    <cellStyle name="常规 4 2 4 2 3 2 4 3" xfId="9334"/>
    <cellStyle name="常规 4 2 4 2 3 2 4 3 2" xfId="18754"/>
    <cellStyle name="常规 4 2 4 2 3 2 4 3 2 2" xfId="37602"/>
    <cellStyle name="常规 4 2 4 2 3 2 4 3 3" xfId="28178"/>
    <cellStyle name="常规 4 2 4 2 3 2 4 4" xfId="12482"/>
    <cellStyle name="常规 4 2 4 2 3 2 4 4 2" xfId="31330"/>
    <cellStyle name="常规 4 2 4 2 3 2 4 5" xfId="21906"/>
    <cellStyle name="常规 4 2 4 2 3 2 5" xfId="3846"/>
    <cellStyle name="常规 4 2 4 2 3 2 5 2" xfId="13266"/>
    <cellStyle name="常规 4 2 4 2 3 2 5 2 2" xfId="32114"/>
    <cellStyle name="常规 4 2 4 2 3 2 5 3" xfId="22690"/>
    <cellStyle name="常规 4 2 4 2 3 2 6" xfId="6982"/>
    <cellStyle name="常规 4 2 4 2 3 2 6 2" xfId="16402"/>
    <cellStyle name="常规 4 2 4 2 3 2 6 2 2" xfId="35250"/>
    <cellStyle name="常规 4 2 4 2 3 2 6 3" xfId="25826"/>
    <cellStyle name="常规 4 2 4 2 3 2 7" xfId="10130"/>
    <cellStyle name="常规 4 2 4 2 3 2 7 2" xfId="28978"/>
    <cellStyle name="常规 4 2 4 2 3 2 8" xfId="19554"/>
    <cellStyle name="常规 4 2 4 2 3 3" xfId="1102"/>
    <cellStyle name="常规 4 2 4 2 3 3 2" xfId="4238"/>
    <cellStyle name="常规 4 2 4 2 3 3 2 2" xfId="13658"/>
    <cellStyle name="常规 4 2 4 2 3 3 2 2 2" xfId="32506"/>
    <cellStyle name="常规 4 2 4 2 3 3 2 3" xfId="23082"/>
    <cellStyle name="常规 4 2 4 2 3 3 3" xfId="7374"/>
    <cellStyle name="常规 4 2 4 2 3 3 3 2" xfId="16794"/>
    <cellStyle name="常规 4 2 4 2 3 3 3 2 2" xfId="35642"/>
    <cellStyle name="常规 4 2 4 2 3 3 3 3" xfId="26218"/>
    <cellStyle name="常规 4 2 4 2 3 3 4" xfId="10522"/>
    <cellStyle name="常规 4 2 4 2 3 3 4 2" xfId="29370"/>
    <cellStyle name="常规 4 2 4 2 3 3 5" xfId="19946"/>
    <cellStyle name="常规 4 2 4 2 3 4" xfId="1886"/>
    <cellStyle name="常规 4 2 4 2 3 4 2" xfId="5022"/>
    <cellStyle name="常规 4 2 4 2 3 4 2 2" xfId="14442"/>
    <cellStyle name="常规 4 2 4 2 3 4 2 2 2" xfId="33290"/>
    <cellStyle name="常规 4 2 4 2 3 4 2 3" xfId="23866"/>
    <cellStyle name="常规 4 2 4 2 3 4 3" xfId="8158"/>
    <cellStyle name="常规 4 2 4 2 3 4 3 2" xfId="17578"/>
    <cellStyle name="常规 4 2 4 2 3 4 3 2 2" xfId="36426"/>
    <cellStyle name="常规 4 2 4 2 3 4 3 3" xfId="27002"/>
    <cellStyle name="常规 4 2 4 2 3 4 4" xfId="11306"/>
    <cellStyle name="常规 4 2 4 2 3 4 4 2" xfId="30154"/>
    <cellStyle name="常规 4 2 4 2 3 4 5" xfId="20730"/>
    <cellStyle name="常规 4 2 4 2 3 5" xfId="2670"/>
    <cellStyle name="常规 4 2 4 2 3 5 2" xfId="5806"/>
    <cellStyle name="常规 4 2 4 2 3 5 2 2" xfId="15226"/>
    <cellStyle name="常规 4 2 4 2 3 5 2 2 2" xfId="34074"/>
    <cellStyle name="常规 4 2 4 2 3 5 2 3" xfId="24650"/>
    <cellStyle name="常规 4 2 4 2 3 5 3" xfId="8942"/>
    <cellStyle name="常规 4 2 4 2 3 5 3 2" xfId="18362"/>
    <cellStyle name="常规 4 2 4 2 3 5 3 2 2" xfId="37210"/>
    <cellStyle name="常规 4 2 4 2 3 5 3 3" xfId="27786"/>
    <cellStyle name="常规 4 2 4 2 3 5 4" xfId="12090"/>
    <cellStyle name="常规 4 2 4 2 3 5 4 2" xfId="30938"/>
    <cellStyle name="常规 4 2 4 2 3 5 5" xfId="21514"/>
    <cellStyle name="常规 4 2 4 2 3 6" xfId="3471"/>
    <cellStyle name="常规 4 2 4 2 3 6 2" xfId="12891"/>
    <cellStyle name="常规 4 2 4 2 3 6 2 2" xfId="31739"/>
    <cellStyle name="常规 4 2 4 2 3 6 3" xfId="22315"/>
    <cellStyle name="常规 4 2 4 2 3 7" xfId="6590"/>
    <cellStyle name="常规 4 2 4 2 3 7 2" xfId="16010"/>
    <cellStyle name="常规 4 2 4 2 3 7 2 2" xfId="34858"/>
    <cellStyle name="常规 4 2 4 2 3 7 3" xfId="25434"/>
    <cellStyle name="常规 4 2 4 2 3 8" xfId="9737"/>
    <cellStyle name="常规 4 2 4 2 3 8 2" xfId="28582"/>
    <cellStyle name="常规 4 2 4 2 3 9" xfId="19160"/>
    <cellStyle name="常规 4 2 4 2 4" xfId="707"/>
    <cellStyle name="常规 4 2 4 2 4 2" xfId="1491"/>
    <cellStyle name="常规 4 2 4 2 4 2 2" xfId="4627"/>
    <cellStyle name="常规 4 2 4 2 4 2 2 2" xfId="14047"/>
    <cellStyle name="常规 4 2 4 2 4 2 2 2 2" xfId="32895"/>
    <cellStyle name="常规 4 2 4 2 4 2 2 3" xfId="23471"/>
    <cellStyle name="常规 4 2 4 2 4 2 3" xfId="7763"/>
    <cellStyle name="常规 4 2 4 2 4 2 3 2" xfId="17183"/>
    <cellStyle name="常规 4 2 4 2 4 2 3 2 2" xfId="36031"/>
    <cellStyle name="常规 4 2 4 2 4 2 3 3" xfId="26607"/>
    <cellStyle name="常规 4 2 4 2 4 2 4" xfId="10911"/>
    <cellStyle name="常规 4 2 4 2 4 2 4 2" xfId="29759"/>
    <cellStyle name="常规 4 2 4 2 4 2 5" xfId="20335"/>
    <cellStyle name="常规 4 2 4 2 4 3" xfId="2275"/>
    <cellStyle name="常规 4 2 4 2 4 3 2" xfId="5411"/>
    <cellStyle name="常规 4 2 4 2 4 3 2 2" xfId="14831"/>
    <cellStyle name="常规 4 2 4 2 4 3 2 2 2" xfId="33679"/>
    <cellStyle name="常规 4 2 4 2 4 3 2 3" xfId="24255"/>
    <cellStyle name="常规 4 2 4 2 4 3 3" xfId="8547"/>
    <cellStyle name="常规 4 2 4 2 4 3 3 2" xfId="17967"/>
    <cellStyle name="常规 4 2 4 2 4 3 3 2 2" xfId="36815"/>
    <cellStyle name="常规 4 2 4 2 4 3 3 3" xfId="27391"/>
    <cellStyle name="常规 4 2 4 2 4 3 4" xfId="11695"/>
    <cellStyle name="常规 4 2 4 2 4 3 4 2" xfId="30543"/>
    <cellStyle name="常规 4 2 4 2 4 3 5" xfId="21119"/>
    <cellStyle name="常规 4 2 4 2 4 4" xfId="3059"/>
    <cellStyle name="常规 4 2 4 2 4 4 2" xfId="6195"/>
    <cellStyle name="常规 4 2 4 2 4 4 2 2" xfId="15615"/>
    <cellStyle name="常规 4 2 4 2 4 4 2 2 2" xfId="34463"/>
    <cellStyle name="常规 4 2 4 2 4 4 2 3" xfId="25039"/>
    <cellStyle name="常规 4 2 4 2 4 4 3" xfId="9331"/>
    <cellStyle name="常规 4 2 4 2 4 4 3 2" xfId="18751"/>
    <cellStyle name="常规 4 2 4 2 4 4 3 2 2" xfId="37599"/>
    <cellStyle name="常规 4 2 4 2 4 4 3 3" xfId="28175"/>
    <cellStyle name="常规 4 2 4 2 4 4 4" xfId="12479"/>
    <cellStyle name="常规 4 2 4 2 4 4 4 2" xfId="31327"/>
    <cellStyle name="常规 4 2 4 2 4 4 5" xfId="21903"/>
    <cellStyle name="常规 4 2 4 2 4 5" xfId="3843"/>
    <cellStyle name="常规 4 2 4 2 4 5 2" xfId="13263"/>
    <cellStyle name="常规 4 2 4 2 4 5 2 2" xfId="32111"/>
    <cellStyle name="常规 4 2 4 2 4 5 3" xfId="22687"/>
    <cellStyle name="常规 4 2 4 2 4 6" xfId="6979"/>
    <cellStyle name="常规 4 2 4 2 4 6 2" xfId="16399"/>
    <cellStyle name="常规 4 2 4 2 4 6 2 2" xfId="35247"/>
    <cellStyle name="常规 4 2 4 2 4 6 3" xfId="25823"/>
    <cellStyle name="常规 4 2 4 2 4 7" xfId="10127"/>
    <cellStyle name="常规 4 2 4 2 4 7 2" xfId="28975"/>
    <cellStyle name="常规 4 2 4 2 4 8" xfId="19551"/>
    <cellStyle name="常规 4 2 4 2 5" xfId="1099"/>
    <cellStyle name="常规 4 2 4 2 5 2" xfId="4235"/>
    <cellStyle name="常规 4 2 4 2 5 2 2" xfId="13655"/>
    <cellStyle name="常规 4 2 4 2 5 2 2 2" xfId="32503"/>
    <cellStyle name="常规 4 2 4 2 5 2 3" xfId="23079"/>
    <cellStyle name="常规 4 2 4 2 5 3" xfId="7371"/>
    <cellStyle name="常规 4 2 4 2 5 3 2" xfId="16791"/>
    <cellStyle name="常规 4 2 4 2 5 3 2 2" xfId="35639"/>
    <cellStyle name="常规 4 2 4 2 5 3 3" xfId="26215"/>
    <cellStyle name="常规 4 2 4 2 5 4" xfId="10519"/>
    <cellStyle name="常规 4 2 4 2 5 4 2" xfId="29367"/>
    <cellStyle name="常规 4 2 4 2 5 5" xfId="19943"/>
    <cellStyle name="常规 4 2 4 2 6" xfId="1883"/>
    <cellStyle name="常规 4 2 4 2 6 2" xfId="5019"/>
    <cellStyle name="常规 4 2 4 2 6 2 2" xfId="14439"/>
    <cellStyle name="常规 4 2 4 2 6 2 2 2" xfId="33287"/>
    <cellStyle name="常规 4 2 4 2 6 2 3" xfId="23863"/>
    <cellStyle name="常规 4 2 4 2 6 3" xfId="8155"/>
    <cellStyle name="常规 4 2 4 2 6 3 2" xfId="17575"/>
    <cellStyle name="常规 4 2 4 2 6 3 2 2" xfId="36423"/>
    <cellStyle name="常规 4 2 4 2 6 3 3" xfId="26999"/>
    <cellStyle name="常规 4 2 4 2 6 4" xfId="11303"/>
    <cellStyle name="常规 4 2 4 2 6 4 2" xfId="30151"/>
    <cellStyle name="常规 4 2 4 2 6 5" xfId="20727"/>
    <cellStyle name="常规 4 2 4 2 7" xfId="2667"/>
    <cellStyle name="常规 4 2 4 2 7 2" xfId="5803"/>
    <cellStyle name="常规 4 2 4 2 7 2 2" xfId="15223"/>
    <cellStyle name="常规 4 2 4 2 7 2 2 2" xfId="34071"/>
    <cellStyle name="常规 4 2 4 2 7 2 3" xfId="24647"/>
    <cellStyle name="常规 4 2 4 2 7 3" xfId="8939"/>
    <cellStyle name="常规 4 2 4 2 7 3 2" xfId="18359"/>
    <cellStyle name="常规 4 2 4 2 7 3 2 2" xfId="37207"/>
    <cellStyle name="常规 4 2 4 2 7 3 3" xfId="27783"/>
    <cellStyle name="常规 4 2 4 2 7 4" xfId="12087"/>
    <cellStyle name="常规 4 2 4 2 7 4 2" xfId="30935"/>
    <cellStyle name="常规 4 2 4 2 7 5" xfId="21511"/>
    <cellStyle name="常规 4 2 4 2 8" xfId="3231"/>
    <cellStyle name="常规 4 2 4 2 8 2" xfId="12651"/>
    <cellStyle name="常规 4 2 4 2 8 2 2" xfId="31499"/>
    <cellStyle name="常规 4 2 4 2 8 3" xfId="22075"/>
    <cellStyle name="常规 4 2 4 2 9" xfId="6587"/>
    <cellStyle name="常规 4 2 4 2 9 2" xfId="16007"/>
    <cellStyle name="常规 4 2 4 2 9 2 2" xfId="34855"/>
    <cellStyle name="常规 4 2 4 2 9 3" xfId="25431"/>
    <cellStyle name="常规 4 2 4 3" xfId="315"/>
    <cellStyle name="常规 4 2 4 3 10" xfId="19161"/>
    <cellStyle name="常规 4 2 4 3 2" xfId="316"/>
    <cellStyle name="常规 4 2 4 3 2 2" xfId="712"/>
    <cellStyle name="常规 4 2 4 3 2 2 2" xfId="1496"/>
    <cellStyle name="常规 4 2 4 3 2 2 2 2" xfId="4632"/>
    <cellStyle name="常规 4 2 4 3 2 2 2 2 2" xfId="14052"/>
    <cellStyle name="常规 4 2 4 3 2 2 2 2 2 2" xfId="32900"/>
    <cellStyle name="常规 4 2 4 3 2 2 2 2 3" xfId="23476"/>
    <cellStyle name="常规 4 2 4 3 2 2 2 3" xfId="7768"/>
    <cellStyle name="常规 4 2 4 3 2 2 2 3 2" xfId="17188"/>
    <cellStyle name="常规 4 2 4 3 2 2 2 3 2 2" xfId="36036"/>
    <cellStyle name="常规 4 2 4 3 2 2 2 3 3" xfId="26612"/>
    <cellStyle name="常规 4 2 4 3 2 2 2 4" xfId="10916"/>
    <cellStyle name="常规 4 2 4 3 2 2 2 4 2" xfId="29764"/>
    <cellStyle name="常规 4 2 4 3 2 2 2 5" xfId="20340"/>
    <cellStyle name="常规 4 2 4 3 2 2 3" xfId="2280"/>
    <cellStyle name="常规 4 2 4 3 2 2 3 2" xfId="5416"/>
    <cellStyle name="常规 4 2 4 3 2 2 3 2 2" xfId="14836"/>
    <cellStyle name="常规 4 2 4 3 2 2 3 2 2 2" xfId="33684"/>
    <cellStyle name="常规 4 2 4 3 2 2 3 2 3" xfId="24260"/>
    <cellStyle name="常规 4 2 4 3 2 2 3 3" xfId="8552"/>
    <cellStyle name="常规 4 2 4 3 2 2 3 3 2" xfId="17972"/>
    <cellStyle name="常规 4 2 4 3 2 2 3 3 2 2" xfId="36820"/>
    <cellStyle name="常规 4 2 4 3 2 2 3 3 3" xfId="27396"/>
    <cellStyle name="常规 4 2 4 3 2 2 3 4" xfId="11700"/>
    <cellStyle name="常规 4 2 4 3 2 2 3 4 2" xfId="30548"/>
    <cellStyle name="常规 4 2 4 3 2 2 3 5" xfId="21124"/>
    <cellStyle name="常规 4 2 4 3 2 2 4" xfId="3064"/>
    <cellStyle name="常规 4 2 4 3 2 2 4 2" xfId="6200"/>
    <cellStyle name="常规 4 2 4 3 2 2 4 2 2" xfId="15620"/>
    <cellStyle name="常规 4 2 4 3 2 2 4 2 2 2" xfId="34468"/>
    <cellStyle name="常规 4 2 4 3 2 2 4 2 3" xfId="25044"/>
    <cellStyle name="常规 4 2 4 3 2 2 4 3" xfId="9336"/>
    <cellStyle name="常规 4 2 4 3 2 2 4 3 2" xfId="18756"/>
    <cellStyle name="常规 4 2 4 3 2 2 4 3 2 2" xfId="37604"/>
    <cellStyle name="常规 4 2 4 3 2 2 4 3 3" xfId="28180"/>
    <cellStyle name="常规 4 2 4 3 2 2 4 4" xfId="12484"/>
    <cellStyle name="常规 4 2 4 3 2 2 4 4 2" xfId="31332"/>
    <cellStyle name="常规 4 2 4 3 2 2 4 5" xfId="21908"/>
    <cellStyle name="常规 4 2 4 3 2 2 5" xfId="3848"/>
    <cellStyle name="常规 4 2 4 3 2 2 5 2" xfId="13268"/>
    <cellStyle name="常规 4 2 4 3 2 2 5 2 2" xfId="32116"/>
    <cellStyle name="常规 4 2 4 3 2 2 5 3" xfId="22692"/>
    <cellStyle name="常规 4 2 4 3 2 2 6" xfId="6984"/>
    <cellStyle name="常规 4 2 4 3 2 2 6 2" xfId="16404"/>
    <cellStyle name="常规 4 2 4 3 2 2 6 2 2" xfId="35252"/>
    <cellStyle name="常规 4 2 4 3 2 2 6 3" xfId="25828"/>
    <cellStyle name="常规 4 2 4 3 2 2 7" xfId="10132"/>
    <cellStyle name="常规 4 2 4 3 2 2 7 2" xfId="28980"/>
    <cellStyle name="常规 4 2 4 3 2 2 8" xfId="19556"/>
    <cellStyle name="常规 4 2 4 3 2 3" xfId="1104"/>
    <cellStyle name="常规 4 2 4 3 2 3 2" xfId="4240"/>
    <cellStyle name="常规 4 2 4 3 2 3 2 2" xfId="13660"/>
    <cellStyle name="常规 4 2 4 3 2 3 2 2 2" xfId="32508"/>
    <cellStyle name="常规 4 2 4 3 2 3 2 3" xfId="23084"/>
    <cellStyle name="常规 4 2 4 3 2 3 3" xfId="7376"/>
    <cellStyle name="常规 4 2 4 3 2 3 3 2" xfId="16796"/>
    <cellStyle name="常规 4 2 4 3 2 3 3 2 2" xfId="35644"/>
    <cellStyle name="常规 4 2 4 3 2 3 3 3" xfId="26220"/>
    <cellStyle name="常规 4 2 4 3 2 3 4" xfId="10524"/>
    <cellStyle name="常规 4 2 4 3 2 3 4 2" xfId="29372"/>
    <cellStyle name="常规 4 2 4 3 2 3 5" xfId="19948"/>
    <cellStyle name="常规 4 2 4 3 2 4" xfId="1888"/>
    <cellStyle name="常规 4 2 4 3 2 4 2" xfId="5024"/>
    <cellStyle name="常规 4 2 4 3 2 4 2 2" xfId="14444"/>
    <cellStyle name="常规 4 2 4 3 2 4 2 2 2" xfId="33292"/>
    <cellStyle name="常规 4 2 4 3 2 4 2 3" xfId="23868"/>
    <cellStyle name="常规 4 2 4 3 2 4 3" xfId="8160"/>
    <cellStyle name="常规 4 2 4 3 2 4 3 2" xfId="17580"/>
    <cellStyle name="常规 4 2 4 3 2 4 3 2 2" xfId="36428"/>
    <cellStyle name="常规 4 2 4 3 2 4 3 3" xfId="27004"/>
    <cellStyle name="常规 4 2 4 3 2 4 4" xfId="11308"/>
    <cellStyle name="常规 4 2 4 3 2 4 4 2" xfId="30156"/>
    <cellStyle name="常规 4 2 4 3 2 4 5" xfId="20732"/>
    <cellStyle name="常规 4 2 4 3 2 5" xfId="2672"/>
    <cellStyle name="常规 4 2 4 3 2 5 2" xfId="5808"/>
    <cellStyle name="常规 4 2 4 3 2 5 2 2" xfId="15228"/>
    <cellStyle name="常规 4 2 4 3 2 5 2 2 2" xfId="34076"/>
    <cellStyle name="常规 4 2 4 3 2 5 2 3" xfId="24652"/>
    <cellStyle name="常规 4 2 4 3 2 5 3" xfId="8944"/>
    <cellStyle name="常规 4 2 4 3 2 5 3 2" xfId="18364"/>
    <cellStyle name="常规 4 2 4 3 2 5 3 2 2" xfId="37212"/>
    <cellStyle name="常规 4 2 4 3 2 5 3 3" xfId="27788"/>
    <cellStyle name="常规 4 2 4 3 2 5 4" xfId="12092"/>
    <cellStyle name="常规 4 2 4 3 2 5 4 2" xfId="30940"/>
    <cellStyle name="常规 4 2 4 3 2 5 5" xfId="21516"/>
    <cellStyle name="常规 4 2 4 3 2 6" xfId="3473"/>
    <cellStyle name="常规 4 2 4 3 2 6 2" xfId="12893"/>
    <cellStyle name="常规 4 2 4 3 2 6 2 2" xfId="31741"/>
    <cellStyle name="常规 4 2 4 3 2 6 3" xfId="22317"/>
    <cellStyle name="常规 4 2 4 3 2 7" xfId="6592"/>
    <cellStyle name="常规 4 2 4 3 2 7 2" xfId="16012"/>
    <cellStyle name="常规 4 2 4 3 2 7 2 2" xfId="34860"/>
    <cellStyle name="常规 4 2 4 3 2 7 3" xfId="25436"/>
    <cellStyle name="常规 4 2 4 3 2 8" xfId="9739"/>
    <cellStyle name="常规 4 2 4 3 2 8 2" xfId="28584"/>
    <cellStyle name="常规 4 2 4 3 2 9" xfId="19162"/>
    <cellStyle name="常规 4 2 4 3 3" xfId="711"/>
    <cellStyle name="常规 4 2 4 3 3 2" xfId="1495"/>
    <cellStyle name="常规 4 2 4 3 3 2 2" xfId="4631"/>
    <cellStyle name="常规 4 2 4 3 3 2 2 2" xfId="14051"/>
    <cellStyle name="常规 4 2 4 3 3 2 2 2 2" xfId="32899"/>
    <cellStyle name="常规 4 2 4 3 3 2 2 3" xfId="23475"/>
    <cellStyle name="常规 4 2 4 3 3 2 3" xfId="7767"/>
    <cellStyle name="常规 4 2 4 3 3 2 3 2" xfId="17187"/>
    <cellStyle name="常规 4 2 4 3 3 2 3 2 2" xfId="36035"/>
    <cellStyle name="常规 4 2 4 3 3 2 3 3" xfId="26611"/>
    <cellStyle name="常规 4 2 4 3 3 2 4" xfId="10915"/>
    <cellStyle name="常规 4 2 4 3 3 2 4 2" xfId="29763"/>
    <cellStyle name="常规 4 2 4 3 3 2 5" xfId="20339"/>
    <cellStyle name="常规 4 2 4 3 3 3" xfId="2279"/>
    <cellStyle name="常规 4 2 4 3 3 3 2" xfId="5415"/>
    <cellStyle name="常规 4 2 4 3 3 3 2 2" xfId="14835"/>
    <cellStyle name="常规 4 2 4 3 3 3 2 2 2" xfId="33683"/>
    <cellStyle name="常规 4 2 4 3 3 3 2 3" xfId="24259"/>
    <cellStyle name="常规 4 2 4 3 3 3 3" xfId="8551"/>
    <cellStyle name="常规 4 2 4 3 3 3 3 2" xfId="17971"/>
    <cellStyle name="常规 4 2 4 3 3 3 3 2 2" xfId="36819"/>
    <cellStyle name="常规 4 2 4 3 3 3 3 3" xfId="27395"/>
    <cellStyle name="常规 4 2 4 3 3 3 4" xfId="11699"/>
    <cellStyle name="常规 4 2 4 3 3 3 4 2" xfId="30547"/>
    <cellStyle name="常规 4 2 4 3 3 3 5" xfId="21123"/>
    <cellStyle name="常规 4 2 4 3 3 4" xfId="3063"/>
    <cellStyle name="常规 4 2 4 3 3 4 2" xfId="6199"/>
    <cellStyle name="常规 4 2 4 3 3 4 2 2" xfId="15619"/>
    <cellStyle name="常规 4 2 4 3 3 4 2 2 2" xfId="34467"/>
    <cellStyle name="常规 4 2 4 3 3 4 2 3" xfId="25043"/>
    <cellStyle name="常规 4 2 4 3 3 4 3" xfId="9335"/>
    <cellStyle name="常规 4 2 4 3 3 4 3 2" xfId="18755"/>
    <cellStyle name="常规 4 2 4 3 3 4 3 2 2" xfId="37603"/>
    <cellStyle name="常规 4 2 4 3 3 4 3 3" xfId="28179"/>
    <cellStyle name="常规 4 2 4 3 3 4 4" xfId="12483"/>
    <cellStyle name="常规 4 2 4 3 3 4 4 2" xfId="31331"/>
    <cellStyle name="常规 4 2 4 3 3 4 5" xfId="21907"/>
    <cellStyle name="常规 4 2 4 3 3 5" xfId="3847"/>
    <cellStyle name="常规 4 2 4 3 3 5 2" xfId="13267"/>
    <cellStyle name="常规 4 2 4 3 3 5 2 2" xfId="32115"/>
    <cellStyle name="常规 4 2 4 3 3 5 3" xfId="22691"/>
    <cellStyle name="常规 4 2 4 3 3 6" xfId="6983"/>
    <cellStyle name="常规 4 2 4 3 3 6 2" xfId="16403"/>
    <cellStyle name="常规 4 2 4 3 3 6 2 2" xfId="35251"/>
    <cellStyle name="常规 4 2 4 3 3 6 3" xfId="25827"/>
    <cellStyle name="常规 4 2 4 3 3 7" xfId="10131"/>
    <cellStyle name="常规 4 2 4 3 3 7 2" xfId="28979"/>
    <cellStyle name="常规 4 2 4 3 3 8" xfId="19555"/>
    <cellStyle name="常规 4 2 4 3 4" xfId="1103"/>
    <cellStyle name="常规 4 2 4 3 4 2" xfId="4239"/>
    <cellStyle name="常规 4 2 4 3 4 2 2" xfId="13659"/>
    <cellStyle name="常规 4 2 4 3 4 2 2 2" xfId="32507"/>
    <cellStyle name="常规 4 2 4 3 4 2 3" xfId="23083"/>
    <cellStyle name="常规 4 2 4 3 4 3" xfId="7375"/>
    <cellStyle name="常规 4 2 4 3 4 3 2" xfId="16795"/>
    <cellStyle name="常规 4 2 4 3 4 3 2 2" xfId="35643"/>
    <cellStyle name="常规 4 2 4 3 4 3 3" xfId="26219"/>
    <cellStyle name="常规 4 2 4 3 4 4" xfId="10523"/>
    <cellStyle name="常规 4 2 4 3 4 4 2" xfId="29371"/>
    <cellStyle name="常规 4 2 4 3 4 5" xfId="19947"/>
    <cellStyle name="常规 4 2 4 3 5" xfId="1887"/>
    <cellStyle name="常规 4 2 4 3 5 2" xfId="5023"/>
    <cellStyle name="常规 4 2 4 3 5 2 2" xfId="14443"/>
    <cellStyle name="常规 4 2 4 3 5 2 2 2" xfId="33291"/>
    <cellStyle name="常规 4 2 4 3 5 2 3" xfId="23867"/>
    <cellStyle name="常规 4 2 4 3 5 3" xfId="8159"/>
    <cellStyle name="常规 4 2 4 3 5 3 2" xfId="17579"/>
    <cellStyle name="常规 4 2 4 3 5 3 2 2" xfId="36427"/>
    <cellStyle name="常规 4 2 4 3 5 3 3" xfId="27003"/>
    <cellStyle name="常规 4 2 4 3 5 4" xfId="11307"/>
    <cellStyle name="常规 4 2 4 3 5 4 2" xfId="30155"/>
    <cellStyle name="常规 4 2 4 3 5 5" xfId="20731"/>
    <cellStyle name="常规 4 2 4 3 6" xfId="2671"/>
    <cellStyle name="常规 4 2 4 3 6 2" xfId="5807"/>
    <cellStyle name="常规 4 2 4 3 6 2 2" xfId="15227"/>
    <cellStyle name="常规 4 2 4 3 6 2 2 2" xfId="34075"/>
    <cellStyle name="常规 4 2 4 3 6 2 3" xfId="24651"/>
    <cellStyle name="常规 4 2 4 3 6 3" xfId="8943"/>
    <cellStyle name="常规 4 2 4 3 6 3 2" xfId="18363"/>
    <cellStyle name="常规 4 2 4 3 6 3 2 2" xfId="37211"/>
    <cellStyle name="常规 4 2 4 3 6 3 3" xfId="27787"/>
    <cellStyle name="常规 4 2 4 3 6 4" xfId="12091"/>
    <cellStyle name="常规 4 2 4 3 6 4 2" xfId="30939"/>
    <cellStyle name="常规 4 2 4 3 6 5" xfId="21515"/>
    <cellStyle name="常规 4 2 4 3 7" xfId="3472"/>
    <cellStyle name="常规 4 2 4 3 7 2" xfId="12892"/>
    <cellStyle name="常规 4 2 4 3 7 2 2" xfId="31740"/>
    <cellStyle name="常规 4 2 4 3 7 3" xfId="22316"/>
    <cellStyle name="常规 4 2 4 3 8" xfId="6591"/>
    <cellStyle name="常规 4 2 4 3 8 2" xfId="16011"/>
    <cellStyle name="常规 4 2 4 3 8 2 2" xfId="34859"/>
    <cellStyle name="常规 4 2 4 3 8 3" xfId="25435"/>
    <cellStyle name="常规 4 2 4 3 9" xfId="9738"/>
    <cellStyle name="常规 4 2 4 3 9 2" xfId="28583"/>
    <cellStyle name="常规 4 2 4 4" xfId="317"/>
    <cellStyle name="常规 4 2 4 4 2" xfId="713"/>
    <cellStyle name="常规 4 2 4 4 2 2" xfId="1497"/>
    <cellStyle name="常规 4 2 4 4 2 2 2" xfId="4633"/>
    <cellStyle name="常规 4 2 4 4 2 2 2 2" xfId="14053"/>
    <cellStyle name="常规 4 2 4 4 2 2 2 2 2" xfId="32901"/>
    <cellStyle name="常规 4 2 4 4 2 2 2 3" xfId="23477"/>
    <cellStyle name="常规 4 2 4 4 2 2 3" xfId="7769"/>
    <cellStyle name="常规 4 2 4 4 2 2 3 2" xfId="17189"/>
    <cellStyle name="常规 4 2 4 4 2 2 3 2 2" xfId="36037"/>
    <cellStyle name="常规 4 2 4 4 2 2 3 3" xfId="26613"/>
    <cellStyle name="常规 4 2 4 4 2 2 4" xfId="10917"/>
    <cellStyle name="常规 4 2 4 4 2 2 4 2" xfId="29765"/>
    <cellStyle name="常规 4 2 4 4 2 2 5" xfId="20341"/>
    <cellStyle name="常规 4 2 4 4 2 3" xfId="2281"/>
    <cellStyle name="常规 4 2 4 4 2 3 2" xfId="5417"/>
    <cellStyle name="常规 4 2 4 4 2 3 2 2" xfId="14837"/>
    <cellStyle name="常规 4 2 4 4 2 3 2 2 2" xfId="33685"/>
    <cellStyle name="常规 4 2 4 4 2 3 2 3" xfId="24261"/>
    <cellStyle name="常规 4 2 4 4 2 3 3" xfId="8553"/>
    <cellStyle name="常规 4 2 4 4 2 3 3 2" xfId="17973"/>
    <cellStyle name="常规 4 2 4 4 2 3 3 2 2" xfId="36821"/>
    <cellStyle name="常规 4 2 4 4 2 3 3 3" xfId="27397"/>
    <cellStyle name="常规 4 2 4 4 2 3 4" xfId="11701"/>
    <cellStyle name="常规 4 2 4 4 2 3 4 2" xfId="30549"/>
    <cellStyle name="常规 4 2 4 4 2 3 5" xfId="21125"/>
    <cellStyle name="常规 4 2 4 4 2 4" xfId="3065"/>
    <cellStyle name="常规 4 2 4 4 2 4 2" xfId="6201"/>
    <cellStyle name="常规 4 2 4 4 2 4 2 2" xfId="15621"/>
    <cellStyle name="常规 4 2 4 4 2 4 2 2 2" xfId="34469"/>
    <cellStyle name="常规 4 2 4 4 2 4 2 3" xfId="25045"/>
    <cellStyle name="常规 4 2 4 4 2 4 3" xfId="9337"/>
    <cellStyle name="常规 4 2 4 4 2 4 3 2" xfId="18757"/>
    <cellStyle name="常规 4 2 4 4 2 4 3 2 2" xfId="37605"/>
    <cellStyle name="常规 4 2 4 4 2 4 3 3" xfId="28181"/>
    <cellStyle name="常规 4 2 4 4 2 4 4" xfId="12485"/>
    <cellStyle name="常规 4 2 4 4 2 4 4 2" xfId="31333"/>
    <cellStyle name="常规 4 2 4 4 2 4 5" xfId="21909"/>
    <cellStyle name="常规 4 2 4 4 2 5" xfId="3849"/>
    <cellStyle name="常规 4 2 4 4 2 5 2" xfId="13269"/>
    <cellStyle name="常规 4 2 4 4 2 5 2 2" xfId="32117"/>
    <cellStyle name="常规 4 2 4 4 2 5 3" xfId="22693"/>
    <cellStyle name="常规 4 2 4 4 2 6" xfId="6985"/>
    <cellStyle name="常规 4 2 4 4 2 6 2" xfId="16405"/>
    <cellStyle name="常规 4 2 4 4 2 6 2 2" xfId="35253"/>
    <cellStyle name="常规 4 2 4 4 2 6 3" xfId="25829"/>
    <cellStyle name="常规 4 2 4 4 2 7" xfId="10133"/>
    <cellStyle name="常规 4 2 4 4 2 7 2" xfId="28981"/>
    <cellStyle name="常规 4 2 4 4 2 8" xfId="19557"/>
    <cellStyle name="常规 4 2 4 4 3" xfId="1105"/>
    <cellStyle name="常规 4 2 4 4 3 2" xfId="4241"/>
    <cellStyle name="常规 4 2 4 4 3 2 2" xfId="13661"/>
    <cellStyle name="常规 4 2 4 4 3 2 2 2" xfId="32509"/>
    <cellStyle name="常规 4 2 4 4 3 2 3" xfId="23085"/>
    <cellStyle name="常规 4 2 4 4 3 3" xfId="7377"/>
    <cellStyle name="常规 4 2 4 4 3 3 2" xfId="16797"/>
    <cellStyle name="常规 4 2 4 4 3 3 2 2" xfId="35645"/>
    <cellStyle name="常规 4 2 4 4 3 3 3" xfId="26221"/>
    <cellStyle name="常规 4 2 4 4 3 4" xfId="10525"/>
    <cellStyle name="常规 4 2 4 4 3 4 2" xfId="29373"/>
    <cellStyle name="常规 4 2 4 4 3 5" xfId="19949"/>
    <cellStyle name="常规 4 2 4 4 4" xfId="1889"/>
    <cellStyle name="常规 4 2 4 4 4 2" xfId="5025"/>
    <cellStyle name="常规 4 2 4 4 4 2 2" xfId="14445"/>
    <cellStyle name="常规 4 2 4 4 4 2 2 2" xfId="33293"/>
    <cellStyle name="常规 4 2 4 4 4 2 3" xfId="23869"/>
    <cellStyle name="常规 4 2 4 4 4 3" xfId="8161"/>
    <cellStyle name="常规 4 2 4 4 4 3 2" xfId="17581"/>
    <cellStyle name="常规 4 2 4 4 4 3 2 2" xfId="36429"/>
    <cellStyle name="常规 4 2 4 4 4 3 3" xfId="27005"/>
    <cellStyle name="常规 4 2 4 4 4 4" xfId="11309"/>
    <cellStyle name="常规 4 2 4 4 4 4 2" xfId="30157"/>
    <cellStyle name="常规 4 2 4 4 4 5" xfId="20733"/>
    <cellStyle name="常规 4 2 4 4 5" xfId="2673"/>
    <cellStyle name="常规 4 2 4 4 5 2" xfId="5809"/>
    <cellStyle name="常规 4 2 4 4 5 2 2" xfId="15229"/>
    <cellStyle name="常规 4 2 4 4 5 2 2 2" xfId="34077"/>
    <cellStyle name="常规 4 2 4 4 5 2 3" xfId="24653"/>
    <cellStyle name="常规 4 2 4 4 5 3" xfId="8945"/>
    <cellStyle name="常规 4 2 4 4 5 3 2" xfId="18365"/>
    <cellStyle name="常规 4 2 4 4 5 3 2 2" xfId="37213"/>
    <cellStyle name="常规 4 2 4 4 5 3 3" xfId="27789"/>
    <cellStyle name="常规 4 2 4 4 5 4" xfId="12093"/>
    <cellStyle name="常规 4 2 4 4 5 4 2" xfId="30941"/>
    <cellStyle name="常规 4 2 4 4 5 5" xfId="21517"/>
    <cellStyle name="常规 4 2 4 4 6" xfId="3474"/>
    <cellStyle name="常规 4 2 4 4 6 2" xfId="12894"/>
    <cellStyle name="常规 4 2 4 4 6 2 2" xfId="31742"/>
    <cellStyle name="常规 4 2 4 4 6 3" xfId="22318"/>
    <cellStyle name="常规 4 2 4 4 7" xfId="6593"/>
    <cellStyle name="常规 4 2 4 4 7 2" xfId="16013"/>
    <cellStyle name="常规 4 2 4 4 7 2 2" xfId="34861"/>
    <cellStyle name="常规 4 2 4 4 7 3" xfId="25437"/>
    <cellStyle name="常规 4 2 4 4 8" xfId="9740"/>
    <cellStyle name="常规 4 2 4 4 8 2" xfId="28585"/>
    <cellStyle name="常规 4 2 4 4 9" xfId="19163"/>
    <cellStyle name="常规 4 2 4 5" xfId="706"/>
    <cellStyle name="常规 4 2 4 5 2" xfId="1490"/>
    <cellStyle name="常规 4 2 4 5 2 2" xfId="4626"/>
    <cellStyle name="常规 4 2 4 5 2 2 2" xfId="14046"/>
    <cellStyle name="常规 4 2 4 5 2 2 2 2" xfId="32894"/>
    <cellStyle name="常规 4 2 4 5 2 2 3" xfId="23470"/>
    <cellStyle name="常规 4 2 4 5 2 3" xfId="7762"/>
    <cellStyle name="常规 4 2 4 5 2 3 2" xfId="17182"/>
    <cellStyle name="常规 4 2 4 5 2 3 2 2" xfId="36030"/>
    <cellStyle name="常规 4 2 4 5 2 3 3" xfId="26606"/>
    <cellStyle name="常规 4 2 4 5 2 4" xfId="10910"/>
    <cellStyle name="常规 4 2 4 5 2 4 2" xfId="29758"/>
    <cellStyle name="常规 4 2 4 5 2 5" xfId="20334"/>
    <cellStyle name="常规 4 2 4 5 3" xfId="2274"/>
    <cellStyle name="常规 4 2 4 5 3 2" xfId="5410"/>
    <cellStyle name="常规 4 2 4 5 3 2 2" xfId="14830"/>
    <cellStyle name="常规 4 2 4 5 3 2 2 2" xfId="33678"/>
    <cellStyle name="常规 4 2 4 5 3 2 3" xfId="24254"/>
    <cellStyle name="常规 4 2 4 5 3 3" xfId="8546"/>
    <cellStyle name="常规 4 2 4 5 3 3 2" xfId="17966"/>
    <cellStyle name="常规 4 2 4 5 3 3 2 2" xfId="36814"/>
    <cellStyle name="常规 4 2 4 5 3 3 3" xfId="27390"/>
    <cellStyle name="常规 4 2 4 5 3 4" xfId="11694"/>
    <cellStyle name="常规 4 2 4 5 3 4 2" xfId="30542"/>
    <cellStyle name="常规 4 2 4 5 3 5" xfId="21118"/>
    <cellStyle name="常规 4 2 4 5 4" xfId="3058"/>
    <cellStyle name="常规 4 2 4 5 4 2" xfId="6194"/>
    <cellStyle name="常规 4 2 4 5 4 2 2" xfId="15614"/>
    <cellStyle name="常规 4 2 4 5 4 2 2 2" xfId="34462"/>
    <cellStyle name="常规 4 2 4 5 4 2 3" xfId="25038"/>
    <cellStyle name="常规 4 2 4 5 4 3" xfId="9330"/>
    <cellStyle name="常规 4 2 4 5 4 3 2" xfId="18750"/>
    <cellStyle name="常规 4 2 4 5 4 3 2 2" xfId="37598"/>
    <cellStyle name="常规 4 2 4 5 4 3 3" xfId="28174"/>
    <cellStyle name="常规 4 2 4 5 4 4" xfId="12478"/>
    <cellStyle name="常规 4 2 4 5 4 4 2" xfId="31326"/>
    <cellStyle name="常规 4 2 4 5 4 5" xfId="21902"/>
    <cellStyle name="常规 4 2 4 5 5" xfId="3842"/>
    <cellStyle name="常规 4 2 4 5 5 2" xfId="13262"/>
    <cellStyle name="常规 4 2 4 5 5 2 2" xfId="32110"/>
    <cellStyle name="常规 4 2 4 5 5 3" xfId="22686"/>
    <cellStyle name="常规 4 2 4 5 6" xfId="6978"/>
    <cellStyle name="常规 4 2 4 5 6 2" xfId="16398"/>
    <cellStyle name="常规 4 2 4 5 6 2 2" xfId="35246"/>
    <cellStyle name="常规 4 2 4 5 6 3" xfId="25822"/>
    <cellStyle name="常规 4 2 4 5 7" xfId="10126"/>
    <cellStyle name="常规 4 2 4 5 7 2" xfId="28974"/>
    <cellStyle name="常规 4 2 4 5 8" xfId="19550"/>
    <cellStyle name="常规 4 2 4 6" xfId="1098"/>
    <cellStyle name="常规 4 2 4 6 2" xfId="4234"/>
    <cellStyle name="常规 4 2 4 6 2 2" xfId="13654"/>
    <cellStyle name="常规 4 2 4 6 2 2 2" xfId="32502"/>
    <cellStyle name="常规 4 2 4 6 2 3" xfId="23078"/>
    <cellStyle name="常规 4 2 4 6 3" xfId="7370"/>
    <cellStyle name="常规 4 2 4 6 3 2" xfId="16790"/>
    <cellStyle name="常规 4 2 4 6 3 2 2" xfId="35638"/>
    <cellStyle name="常规 4 2 4 6 3 3" xfId="26214"/>
    <cellStyle name="常规 4 2 4 6 4" xfId="10518"/>
    <cellStyle name="常规 4 2 4 6 4 2" xfId="29366"/>
    <cellStyle name="常规 4 2 4 6 5" xfId="19942"/>
    <cellStyle name="常规 4 2 4 7" xfId="1882"/>
    <cellStyle name="常规 4 2 4 7 2" xfId="5018"/>
    <cellStyle name="常规 4 2 4 7 2 2" xfId="14438"/>
    <cellStyle name="常规 4 2 4 7 2 2 2" xfId="33286"/>
    <cellStyle name="常规 4 2 4 7 2 3" xfId="23862"/>
    <cellStyle name="常规 4 2 4 7 3" xfId="8154"/>
    <cellStyle name="常规 4 2 4 7 3 2" xfId="17574"/>
    <cellStyle name="常规 4 2 4 7 3 2 2" xfId="36422"/>
    <cellStyle name="常规 4 2 4 7 3 3" xfId="26998"/>
    <cellStyle name="常规 4 2 4 7 4" xfId="11302"/>
    <cellStyle name="常规 4 2 4 7 4 2" xfId="30150"/>
    <cellStyle name="常规 4 2 4 7 5" xfId="20726"/>
    <cellStyle name="常规 4 2 4 8" xfId="2666"/>
    <cellStyle name="常规 4 2 4 8 2" xfId="5802"/>
    <cellStyle name="常规 4 2 4 8 2 2" xfId="15222"/>
    <cellStyle name="常规 4 2 4 8 2 2 2" xfId="34070"/>
    <cellStyle name="常规 4 2 4 8 2 3" xfId="24646"/>
    <cellStyle name="常规 4 2 4 8 3" xfId="8938"/>
    <cellStyle name="常规 4 2 4 8 3 2" xfId="18358"/>
    <cellStyle name="常规 4 2 4 8 3 2 2" xfId="37206"/>
    <cellStyle name="常规 4 2 4 8 3 3" xfId="27782"/>
    <cellStyle name="常规 4 2 4 8 4" xfId="12086"/>
    <cellStyle name="常规 4 2 4 8 4 2" xfId="30934"/>
    <cellStyle name="常规 4 2 4 8 5" xfId="21510"/>
    <cellStyle name="常规 4 2 4 9" xfId="3182"/>
    <cellStyle name="常规 4 2 4 9 2" xfId="12602"/>
    <cellStyle name="常规 4 2 4 9 2 2" xfId="31450"/>
    <cellStyle name="常规 4 2 4 9 3" xfId="22026"/>
    <cellStyle name="常规 4 2 5" xfId="318"/>
    <cellStyle name="常规 4 2 5 10" xfId="9741"/>
    <cellStyle name="常规 4 2 5 10 2" xfId="28586"/>
    <cellStyle name="常规 4 2 5 11" xfId="19164"/>
    <cellStyle name="常规 4 2 5 2" xfId="319"/>
    <cellStyle name="常规 4 2 5 2 10" xfId="19165"/>
    <cellStyle name="常规 4 2 5 2 2" xfId="320"/>
    <cellStyle name="常规 4 2 5 2 2 2" xfId="716"/>
    <cellStyle name="常规 4 2 5 2 2 2 2" xfId="1500"/>
    <cellStyle name="常规 4 2 5 2 2 2 2 2" xfId="4636"/>
    <cellStyle name="常规 4 2 5 2 2 2 2 2 2" xfId="14056"/>
    <cellStyle name="常规 4 2 5 2 2 2 2 2 2 2" xfId="32904"/>
    <cellStyle name="常规 4 2 5 2 2 2 2 2 3" xfId="23480"/>
    <cellStyle name="常规 4 2 5 2 2 2 2 3" xfId="7772"/>
    <cellStyle name="常规 4 2 5 2 2 2 2 3 2" xfId="17192"/>
    <cellStyle name="常规 4 2 5 2 2 2 2 3 2 2" xfId="36040"/>
    <cellStyle name="常规 4 2 5 2 2 2 2 3 3" xfId="26616"/>
    <cellStyle name="常规 4 2 5 2 2 2 2 4" xfId="10920"/>
    <cellStyle name="常规 4 2 5 2 2 2 2 4 2" xfId="29768"/>
    <cellStyle name="常规 4 2 5 2 2 2 2 5" xfId="20344"/>
    <cellStyle name="常规 4 2 5 2 2 2 3" xfId="2284"/>
    <cellStyle name="常规 4 2 5 2 2 2 3 2" xfId="5420"/>
    <cellStyle name="常规 4 2 5 2 2 2 3 2 2" xfId="14840"/>
    <cellStyle name="常规 4 2 5 2 2 2 3 2 2 2" xfId="33688"/>
    <cellStyle name="常规 4 2 5 2 2 2 3 2 3" xfId="24264"/>
    <cellStyle name="常规 4 2 5 2 2 2 3 3" xfId="8556"/>
    <cellStyle name="常规 4 2 5 2 2 2 3 3 2" xfId="17976"/>
    <cellStyle name="常规 4 2 5 2 2 2 3 3 2 2" xfId="36824"/>
    <cellStyle name="常规 4 2 5 2 2 2 3 3 3" xfId="27400"/>
    <cellStyle name="常规 4 2 5 2 2 2 3 4" xfId="11704"/>
    <cellStyle name="常规 4 2 5 2 2 2 3 4 2" xfId="30552"/>
    <cellStyle name="常规 4 2 5 2 2 2 3 5" xfId="21128"/>
    <cellStyle name="常规 4 2 5 2 2 2 4" xfId="3068"/>
    <cellStyle name="常规 4 2 5 2 2 2 4 2" xfId="6204"/>
    <cellStyle name="常规 4 2 5 2 2 2 4 2 2" xfId="15624"/>
    <cellStyle name="常规 4 2 5 2 2 2 4 2 2 2" xfId="34472"/>
    <cellStyle name="常规 4 2 5 2 2 2 4 2 3" xfId="25048"/>
    <cellStyle name="常规 4 2 5 2 2 2 4 3" xfId="9340"/>
    <cellStyle name="常规 4 2 5 2 2 2 4 3 2" xfId="18760"/>
    <cellStyle name="常规 4 2 5 2 2 2 4 3 2 2" xfId="37608"/>
    <cellStyle name="常规 4 2 5 2 2 2 4 3 3" xfId="28184"/>
    <cellStyle name="常规 4 2 5 2 2 2 4 4" xfId="12488"/>
    <cellStyle name="常规 4 2 5 2 2 2 4 4 2" xfId="31336"/>
    <cellStyle name="常规 4 2 5 2 2 2 4 5" xfId="21912"/>
    <cellStyle name="常规 4 2 5 2 2 2 5" xfId="3852"/>
    <cellStyle name="常规 4 2 5 2 2 2 5 2" xfId="13272"/>
    <cellStyle name="常规 4 2 5 2 2 2 5 2 2" xfId="32120"/>
    <cellStyle name="常规 4 2 5 2 2 2 5 3" xfId="22696"/>
    <cellStyle name="常规 4 2 5 2 2 2 6" xfId="6988"/>
    <cellStyle name="常规 4 2 5 2 2 2 6 2" xfId="16408"/>
    <cellStyle name="常规 4 2 5 2 2 2 6 2 2" xfId="35256"/>
    <cellStyle name="常规 4 2 5 2 2 2 6 3" xfId="25832"/>
    <cellStyle name="常规 4 2 5 2 2 2 7" xfId="10136"/>
    <cellStyle name="常规 4 2 5 2 2 2 7 2" xfId="28984"/>
    <cellStyle name="常规 4 2 5 2 2 2 8" xfId="19560"/>
    <cellStyle name="常规 4 2 5 2 2 3" xfId="1108"/>
    <cellStyle name="常规 4 2 5 2 2 3 2" xfId="4244"/>
    <cellStyle name="常规 4 2 5 2 2 3 2 2" xfId="13664"/>
    <cellStyle name="常规 4 2 5 2 2 3 2 2 2" xfId="32512"/>
    <cellStyle name="常规 4 2 5 2 2 3 2 3" xfId="23088"/>
    <cellStyle name="常规 4 2 5 2 2 3 3" xfId="7380"/>
    <cellStyle name="常规 4 2 5 2 2 3 3 2" xfId="16800"/>
    <cellStyle name="常规 4 2 5 2 2 3 3 2 2" xfId="35648"/>
    <cellStyle name="常规 4 2 5 2 2 3 3 3" xfId="26224"/>
    <cellStyle name="常规 4 2 5 2 2 3 4" xfId="10528"/>
    <cellStyle name="常规 4 2 5 2 2 3 4 2" xfId="29376"/>
    <cellStyle name="常规 4 2 5 2 2 3 5" xfId="19952"/>
    <cellStyle name="常规 4 2 5 2 2 4" xfId="1892"/>
    <cellStyle name="常规 4 2 5 2 2 4 2" xfId="5028"/>
    <cellStyle name="常规 4 2 5 2 2 4 2 2" xfId="14448"/>
    <cellStyle name="常规 4 2 5 2 2 4 2 2 2" xfId="33296"/>
    <cellStyle name="常规 4 2 5 2 2 4 2 3" xfId="23872"/>
    <cellStyle name="常规 4 2 5 2 2 4 3" xfId="8164"/>
    <cellStyle name="常规 4 2 5 2 2 4 3 2" xfId="17584"/>
    <cellStyle name="常规 4 2 5 2 2 4 3 2 2" xfId="36432"/>
    <cellStyle name="常规 4 2 5 2 2 4 3 3" xfId="27008"/>
    <cellStyle name="常规 4 2 5 2 2 4 4" xfId="11312"/>
    <cellStyle name="常规 4 2 5 2 2 4 4 2" xfId="30160"/>
    <cellStyle name="常规 4 2 5 2 2 4 5" xfId="20736"/>
    <cellStyle name="常规 4 2 5 2 2 5" xfId="2676"/>
    <cellStyle name="常规 4 2 5 2 2 5 2" xfId="5812"/>
    <cellStyle name="常规 4 2 5 2 2 5 2 2" xfId="15232"/>
    <cellStyle name="常规 4 2 5 2 2 5 2 2 2" xfId="34080"/>
    <cellStyle name="常规 4 2 5 2 2 5 2 3" xfId="24656"/>
    <cellStyle name="常规 4 2 5 2 2 5 3" xfId="8948"/>
    <cellStyle name="常规 4 2 5 2 2 5 3 2" xfId="18368"/>
    <cellStyle name="常规 4 2 5 2 2 5 3 2 2" xfId="37216"/>
    <cellStyle name="常规 4 2 5 2 2 5 3 3" xfId="27792"/>
    <cellStyle name="常规 4 2 5 2 2 5 4" xfId="12096"/>
    <cellStyle name="常规 4 2 5 2 2 5 4 2" xfId="30944"/>
    <cellStyle name="常规 4 2 5 2 2 5 5" xfId="21520"/>
    <cellStyle name="常规 4 2 5 2 2 6" xfId="3476"/>
    <cellStyle name="常规 4 2 5 2 2 6 2" xfId="12896"/>
    <cellStyle name="常规 4 2 5 2 2 6 2 2" xfId="31744"/>
    <cellStyle name="常规 4 2 5 2 2 6 3" xfId="22320"/>
    <cellStyle name="常规 4 2 5 2 2 7" xfId="6596"/>
    <cellStyle name="常规 4 2 5 2 2 7 2" xfId="16016"/>
    <cellStyle name="常规 4 2 5 2 2 7 2 2" xfId="34864"/>
    <cellStyle name="常规 4 2 5 2 2 7 3" xfId="25440"/>
    <cellStyle name="常规 4 2 5 2 2 8" xfId="9743"/>
    <cellStyle name="常规 4 2 5 2 2 8 2" xfId="28588"/>
    <cellStyle name="常规 4 2 5 2 2 9" xfId="19166"/>
    <cellStyle name="常规 4 2 5 2 3" xfId="715"/>
    <cellStyle name="常规 4 2 5 2 3 2" xfId="1499"/>
    <cellStyle name="常规 4 2 5 2 3 2 2" xfId="4635"/>
    <cellStyle name="常规 4 2 5 2 3 2 2 2" xfId="14055"/>
    <cellStyle name="常规 4 2 5 2 3 2 2 2 2" xfId="32903"/>
    <cellStyle name="常规 4 2 5 2 3 2 2 3" xfId="23479"/>
    <cellStyle name="常规 4 2 5 2 3 2 3" xfId="7771"/>
    <cellStyle name="常规 4 2 5 2 3 2 3 2" xfId="17191"/>
    <cellStyle name="常规 4 2 5 2 3 2 3 2 2" xfId="36039"/>
    <cellStyle name="常规 4 2 5 2 3 2 3 3" xfId="26615"/>
    <cellStyle name="常规 4 2 5 2 3 2 4" xfId="10919"/>
    <cellStyle name="常规 4 2 5 2 3 2 4 2" xfId="29767"/>
    <cellStyle name="常规 4 2 5 2 3 2 5" xfId="20343"/>
    <cellStyle name="常规 4 2 5 2 3 3" xfId="2283"/>
    <cellStyle name="常规 4 2 5 2 3 3 2" xfId="5419"/>
    <cellStyle name="常规 4 2 5 2 3 3 2 2" xfId="14839"/>
    <cellStyle name="常规 4 2 5 2 3 3 2 2 2" xfId="33687"/>
    <cellStyle name="常规 4 2 5 2 3 3 2 3" xfId="24263"/>
    <cellStyle name="常规 4 2 5 2 3 3 3" xfId="8555"/>
    <cellStyle name="常规 4 2 5 2 3 3 3 2" xfId="17975"/>
    <cellStyle name="常规 4 2 5 2 3 3 3 2 2" xfId="36823"/>
    <cellStyle name="常规 4 2 5 2 3 3 3 3" xfId="27399"/>
    <cellStyle name="常规 4 2 5 2 3 3 4" xfId="11703"/>
    <cellStyle name="常规 4 2 5 2 3 3 4 2" xfId="30551"/>
    <cellStyle name="常规 4 2 5 2 3 3 5" xfId="21127"/>
    <cellStyle name="常规 4 2 5 2 3 4" xfId="3067"/>
    <cellStyle name="常规 4 2 5 2 3 4 2" xfId="6203"/>
    <cellStyle name="常规 4 2 5 2 3 4 2 2" xfId="15623"/>
    <cellStyle name="常规 4 2 5 2 3 4 2 2 2" xfId="34471"/>
    <cellStyle name="常规 4 2 5 2 3 4 2 3" xfId="25047"/>
    <cellStyle name="常规 4 2 5 2 3 4 3" xfId="9339"/>
    <cellStyle name="常规 4 2 5 2 3 4 3 2" xfId="18759"/>
    <cellStyle name="常规 4 2 5 2 3 4 3 2 2" xfId="37607"/>
    <cellStyle name="常规 4 2 5 2 3 4 3 3" xfId="28183"/>
    <cellStyle name="常规 4 2 5 2 3 4 4" xfId="12487"/>
    <cellStyle name="常规 4 2 5 2 3 4 4 2" xfId="31335"/>
    <cellStyle name="常规 4 2 5 2 3 4 5" xfId="21911"/>
    <cellStyle name="常规 4 2 5 2 3 5" xfId="3851"/>
    <cellStyle name="常规 4 2 5 2 3 5 2" xfId="13271"/>
    <cellStyle name="常规 4 2 5 2 3 5 2 2" xfId="32119"/>
    <cellStyle name="常规 4 2 5 2 3 5 3" xfId="22695"/>
    <cellStyle name="常规 4 2 5 2 3 6" xfId="6987"/>
    <cellStyle name="常规 4 2 5 2 3 6 2" xfId="16407"/>
    <cellStyle name="常规 4 2 5 2 3 6 2 2" xfId="35255"/>
    <cellStyle name="常规 4 2 5 2 3 6 3" xfId="25831"/>
    <cellStyle name="常规 4 2 5 2 3 7" xfId="10135"/>
    <cellStyle name="常规 4 2 5 2 3 7 2" xfId="28983"/>
    <cellStyle name="常规 4 2 5 2 3 8" xfId="19559"/>
    <cellStyle name="常规 4 2 5 2 4" xfId="1107"/>
    <cellStyle name="常规 4 2 5 2 4 2" xfId="4243"/>
    <cellStyle name="常规 4 2 5 2 4 2 2" xfId="13663"/>
    <cellStyle name="常规 4 2 5 2 4 2 2 2" xfId="32511"/>
    <cellStyle name="常规 4 2 5 2 4 2 3" xfId="23087"/>
    <cellStyle name="常规 4 2 5 2 4 3" xfId="7379"/>
    <cellStyle name="常规 4 2 5 2 4 3 2" xfId="16799"/>
    <cellStyle name="常规 4 2 5 2 4 3 2 2" xfId="35647"/>
    <cellStyle name="常规 4 2 5 2 4 3 3" xfId="26223"/>
    <cellStyle name="常规 4 2 5 2 4 4" xfId="10527"/>
    <cellStyle name="常规 4 2 5 2 4 4 2" xfId="29375"/>
    <cellStyle name="常规 4 2 5 2 4 5" xfId="19951"/>
    <cellStyle name="常规 4 2 5 2 5" xfId="1891"/>
    <cellStyle name="常规 4 2 5 2 5 2" xfId="5027"/>
    <cellStyle name="常规 4 2 5 2 5 2 2" xfId="14447"/>
    <cellStyle name="常规 4 2 5 2 5 2 2 2" xfId="33295"/>
    <cellStyle name="常规 4 2 5 2 5 2 3" xfId="23871"/>
    <cellStyle name="常规 4 2 5 2 5 3" xfId="8163"/>
    <cellStyle name="常规 4 2 5 2 5 3 2" xfId="17583"/>
    <cellStyle name="常规 4 2 5 2 5 3 2 2" xfId="36431"/>
    <cellStyle name="常规 4 2 5 2 5 3 3" xfId="27007"/>
    <cellStyle name="常规 4 2 5 2 5 4" xfId="11311"/>
    <cellStyle name="常规 4 2 5 2 5 4 2" xfId="30159"/>
    <cellStyle name="常规 4 2 5 2 5 5" xfId="20735"/>
    <cellStyle name="常规 4 2 5 2 6" xfId="2675"/>
    <cellStyle name="常规 4 2 5 2 6 2" xfId="5811"/>
    <cellStyle name="常规 4 2 5 2 6 2 2" xfId="15231"/>
    <cellStyle name="常规 4 2 5 2 6 2 2 2" xfId="34079"/>
    <cellStyle name="常规 4 2 5 2 6 2 3" xfId="24655"/>
    <cellStyle name="常规 4 2 5 2 6 3" xfId="8947"/>
    <cellStyle name="常规 4 2 5 2 6 3 2" xfId="18367"/>
    <cellStyle name="常规 4 2 5 2 6 3 2 2" xfId="37215"/>
    <cellStyle name="常规 4 2 5 2 6 3 3" xfId="27791"/>
    <cellStyle name="常规 4 2 5 2 6 4" xfId="12095"/>
    <cellStyle name="常规 4 2 5 2 6 4 2" xfId="30943"/>
    <cellStyle name="常规 4 2 5 2 6 5" xfId="21519"/>
    <cellStyle name="常规 4 2 5 2 7" xfId="3475"/>
    <cellStyle name="常规 4 2 5 2 7 2" xfId="12895"/>
    <cellStyle name="常规 4 2 5 2 7 2 2" xfId="31743"/>
    <cellStyle name="常规 4 2 5 2 7 3" xfId="22319"/>
    <cellStyle name="常规 4 2 5 2 8" xfId="6595"/>
    <cellStyle name="常规 4 2 5 2 8 2" xfId="16015"/>
    <cellStyle name="常规 4 2 5 2 8 2 2" xfId="34863"/>
    <cellStyle name="常规 4 2 5 2 8 3" xfId="25439"/>
    <cellStyle name="常规 4 2 5 2 9" xfId="9742"/>
    <cellStyle name="常规 4 2 5 2 9 2" xfId="28587"/>
    <cellStyle name="常规 4 2 5 3" xfId="321"/>
    <cellStyle name="常规 4 2 5 3 2" xfId="717"/>
    <cellStyle name="常规 4 2 5 3 2 2" xfId="1501"/>
    <cellStyle name="常规 4 2 5 3 2 2 2" xfId="4637"/>
    <cellStyle name="常规 4 2 5 3 2 2 2 2" xfId="14057"/>
    <cellStyle name="常规 4 2 5 3 2 2 2 2 2" xfId="32905"/>
    <cellStyle name="常规 4 2 5 3 2 2 2 3" xfId="23481"/>
    <cellStyle name="常规 4 2 5 3 2 2 3" xfId="7773"/>
    <cellStyle name="常规 4 2 5 3 2 2 3 2" xfId="17193"/>
    <cellStyle name="常规 4 2 5 3 2 2 3 2 2" xfId="36041"/>
    <cellStyle name="常规 4 2 5 3 2 2 3 3" xfId="26617"/>
    <cellStyle name="常规 4 2 5 3 2 2 4" xfId="10921"/>
    <cellStyle name="常规 4 2 5 3 2 2 4 2" xfId="29769"/>
    <cellStyle name="常规 4 2 5 3 2 2 5" xfId="20345"/>
    <cellStyle name="常规 4 2 5 3 2 3" xfId="2285"/>
    <cellStyle name="常规 4 2 5 3 2 3 2" xfId="5421"/>
    <cellStyle name="常规 4 2 5 3 2 3 2 2" xfId="14841"/>
    <cellStyle name="常规 4 2 5 3 2 3 2 2 2" xfId="33689"/>
    <cellStyle name="常规 4 2 5 3 2 3 2 3" xfId="24265"/>
    <cellStyle name="常规 4 2 5 3 2 3 3" xfId="8557"/>
    <cellStyle name="常规 4 2 5 3 2 3 3 2" xfId="17977"/>
    <cellStyle name="常规 4 2 5 3 2 3 3 2 2" xfId="36825"/>
    <cellStyle name="常规 4 2 5 3 2 3 3 3" xfId="27401"/>
    <cellStyle name="常规 4 2 5 3 2 3 4" xfId="11705"/>
    <cellStyle name="常规 4 2 5 3 2 3 4 2" xfId="30553"/>
    <cellStyle name="常规 4 2 5 3 2 3 5" xfId="21129"/>
    <cellStyle name="常规 4 2 5 3 2 4" xfId="3069"/>
    <cellStyle name="常规 4 2 5 3 2 4 2" xfId="6205"/>
    <cellStyle name="常规 4 2 5 3 2 4 2 2" xfId="15625"/>
    <cellStyle name="常规 4 2 5 3 2 4 2 2 2" xfId="34473"/>
    <cellStyle name="常规 4 2 5 3 2 4 2 3" xfId="25049"/>
    <cellStyle name="常规 4 2 5 3 2 4 3" xfId="9341"/>
    <cellStyle name="常规 4 2 5 3 2 4 3 2" xfId="18761"/>
    <cellStyle name="常规 4 2 5 3 2 4 3 2 2" xfId="37609"/>
    <cellStyle name="常规 4 2 5 3 2 4 3 3" xfId="28185"/>
    <cellStyle name="常规 4 2 5 3 2 4 4" xfId="12489"/>
    <cellStyle name="常规 4 2 5 3 2 4 4 2" xfId="31337"/>
    <cellStyle name="常规 4 2 5 3 2 4 5" xfId="21913"/>
    <cellStyle name="常规 4 2 5 3 2 5" xfId="3853"/>
    <cellStyle name="常规 4 2 5 3 2 5 2" xfId="13273"/>
    <cellStyle name="常规 4 2 5 3 2 5 2 2" xfId="32121"/>
    <cellStyle name="常规 4 2 5 3 2 5 3" xfId="22697"/>
    <cellStyle name="常规 4 2 5 3 2 6" xfId="6989"/>
    <cellStyle name="常规 4 2 5 3 2 6 2" xfId="16409"/>
    <cellStyle name="常规 4 2 5 3 2 6 2 2" xfId="35257"/>
    <cellStyle name="常规 4 2 5 3 2 6 3" xfId="25833"/>
    <cellStyle name="常规 4 2 5 3 2 7" xfId="10137"/>
    <cellStyle name="常规 4 2 5 3 2 7 2" xfId="28985"/>
    <cellStyle name="常规 4 2 5 3 2 8" xfId="19561"/>
    <cellStyle name="常规 4 2 5 3 3" xfId="1109"/>
    <cellStyle name="常规 4 2 5 3 3 2" xfId="4245"/>
    <cellStyle name="常规 4 2 5 3 3 2 2" xfId="13665"/>
    <cellStyle name="常规 4 2 5 3 3 2 2 2" xfId="32513"/>
    <cellStyle name="常规 4 2 5 3 3 2 3" xfId="23089"/>
    <cellStyle name="常规 4 2 5 3 3 3" xfId="7381"/>
    <cellStyle name="常规 4 2 5 3 3 3 2" xfId="16801"/>
    <cellStyle name="常规 4 2 5 3 3 3 2 2" xfId="35649"/>
    <cellStyle name="常规 4 2 5 3 3 3 3" xfId="26225"/>
    <cellStyle name="常规 4 2 5 3 3 4" xfId="10529"/>
    <cellStyle name="常规 4 2 5 3 3 4 2" xfId="29377"/>
    <cellStyle name="常规 4 2 5 3 3 5" xfId="19953"/>
    <cellStyle name="常规 4 2 5 3 4" xfId="1893"/>
    <cellStyle name="常规 4 2 5 3 4 2" xfId="5029"/>
    <cellStyle name="常规 4 2 5 3 4 2 2" xfId="14449"/>
    <cellStyle name="常规 4 2 5 3 4 2 2 2" xfId="33297"/>
    <cellStyle name="常规 4 2 5 3 4 2 3" xfId="23873"/>
    <cellStyle name="常规 4 2 5 3 4 3" xfId="8165"/>
    <cellStyle name="常规 4 2 5 3 4 3 2" xfId="17585"/>
    <cellStyle name="常规 4 2 5 3 4 3 2 2" xfId="36433"/>
    <cellStyle name="常规 4 2 5 3 4 3 3" xfId="27009"/>
    <cellStyle name="常规 4 2 5 3 4 4" xfId="11313"/>
    <cellStyle name="常规 4 2 5 3 4 4 2" xfId="30161"/>
    <cellStyle name="常规 4 2 5 3 4 5" xfId="20737"/>
    <cellStyle name="常规 4 2 5 3 5" xfId="2677"/>
    <cellStyle name="常规 4 2 5 3 5 2" xfId="5813"/>
    <cellStyle name="常规 4 2 5 3 5 2 2" xfId="15233"/>
    <cellStyle name="常规 4 2 5 3 5 2 2 2" xfId="34081"/>
    <cellStyle name="常规 4 2 5 3 5 2 3" xfId="24657"/>
    <cellStyle name="常规 4 2 5 3 5 3" xfId="8949"/>
    <cellStyle name="常规 4 2 5 3 5 3 2" xfId="18369"/>
    <cellStyle name="常规 4 2 5 3 5 3 2 2" xfId="37217"/>
    <cellStyle name="常规 4 2 5 3 5 3 3" xfId="27793"/>
    <cellStyle name="常规 4 2 5 3 5 4" xfId="12097"/>
    <cellStyle name="常规 4 2 5 3 5 4 2" xfId="30945"/>
    <cellStyle name="常规 4 2 5 3 5 5" xfId="21521"/>
    <cellStyle name="常规 4 2 5 3 6" xfId="3477"/>
    <cellStyle name="常规 4 2 5 3 6 2" xfId="12897"/>
    <cellStyle name="常规 4 2 5 3 6 2 2" xfId="31745"/>
    <cellStyle name="常规 4 2 5 3 6 3" xfId="22321"/>
    <cellStyle name="常规 4 2 5 3 7" xfId="6597"/>
    <cellStyle name="常规 4 2 5 3 7 2" xfId="16017"/>
    <cellStyle name="常规 4 2 5 3 7 2 2" xfId="34865"/>
    <cellStyle name="常规 4 2 5 3 7 3" xfId="25441"/>
    <cellStyle name="常规 4 2 5 3 8" xfId="9744"/>
    <cellStyle name="常规 4 2 5 3 8 2" xfId="28589"/>
    <cellStyle name="常规 4 2 5 3 9" xfId="19167"/>
    <cellStyle name="常规 4 2 5 4" xfId="714"/>
    <cellStyle name="常规 4 2 5 4 2" xfId="1498"/>
    <cellStyle name="常规 4 2 5 4 2 2" xfId="4634"/>
    <cellStyle name="常规 4 2 5 4 2 2 2" xfId="14054"/>
    <cellStyle name="常规 4 2 5 4 2 2 2 2" xfId="32902"/>
    <cellStyle name="常规 4 2 5 4 2 2 3" xfId="23478"/>
    <cellStyle name="常规 4 2 5 4 2 3" xfId="7770"/>
    <cellStyle name="常规 4 2 5 4 2 3 2" xfId="17190"/>
    <cellStyle name="常规 4 2 5 4 2 3 2 2" xfId="36038"/>
    <cellStyle name="常规 4 2 5 4 2 3 3" xfId="26614"/>
    <cellStyle name="常规 4 2 5 4 2 4" xfId="10918"/>
    <cellStyle name="常规 4 2 5 4 2 4 2" xfId="29766"/>
    <cellStyle name="常规 4 2 5 4 2 5" xfId="20342"/>
    <cellStyle name="常规 4 2 5 4 3" xfId="2282"/>
    <cellStyle name="常规 4 2 5 4 3 2" xfId="5418"/>
    <cellStyle name="常规 4 2 5 4 3 2 2" xfId="14838"/>
    <cellStyle name="常规 4 2 5 4 3 2 2 2" xfId="33686"/>
    <cellStyle name="常规 4 2 5 4 3 2 3" xfId="24262"/>
    <cellStyle name="常规 4 2 5 4 3 3" xfId="8554"/>
    <cellStyle name="常规 4 2 5 4 3 3 2" xfId="17974"/>
    <cellStyle name="常规 4 2 5 4 3 3 2 2" xfId="36822"/>
    <cellStyle name="常规 4 2 5 4 3 3 3" xfId="27398"/>
    <cellStyle name="常规 4 2 5 4 3 4" xfId="11702"/>
    <cellStyle name="常规 4 2 5 4 3 4 2" xfId="30550"/>
    <cellStyle name="常规 4 2 5 4 3 5" xfId="21126"/>
    <cellStyle name="常规 4 2 5 4 4" xfId="3066"/>
    <cellStyle name="常规 4 2 5 4 4 2" xfId="6202"/>
    <cellStyle name="常规 4 2 5 4 4 2 2" xfId="15622"/>
    <cellStyle name="常规 4 2 5 4 4 2 2 2" xfId="34470"/>
    <cellStyle name="常规 4 2 5 4 4 2 3" xfId="25046"/>
    <cellStyle name="常规 4 2 5 4 4 3" xfId="9338"/>
    <cellStyle name="常规 4 2 5 4 4 3 2" xfId="18758"/>
    <cellStyle name="常规 4 2 5 4 4 3 2 2" xfId="37606"/>
    <cellStyle name="常规 4 2 5 4 4 3 3" xfId="28182"/>
    <cellStyle name="常规 4 2 5 4 4 4" xfId="12486"/>
    <cellStyle name="常规 4 2 5 4 4 4 2" xfId="31334"/>
    <cellStyle name="常规 4 2 5 4 4 5" xfId="21910"/>
    <cellStyle name="常规 4 2 5 4 5" xfId="3850"/>
    <cellStyle name="常规 4 2 5 4 5 2" xfId="13270"/>
    <cellStyle name="常规 4 2 5 4 5 2 2" xfId="32118"/>
    <cellStyle name="常规 4 2 5 4 5 3" xfId="22694"/>
    <cellStyle name="常规 4 2 5 4 6" xfId="6986"/>
    <cellStyle name="常规 4 2 5 4 6 2" xfId="16406"/>
    <cellStyle name="常规 4 2 5 4 6 2 2" xfId="35254"/>
    <cellStyle name="常规 4 2 5 4 6 3" xfId="25830"/>
    <cellStyle name="常规 4 2 5 4 7" xfId="10134"/>
    <cellStyle name="常规 4 2 5 4 7 2" xfId="28982"/>
    <cellStyle name="常规 4 2 5 4 8" xfId="19558"/>
    <cellStyle name="常规 4 2 5 5" xfId="1106"/>
    <cellStyle name="常规 4 2 5 5 2" xfId="4242"/>
    <cellStyle name="常规 4 2 5 5 2 2" xfId="13662"/>
    <cellStyle name="常规 4 2 5 5 2 2 2" xfId="32510"/>
    <cellStyle name="常规 4 2 5 5 2 3" xfId="23086"/>
    <cellStyle name="常规 4 2 5 5 3" xfId="7378"/>
    <cellStyle name="常规 4 2 5 5 3 2" xfId="16798"/>
    <cellStyle name="常规 4 2 5 5 3 2 2" xfId="35646"/>
    <cellStyle name="常规 4 2 5 5 3 3" xfId="26222"/>
    <cellStyle name="常规 4 2 5 5 4" xfId="10526"/>
    <cellStyle name="常规 4 2 5 5 4 2" xfId="29374"/>
    <cellStyle name="常规 4 2 5 5 5" xfId="19950"/>
    <cellStyle name="常规 4 2 5 6" xfId="1890"/>
    <cellStyle name="常规 4 2 5 6 2" xfId="5026"/>
    <cellStyle name="常规 4 2 5 6 2 2" xfId="14446"/>
    <cellStyle name="常规 4 2 5 6 2 2 2" xfId="33294"/>
    <cellStyle name="常规 4 2 5 6 2 3" xfId="23870"/>
    <cellStyle name="常规 4 2 5 6 3" xfId="8162"/>
    <cellStyle name="常规 4 2 5 6 3 2" xfId="17582"/>
    <cellStyle name="常规 4 2 5 6 3 2 2" xfId="36430"/>
    <cellStyle name="常规 4 2 5 6 3 3" xfId="27006"/>
    <cellStyle name="常规 4 2 5 6 4" xfId="11310"/>
    <cellStyle name="常规 4 2 5 6 4 2" xfId="30158"/>
    <cellStyle name="常规 4 2 5 6 5" xfId="20734"/>
    <cellStyle name="常规 4 2 5 7" xfId="2674"/>
    <cellStyle name="常规 4 2 5 7 2" xfId="5810"/>
    <cellStyle name="常规 4 2 5 7 2 2" xfId="15230"/>
    <cellStyle name="常规 4 2 5 7 2 2 2" xfId="34078"/>
    <cellStyle name="常规 4 2 5 7 2 3" xfId="24654"/>
    <cellStyle name="常规 4 2 5 7 3" xfId="8946"/>
    <cellStyle name="常规 4 2 5 7 3 2" xfId="18366"/>
    <cellStyle name="常规 4 2 5 7 3 2 2" xfId="37214"/>
    <cellStyle name="常规 4 2 5 7 3 3" xfId="27790"/>
    <cellStyle name="常规 4 2 5 7 4" xfId="12094"/>
    <cellStyle name="常规 4 2 5 7 4 2" xfId="30942"/>
    <cellStyle name="常规 4 2 5 7 5" xfId="21518"/>
    <cellStyle name="常规 4 2 5 8" xfId="3224"/>
    <cellStyle name="常规 4 2 5 8 2" xfId="12644"/>
    <cellStyle name="常规 4 2 5 8 2 2" xfId="31492"/>
    <cellStyle name="常规 4 2 5 8 3" xfId="22068"/>
    <cellStyle name="常规 4 2 5 9" xfId="6594"/>
    <cellStyle name="常规 4 2 5 9 2" xfId="16014"/>
    <cellStyle name="常规 4 2 5 9 2 2" xfId="34862"/>
    <cellStyle name="常规 4 2 5 9 3" xfId="25438"/>
    <cellStyle name="常规 4 2 6" xfId="322"/>
    <cellStyle name="常规 4 2 6 10" xfId="19168"/>
    <cellStyle name="常规 4 2 6 2" xfId="323"/>
    <cellStyle name="常规 4 2 6 2 2" xfId="719"/>
    <cellStyle name="常规 4 2 6 2 2 2" xfId="1503"/>
    <cellStyle name="常规 4 2 6 2 2 2 2" xfId="4639"/>
    <cellStyle name="常规 4 2 6 2 2 2 2 2" xfId="14059"/>
    <cellStyle name="常规 4 2 6 2 2 2 2 2 2" xfId="32907"/>
    <cellStyle name="常规 4 2 6 2 2 2 2 3" xfId="23483"/>
    <cellStyle name="常规 4 2 6 2 2 2 3" xfId="7775"/>
    <cellStyle name="常规 4 2 6 2 2 2 3 2" xfId="17195"/>
    <cellStyle name="常规 4 2 6 2 2 2 3 2 2" xfId="36043"/>
    <cellStyle name="常规 4 2 6 2 2 2 3 3" xfId="26619"/>
    <cellStyle name="常规 4 2 6 2 2 2 4" xfId="10923"/>
    <cellStyle name="常规 4 2 6 2 2 2 4 2" xfId="29771"/>
    <cellStyle name="常规 4 2 6 2 2 2 5" xfId="20347"/>
    <cellStyle name="常规 4 2 6 2 2 3" xfId="2287"/>
    <cellStyle name="常规 4 2 6 2 2 3 2" xfId="5423"/>
    <cellStyle name="常规 4 2 6 2 2 3 2 2" xfId="14843"/>
    <cellStyle name="常规 4 2 6 2 2 3 2 2 2" xfId="33691"/>
    <cellStyle name="常规 4 2 6 2 2 3 2 3" xfId="24267"/>
    <cellStyle name="常规 4 2 6 2 2 3 3" xfId="8559"/>
    <cellStyle name="常规 4 2 6 2 2 3 3 2" xfId="17979"/>
    <cellStyle name="常规 4 2 6 2 2 3 3 2 2" xfId="36827"/>
    <cellStyle name="常规 4 2 6 2 2 3 3 3" xfId="27403"/>
    <cellStyle name="常规 4 2 6 2 2 3 4" xfId="11707"/>
    <cellStyle name="常规 4 2 6 2 2 3 4 2" xfId="30555"/>
    <cellStyle name="常规 4 2 6 2 2 3 5" xfId="21131"/>
    <cellStyle name="常规 4 2 6 2 2 4" xfId="3071"/>
    <cellStyle name="常规 4 2 6 2 2 4 2" xfId="6207"/>
    <cellStyle name="常规 4 2 6 2 2 4 2 2" xfId="15627"/>
    <cellStyle name="常规 4 2 6 2 2 4 2 2 2" xfId="34475"/>
    <cellStyle name="常规 4 2 6 2 2 4 2 3" xfId="25051"/>
    <cellStyle name="常规 4 2 6 2 2 4 3" xfId="9343"/>
    <cellStyle name="常规 4 2 6 2 2 4 3 2" xfId="18763"/>
    <cellStyle name="常规 4 2 6 2 2 4 3 2 2" xfId="37611"/>
    <cellStyle name="常规 4 2 6 2 2 4 3 3" xfId="28187"/>
    <cellStyle name="常规 4 2 6 2 2 4 4" xfId="12491"/>
    <cellStyle name="常规 4 2 6 2 2 4 4 2" xfId="31339"/>
    <cellStyle name="常规 4 2 6 2 2 4 5" xfId="21915"/>
    <cellStyle name="常规 4 2 6 2 2 5" xfId="3855"/>
    <cellStyle name="常规 4 2 6 2 2 5 2" xfId="13275"/>
    <cellStyle name="常规 4 2 6 2 2 5 2 2" xfId="32123"/>
    <cellStyle name="常规 4 2 6 2 2 5 3" xfId="22699"/>
    <cellStyle name="常规 4 2 6 2 2 6" xfId="6991"/>
    <cellStyle name="常规 4 2 6 2 2 6 2" xfId="16411"/>
    <cellStyle name="常规 4 2 6 2 2 6 2 2" xfId="35259"/>
    <cellStyle name="常规 4 2 6 2 2 6 3" xfId="25835"/>
    <cellStyle name="常规 4 2 6 2 2 7" xfId="10139"/>
    <cellStyle name="常规 4 2 6 2 2 7 2" xfId="28987"/>
    <cellStyle name="常规 4 2 6 2 2 8" xfId="19563"/>
    <cellStyle name="常规 4 2 6 2 3" xfId="1111"/>
    <cellStyle name="常规 4 2 6 2 3 2" xfId="4247"/>
    <cellStyle name="常规 4 2 6 2 3 2 2" xfId="13667"/>
    <cellStyle name="常规 4 2 6 2 3 2 2 2" xfId="32515"/>
    <cellStyle name="常规 4 2 6 2 3 2 3" xfId="23091"/>
    <cellStyle name="常规 4 2 6 2 3 3" xfId="7383"/>
    <cellStyle name="常规 4 2 6 2 3 3 2" xfId="16803"/>
    <cellStyle name="常规 4 2 6 2 3 3 2 2" xfId="35651"/>
    <cellStyle name="常规 4 2 6 2 3 3 3" xfId="26227"/>
    <cellStyle name="常规 4 2 6 2 3 4" xfId="10531"/>
    <cellStyle name="常规 4 2 6 2 3 4 2" xfId="29379"/>
    <cellStyle name="常规 4 2 6 2 3 5" xfId="19955"/>
    <cellStyle name="常规 4 2 6 2 4" xfId="1895"/>
    <cellStyle name="常规 4 2 6 2 4 2" xfId="5031"/>
    <cellStyle name="常规 4 2 6 2 4 2 2" xfId="14451"/>
    <cellStyle name="常规 4 2 6 2 4 2 2 2" xfId="33299"/>
    <cellStyle name="常规 4 2 6 2 4 2 3" xfId="23875"/>
    <cellStyle name="常规 4 2 6 2 4 3" xfId="8167"/>
    <cellStyle name="常规 4 2 6 2 4 3 2" xfId="17587"/>
    <cellStyle name="常规 4 2 6 2 4 3 2 2" xfId="36435"/>
    <cellStyle name="常规 4 2 6 2 4 3 3" xfId="27011"/>
    <cellStyle name="常规 4 2 6 2 4 4" xfId="11315"/>
    <cellStyle name="常规 4 2 6 2 4 4 2" xfId="30163"/>
    <cellStyle name="常规 4 2 6 2 4 5" xfId="20739"/>
    <cellStyle name="常规 4 2 6 2 5" xfId="2679"/>
    <cellStyle name="常规 4 2 6 2 5 2" xfId="5815"/>
    <cellStyle name="常规 4 2 6 2 5 2 2" xfId="15235"/>
    <cellStyle name="常规 4 2 6 2 5 2 2 2" xfId="34083"/>
    <cellStyle name="常规 4 2 6 2 5 2 3" xfId="24659"/>
    <cellStyle name="常规 4 2 6 2 5 3" xfId="8951"/>
    <cellStyle name="常规 4 2 6 2 5 3 2" xfId="18371"/>
    <cellStyle name="常规 4 2 6 2 5 3 2 2" xfId="37219"/>
    <cellStyle name="常规 4 2 6 2 5 3 3" xfId="27795"/>
    <cellStyle name="常规 4 2 6 2 5 4" xfId="12099"/>
    <cellStyle name="常规 4 2 6 2 5 4 2" xfId="30947"/>
    <cellStyle name="常规 4 2 6 2 5 5" xfId="21523"/>
    <cellStyle name="常规 4 2 6 2 6" xfId="3479"/>
    <cellStyle name="常规 4 2 6 2 6 2" xfId="12899"/>
    <cellStyle name="常规 4 2 6 2 6 2 2" xfId="31747"/>
    <cellStyle name="常规 4 2 6 2 6 3" xfId="22323"/>
    <cellStyle name="常规 4 2 6 2 7" xfId="6599"/>
    <cellStyle name="常规 4 2 6 2 7 2" xfId="16019"/>
    <cellStyle name="常规 4 2 6 2 7 2 2" xfId="34867"/>
    <cellStyle name="常规 4 2 6 2 7 3" xfId="25443"/>
    <cellStyle name="常规 4 2 6 2 8" xfId="9746"/>
    <cellStyle name="常规 4 2 6 2 8 2" xfId="28591"/>
    <cellStyle name="常规 4 2 6 2 9" xfId="19169"/>
    <cellStyle name="常规 4 2 6 3" xfId="718"/>
    <cellStyle name="常规 4 2 6 3 2" xfId="1502"/>
    <cellStyle name="常规 4 2 6 3 2 2" xfId="4638"/>
    <cellStyle name="常规 4 2 6 3 2 2 2" xfId="14058"/>
    <cellStyle name="常规 4 2 6 3 2 2 2 2" xfId="32906"/>
    <cellStyle name="常规 4 2 6 3 2 2 3" xfId="23482"/>
    <cellStyle name="常规 4 2 6 3 2 3" xfId="7774"/>
    <cellStyle name="常规 4 2 6 3 2 3 2" xfId="17194"/>
    <cellStyle name="常规 4 2 6 3 2 3 2 2" xfId="36042"/>
    <cellStyle name="常规 4 2 6 3 2 3 3" xfId="26618"/>
    <cellStyle name="常规 4 2 6 3 2 4" xfId="10922"/>
    <cellStyle name="常规 4 2 6 3 2 4 2" xfId="29770"/>
    <cellStyle name="常规 4 2 6 3 2 5" xfId="20346"/>
    <cellStyle name="常规 4 2 6 3 3" xfId="2286"/>
    <cellStyle name="常规 4 2 6 3 3 2" xfId="5422"/>
    <cellStyle name="常规 4 2 6 3 3 2 2" xfId="14842"/>
    <cellStyle name="常规 4 2 6 3 3 2 2 2" xfId="33690"/>
    <cellStyle name="常规 4 2 6 3 3 2 3" xfId="24266"/>
    <cellStyle name="常规 4 2 6 3 3 3" xfId="8558"/>
    <cellStyle name="常规 4 2 6 3 3 3 2" xfId="17978"/>
    <cellStyle name="常规 4 2 6 3 3 3 2 2" xfId="36826"/>
    <cellStyle name="常规 4 2 6 3 3 3 3" xfId="27402"/>
    <cellStyle name="常规 4 2 6 3 3 4" xfId="11706"/>
    <cellStyle name="常规 4 2 6 3 3 4 2" xfId="30554"/>
    <cellStyle name="常规 4 2 6 3 3 5" xfId="21130"/>
    <cellStyle name="常规 4 2 6 3 4" xfId="3070"/>
    <cellStyle name="常规 4 2 6 3 4 2" xfId="6206"/>
    <cellStyle name="常规 4 2 6 3 4 2 2" xfId="15626"/>
    <cellStyle name="常规 4 2 6 3 4 2 2 2" xfId="34474"/>
    <cellStyle name="常规 4 2 6 3 4 2 3" xfId="25050"/>
    <cellStyle name="常规 4 2 6 3 4 3" xfId="9342"/>
    <cellStyle name="常规 4 2 6 3 4 3 2" xfId="18762"/>
    <cellStyle name="常规 4 2 6 3 4 3 2 2" xfId="37610"/>
    <cellStyle name="常规 4 2 6 3 4 3 3" xfId="28186"/>
    <cellStyle name="常规 4 2 6 3 4 4" xfId="12490"/>
    <cellStyle name="常规 4 2 6 3 4 4 2" xfId="31338"/>
    <cellStyle name="常规 4 2 6 3 4 5" xfId="21914"/>
    <cellStyle name="常规 4 2 6 3 5" xfId="3854"/>
    <cellStyle name="常规 4 2 6 3 5 2" xfId="13274"/>
    <cellStyle name="常规 4 2 6 3 5 2 2" xfId="32122"/>
    <cellStyle name="常规 4 2 6 3 5 3" xfId="22698"/>
    <cellStyle name="常规 4 2 6 3 6" xfId="6990"/>
    <cellStyle name="常规 4 2 6 3 6 2" xfId="16410"/>
    <cellStyle name="常规 4 2 6 3 6 2 2" xfId="35258"/>
    <cellStyle name="常规 4 2 6 3 6 3" xfId="25834"/>
    <cellStyle name="常规 4 2 6 3 7" xfId="10138"/>
    <cellStyle name="常规 4 2 6 3 7 2" xfId="28986"/>
    <cellStyle name="常规 4 2 6 3 8" xfId="19562"/>
    <cellStyle name="常规 4 2 6 4" xfId="1110"/>
    <cellStyle name="常规 4 2 6 4 2" xfId="4246"/>
    <cellStyle name="常规 4 2 6 4 2 2" xfId="13666"/>
    <cellStyle name="常规 4 2 6 4 2 2 2" xfId="32514"/>
    <cellStyle name="常规 4 2 6 4 2 3" xfId="23090"/>
    <cellStyle name="常规 4 2 6 4 3" xfId="7382"/>
    <cellStyle name="常规 4 2 6 4 3 2" xfId="16802"/>
    <cellStyle name="常规 4 2 6 4 3 2 2" xfId="35650"/>
    <cellStyle name="常规 4 2 6 4 3 3" xfId="26226"/>
    <cellStyle name="常规 4 2 6 4 4" xfId="10530"/>
    <cellStyle name="常规 4 2 6 4 4 2" xfId="29378"/>
    <cellStyle name="常规 4 2 6 4 5" xfId="19954"/>
    <cellStyle name="常规 4 2 6 5" xfId="1894"/>
    <cellStyle name="常规 4 2 6 5 2" xfId="5030"/>
    <cellStyle name="常规 4 2 6 5 2 2" xfId="14450"/>
    <cellStyle name="常规 4 2 6 5 2 2 2" xfId="33298"/>
    <cellStyle name="常规 4 2 6 5 2 3" xfId="23874"/>
    <cellStyle name="常规 4 2 6 5 3" xfId="8166"/>
    <cellStyle name="常规 4 2 6 5 3 2" xfId="17586"/>
    <cellStyle name="常规 4 2 6 5 3 2 2" xfId="36434"/>
    <cellStyle name="常规 4 2 6 5 3 3" xfId="27010"/>
    <cellStyle name="常规 4 2 6 5 4" xfId="11314"/>
    <cellStyle name="常规 4 2 6 5 4 2" xfId="30162"/>
    <cellStyle name="常规 4 2 6 5 5" xfId="20738"/>
    <cellStyle name="常规 4 2 6 6" xfId="2678"/>
    <cellStyle name="常规 4 2 6 6 2" xfId="5814"/>
    <cellStyle name="常规 4 2 6 6 2 2" xfId="15234"/>
    <cellStyle name="常规 4 2 6 6 2 2 2" xfId="34082"/>
    <cellStyle name="常规 4 2 6 6 2 3" xfId="24658"/>
    <cellStyle name="常规 4 2 6 6 3" xfId="8950"/>
    <cellStyle name="常规 4 2 6 6 3 2" xfId="18370"/>
    <cellStyle name="常规 4 2 6 6 3 2 2" xfId="37218"/>
    <cellStyle name="常规 4 2 6 6 3 3" xfId="27794"/>
    <cellStyle name="常规 4 2 6 6 4" xfId="12098"/>
    <cellStyle name="常规 4 2 6 6 4 2" xfId="30946"/>
    <cellStyle name="常规 4 2 6 6 5" xfId="21522"/>
    <cellStyle name="常规 4 2 6 7" xfId="3478"/>
    <cellStyle name="常规 4 2 6 7 2" xfId="12898"/>
    <cellStyle name="常规 4 2 6 7 2 2" xfId="31746"/>
    <cellStyle name="常规 4 2 6 7 3" xfId="22322"/>
    <cellStyle name="常规 4 2 6 8" xfId="6598"/>
    <cellStyle name="常规 4 2 6 8 2" xfId="16018"/>
    <cellStyle name="常规 4 2 6 8 2 2" xfId="34866"/>
    <cellStyle name="常规 4 2 6 8 3" xfId="25442"/>
    <cellStyle name="常规 4 2 6 9" xfId="9745"/>
    <cellStyle name="常规 4 2 6 9 2" xfId="28590"/>
    <cellStyle name="常规 4 2 7" xfId="324"/>
    <cellStyle name="常规 4 2 7 2" xfId="720"/>
    <cellStyle name="常规 4 2 7 2 2" xfId="1504"/>
    <cellStyle name="常规 4 2 7 2 2 2" xfId="4640"/>
    <cellStyle name="常规 4 2 7 2 2 2 2" xfId="14060"/>
    <cellStyle name="常规 4 2 7 2 2 2 2 2" xfId="32908"/>
    <cellStyle name="常规 4 2 7 2 2 2 3" xfId="23484"/>
    <cellStyle name="常规 4 2 7 2 2 3" xfId="7776"/>
    <cellStyle name="常规 4 2 7 2 2 3 2" xfId="17196"/>
    <cellStyle name="常规 4 2 7 2 2 3 2 2" xfId="36044"/>
    <cellStyle name="常规 4 2 7 2 2 3 3" xfId="26620"/>
    <cellStyle name="常规 4 2 7 2 2 4" xfId="10924"/>
    <cellStyle name="常规 4 2 7 2 2 4 2" xfId="29772"/>
    <cellStyle name="常规 4 2 7 2 2 5" xfId="20348"/>
    <cellStyle name="常规 4 2 7 2 3" xfId="2288"/>
    <cellStyle name="常规 4 2 7 2 3 2" xfId="5424"/>
    <cellStyle name="常规 4 2 7 2 3 2 2" xfId="14844"/>
    <cellStyle name="常规 4 2 7 2 3 2 2 2" xfId="33692"/>
    <cellStyle name="常规 4 2 7 2 3 2 3" xfId="24268"/>
    <cellStyle name="常规 4 2 7 2 3 3" xfId="8560"/>
    <cellStyle name="常规 4 2 7 2 3 3 2" xfId="17980"/>
    <cellStyle name="常规 4 2 7 2 3 3 2 2" xfId="36828"/>
    <cellStyle name="常规 4 2 7 2 3 3 3" xfId="27404"/>
    <cellStyle name="常规 4 2 7 2 3 4" xfId="11708"/>
    <cellStyle name="常规 4 2 7 2 3 4 2" xfId="30556"/>
    <cellStyle name="常规 4 2 7 2 3 5" xfId="21132"/>
    <cellStyle name="常规 4 2 7 2 4" xfId="3072"/>
    <cellStyle name="常规 4 2 7 2 4 2" xfId="6208"/>
    <cellStyle name="常规 4 2 7 2 4 2 2" xfId="15628"/>
    <cellStyle name="常规 4 2 7 2 4 2 2 2" xfId="34476"/>
    <cellStyle name="常规 4 2 7 2 4 2 3" xfId="25052"/>
    <cellStyle name="常规 4 2 7 2 4 3" xfId="9344"/>
    <cellStyle name="常规 4 2 7 2 4 3 2" xfId="18764"/>
    <cellStyle name="常规 4 2 7 2 4 3 2 2" xfId="37612"/>
    <cellStyle name="常规 4 2 7 2 4 3 3" xfId="28188"/>
    <cellStyle name="常规 4 2 7 2 4 4" xfId="12492"/>
    <cellStyle name="常规 4 2 7 2 4 4 2" xfId="31340"/>
    <cellStyle name="常规 4 2 7 2 4 5" xfId="21916"/>
    <cellStyle name="常规 4 2 7 2 5" xfId="3856"/>
    <cellStyle name="常规 4 2 7 2 5 2" xfId="13276"/>
    <cellStyle name="常规 4 2 7 2 5 2 2" xfId="32124"/>
    <cellStyle name="常规 4 2 7 2 5 3" xfId="22700"/>
    <cellStyle name="常规 4 2 7 2 6" xfId="6992"/>
    <cellStyle name="常规 4 2 7 2 6 2" xfId="16412"/>
    <cellStyle name="常规 4 2 7 2 6 2 2" xfId="35260"/>
    <cellStyle name="常规 4 2 7 2 6 3" xfId="25836"/>
    <cellStyle name="常规 4 2 7 2 7" xfId="10140"/>
    <cellStyle name="常规 4 2 7 2 7 2" xfId="28988"/>
    <cellStyle name="常规 4 2 7 2 8" xfId="19564"/>
    <cellStyle name="常规 4 2 7 3" xfId="1112"/>
    <cellStyle name="常规 4 2 7 3 2" xfId="4248"/>
    <cellStyle name="常规 4 2 7 3 2 2" xfId="13668"/>
    <cellStyle name="常规 4 2 7 3 2 2 2" xfId="32516"/>
    <cellStyle name="常规 4 2 7 3 2 3" xfId="23092"/>
    <cellStyle name="常规 4 2 7 3 3" xfId="7384"/>
    <cellStyle name="常规 4 2 7 3 3 2" xfId="16804"/>
    <cellStyle name="常规 4 2 7 3 3 2 2" xfId="35652"/>
    <cellStyle name="常规 4 2 7 3 3 3" xfId="26228"/>
    <cellStyle name="常规 4 2 7 3 4" xfId="10532"/>
    <cellStyle name="常规 4 2 7 3 4 2" xfId="29380"/>
    <cellStyle name="常规 4 2 7 3 5" xfId="19956"/>
    <cellStyle name="常规 4 2 7 4" xfId="1896"/>
    <cellStyle name="常规 4 2 7 4 2" xfId="5032"/>
    <cellStyle name="常规 4 2 7 4 2 2" xfId="14452"/>
    <cellStyle name="常规 4 2 7 4 2 2 2" xfId="33300"/>
    <cellStyle name="常规 4 2 7 4 2 3" xfId="23876"/>
    <cellStyle name="常规 4 2 7 4 3" xfId="8168"/>
    <cellStyle name="常规 4 2 7 4 3 2" xfId="17588"/>
    <cellStyle name="常规 4 2 7 4 3 2 2" xfId="36436"/>
    <cellStyle name="常规 4 2 7 4 3 3" xfId="27012"/>
    <cellStyle name="常规 4 2 7 4 4" xfId="11316"/>
    <cellStyle name="常规 4 2 7 4 4 2" xfId="30164"/>
    <cellStyle name="常规 4 2 7 4 5" xfId="20740"/>
    <cellStyle name="常规 4 2 7 5" xfId="2680"/>
    <cellStyle name="常规 4 2 7 5 2" xfId="5816"/>
    <cellStyle name="常规 4 2 7 5 2 2" xfId="15236"/>
    <cellStyle name="常规 4 2 7 5 2 2 2" xfId="34084"/>
    <cellStyle name="常规 4 2 7 5 2 3" xfId="24660"/>
    <cellStyle name="常规 4 2 7 5 3" xfId="8952"/>
    <cellStyle name="常规 4 2 7 5 3 2" xfId="18372"/>
    <cellStyle name="常规 4 2 7 5 3 2 2" xfId="37220"/>
    <cellStyle name="常规 4 2 7 5 3 3" xfId="27796"/>
    <cellStyle name="常规 4 2 7 5 4" xfId="12100"/>
    <cellStyle name="常规 4 2 7 5 4 2" xfId="30948"/>
    <cellStyle name="常规 4 2 7 5 5" xfId="21524"/>
    <cellStyle name="常规 4 2 7 6" xfId="3480"/>
    <cellStyle name="常规 4 2 7 6 2" xfId="12900"/>
    <cellStyle name="常规 4 2 7 6 2 2" xfId="31748"/>
    <cellStyle name="常规 4 2 7 6 3" xfId="22324"/>
    <cellStyle name="常规 4 2 7 7" xfId="6600"/>
    <cellStyle name="常规 4 2 7 7 2" xfId="16020"/>
    <cellStyle name="常规 4 2 7 7 2 2" xfId="34868"/>
    <cellStyle name="常规 4 2 7 7 3" xfId="25444"/>
    <cellStyle name="常规 4 2 7 8" xfId="9747"/>
    <cellStyle name="常规 4 2 7 8 2" xfId="28592"/>
    <cellStyle name="常规 4 2 7 9" xfId="19170"/>
    <cellStyle name="常规 4 2 8" xfId="396"/>
    <cellStyle name="常规 4 2 8 2" xfId="1183"/>
    <cellStyle name="常规 4 2 8 2 2" xfId="4319"/>
    <cellStyle name="常规 4 2 8 2 2 2" xfId="13739"/>
    <cellStyle name="常规 4 2 8 2 2 2 2" xfId="32587"/>
    <cellStyle name="常规 4 2 8 2 2 3" xfId="23163"/>
    <cellStyle name="常规 4 2 8 2 3" xfId="7455"/>
    <cellStyle name="常规 4 2 8 2 3 2" xfId="16875"/>
    <cellStyle name="常规 4 2 8 2 3 2 2" xfId="35723"/>
    <cellStyle name="常规 4 2 8 2 3 3" xfId="26299"/>
    <cellStyle name="常规 4 2 8 2 4" xfId="10603"/>
    <cellStyle name="常规 4 2 8 2 4 2" xfId="29451"/>
    <cellStyle name="常规 4 2 8 2 5" xfId="20027"/>
    <cellStyle name="常规 4 2 8 3" xfId="1967"/>
    <cellStyle name="常规 4 2 8 3 2" xfId="5103"/>
    <cellStyle name="常规 4 2 8 3 2 2" xfId="14523"/>
    <cellStyle name="常规 4 2 8 3 2 2 2" xfId="33371"/>
    <cellStyle name="常规 4 2 8 3 2 3" xfId="23947"/>
    <cellStyle name="常规 4 2 8 3 3" xfId="8239"/>
    <cellStyle name="常规 4 2 8 3 3 2" xfId="17659"/>
    <cellStyle name="常规 4 2 8 3 3 2 2" xfId="36507"/>
    <cellStyle name="常规 4 2 8 3 3 3" xfId="27083"/>
    <cellStyle name="常规 4 2 8 3 4" xfId="11387"/>
    <cellStyle name="常规 4 2 8 3 4 2" xfId="30235"/>
    <cellStyle name="常规 4 2 8 3 5" xfId="20811"/>
    <cellStyle name="常规 4 2 8 4" xfId="2751"/>
    <cellStyle name="常规 4 2 8 4 2" xfId="5887"/>
    <cellStyle name="常规 4 2 8 4 2 2" xfId="15307"/>
    <cellStyle name="常规 4 2 8 4 2 2 2" xfId="34155"/>
    <cellStyle name="常规 4 2 8 4 2 3" xfId="24731"/>
    <cellStyle name="常规 4 2 8 4 3" xfId="9023"/>
    <cellStyle name="常规 4 2 8 4 3 2" xfId="18443"/>
    <cellStyle name="常规 4 2 8 4 3 2 2" xfId="37291"/>
    <cellStyle name="常规 4 2 8 4 3 3" xfId="27867"/>
    <cellStyle name="常规 4 2 8 4 4" xfId="12171"/>
    <cellStyle name="常规 4 2 8 4 4 2" xfId="31019"/>
    <cellStyle name="常规 4 2 8 4 5" xfId="21595"/>
    <cellStyle name="常规 4 2 8 5" xfId="3535"/>
    <cellStyle name="常规 4 2 8 5 2" xfId="12955"/>
    <cellStyle name="常规 4 2 8 5 2 2" xfId="31803"/>
    <cellStyle name="常规 4 2 8 5 3" xfId="22379"/>
    <cellStyle name="常规 4 2 8 6" xfId="6671"/>
    <cellStyle name="常规 4 2 8 6 2" xfId="16091"/>
    <cellStyle name="常规 4 2 8 6 2 2" xfId="34939"/>
    <cellStyle name="常规 4 2 8 6 3" xfId="25515"/>
    <cellStyle name="常规 4 2 8 7" xfId="9819"/>
    <cellStyle name="常规 4 2 8 7 2" xfId="28664"/>
    <cellStyle name="常规 4 2 8 8" xfId="19241"/>
    <cellStyle name="常规 4 2 9" xfId="1049"/>
    <cellStyle name="常规 4 2 9 2" xfId="4185"/>
    <cellStyle name="常规 4 2 9 2 2" xfId="13605"/>
    <cellStyle name="常规 4 2 9 2 2 2" xfId="32453"/>
    <cellStyle name="常规 4 2 9 2 3" xfId="23029"/>
    <cellStyle name="常规 4 2 9 3" xfId="7321"/>
    <cellStyle name="常规 4 2 9 3 2" xfId="16741"/>
    <cellStyle name="常规 4 2 9 3 2 2" xfId="35589"/>
    <cellStyle name="常规 4 2 9 3 3" xfId="26165"/>
    <cellStyle name="常规 4 2 9 4" xfId="10469"/>
    <cellStyle name="常规 4 2 9 4 2" xfId="29317"/>
    <cellStyle name="常规 4 2 9 5" xfId="19893"/>
    <cellStyle name="常规 4 3" xfId="325"/>
    <cellStyle name="常规 4 3 10" xfId="2681"/>
    <cellStyle name="常规 4 3 10 2" xfId="5817"/>
    <cellStyle name="常规 4 3 10 2 2" xfId="15237"/>
    <cellStyle name="常规 4 3 10 2 2 2" xfId="34085"/>
    <cellStyle name="常规 4 3 10 2 3" xfId="24661"/>
    <cellStyle name="常规 4 3 10 3" xfId="8953"/>
    <cellStyle name="常规 4 3 10 3 2" xfId="18373"/>
    <cellStyle name="常规 4 3 10 3 2 2" xfId="37221"/>
    <cellStyle name="常规 4 3 10 3 3" xfId="27797"/>
    <cellStyle name="常规 4 3 10 4" xfId="12101"/>
    <cellStyle name="常规 4 3 10 4 2" xfId="30949"/>
    <cellStyle name="常规 4 3 10 5" xfId="21525"/>
    <cellStyle name="常规 4 3 11" xfId="3183"/>
    <cellStyle name="常规 4 3 11 2" xfId="12603"/>
    <cellStyle name="常规 4 3 11 2 2" xfId="31451"/>
    <cellStyle name="常规 4 3 11 3" xfId="22027"/>
    <cellStyle name="常规 4 3 12" xfId="6601"/>
    <cellStyle name="常规 4 3 12 2" xfId="16021"/>
    <cellStyle name="常规 4 3 12 2 2" xfId="34869"/>
    <cellStyle name="常规 4 3 12 3" xfId="25445"/>
    <cellStyle name="常规 4 3 13" xfId="9748"/>
    <cellStyle name="常规 4 3 13 2" xfId="28593"/>
    <cellStyle name="常规 4 3 14" xfId="19171"/>
    <cellStyle name="常规 4 3 2" xfId="326"/>
    <cellStyle name="常规 4 3 2 10" xfId="3184"/>
    <cellStyle name="常规 4 3 2 10 2" xfId="12604"/>
    <cellStyle name="常规 4 3 2 10 2 2" xfId="31452"/>
    <cellStyle name="常规 4 3 2 10 3" xfId="22028"/>
    <cellStyle name="常规 4 3 2 11" xfId="6602"/>
    <cellStyle name="常规 4 3 2 11 2" xfId="16022"/>
    <cellStyle name="常规 4 3 2 11 2 2" xfId="34870"/>
    <cellStyle name="常规 4 3 2 11 3" xfId="25446"/>
    <cellStyle name="常规 4 3 2 12" xfId="9749"/>
    <cellStyle name="常规 4 3 2 12 2" xfId="28594"/>
    <cellStyle name="常规 4 3 2 13" xfId="19172"/>
    <cellStyle name="常规 4 3 2 2" xfId="327"/>
    <cellStyle name="常规 4 3 2 2 10" xfId="6603"/>
    <cellStyle name="常规 4 3 2 2 10 2" xfId="16023"/>
    <cellStyle name="常规 4 3 2 2 10 2 2" xfId="34871"/>
    <cellStyle name="常规 4 3 2 2 10 3" xfId="25447"/>
    <cellStyle name="常规 4 3 2 2 11" xfId="9750"/>
    <cellStyle name="常规 4 3 2 2 11 2" xfId="28595"/>
    <cellStyle name="常规 4 3 2 2 12" xfId="19173"/>
    <cellStyle name="常规 4 3 2 2 2" xfId="328"/>
    <cellStyle name="常规 4 3 2 2 2 10" xfId="9751"/>
    <cellStyle name="常规 4 3 2 2 2 10 2" xfId="28596"/>
    <cellStyle name="常规 4 3 2 2 2 11" xfId="19174"/>
    <cellStyle name="常规 4 3 2 2 2 2" xfId="329"/>
    <cellStyle name="常规 4 3 2 2 2 2 10" xfId="19175"/>
    <cellStyle name="常规 4 3 2 2 2 2 2" xfId="330"/>
    <cellStyle name="常规 4 3 2 2 2 2 2 2" xfId="726"/>
    <cellStyle name="常规 4 3 2 2 2 2 2 2 2" xfId="1510"/>
    <cellStyle name="常规 4 3 2 2 2 2 2 2 2 2" xfId="4646"/>
    <cellStyle name="常规 4 3 2 2 2 2 2 2 2 2 2" xfId="14066"/>
    <cellStyle name="常规 4 3 2 2 2 2 2 2 2 2 2 2" xfId="32914"/>
    <cellStyle name="常规 4 3 2 2 2 2 2 2 2 2 3" xfId="23490"/>
    <cellStyle name="常规 4 3 2 2 2 2 2 2 2 3" xfId="7782"/>
    <cellStyle name="常规 4 3 2 2 2 2 2 2 2 3 2" xfId="17202"/>
    <cellStyle name="常规 4 3 2 2 2 2 2 2 2 3 2 2" xfId="36050"/>
    <cellStyle name="常规 4 3 2 2 2 2 2 2 2 3 3" xfId="26626"/>
    <cellStyle name="常规 4 3 2 2 2 2 2 2 2 4" xfId="10930"/>
    <cellStyle name="常规 4 3 2 2 2 2 2 2 2 4 2" xfId="29778"/>
    <cellStyle name="常规 4 3 2 2 2 2 2 2 2 5" xfId="20354"/>
    <cellStyle name="常规 4 3 2 2 2 2 2 2 3" xfId="2294"/>
    <cellStyle name="常规 4 3 2 2 2 2 2 2 3 2" xfId="5430"/>
    <cellStyle name="常规 4 3 2 2 2 2 2 2 3 2 2" xfId="14850"/>
    <cellStyle name="常规 4 3 2 2 2 2 2 2 3 2 2 2" xfId="33698"/>
    <cellStyle name="常规 4 3 2 2 2 2 2 2 3 2 3" xfId="24274"/>
    <cellStyle name="常规 4 3 2 2 2 2 2 2 3 3" xfId="8566"/>
    <cellStyle name="常规 4 3 2 2 2 2 2 2 3 3 2" xfId="17986"/>
    <cellStyle name="常规 4 3 2 2 2 2 2 2 3 3 2 2" xfId="36834"/>
    <cellStyle name="常规 4 3 2 2 2 2 2 2 3 3 3" xfId="27410"/>
    <cellStyle name="常规 4 3 2 2 2 2 2 2 3 4" xfId="11714"/>
    <cellStyle name="常规 4 3 2 2 2 2 2 2 3 4 2" xfId="30562"/>
    <cellStyle name="常规 4 3 2 2 2 2 2 2 3 5" xfId="21138"/>
    <cellStyle name="常规 4 3 2 2 2 2 2 2 4" xfId="3078"/>
    <cellStyle name="常规 4 3 2 2 2 2 2 2 4 2" xfId="6214"/>
    <cellStyle name="常规 4 3 2 2 2 2 2 2 4 2 2" xfId="15634"/>
    <cellStyle name="常规 4 3 2 2 2 2 2 2 4 2 2 2" xfId="34482"/>
    <cellStyle name="常规 4 3 2 2 2 2 2 2 4 2 3" xfId="25058"/>
    <cellStyle name="常规 4 3 2 2 2 2 2 2 4 3" xfId="9350"/>
    <cellStyle name="常规 4 3 2 2 2 2 2 2 4 3 2" xfId="18770"/>
    <cellStyle name="常规 4 3 2 2 2 2 2 2 4 3 2 2" xfId="37618"/>
    <cellStyle name="常规 4 3 2 2 2 2 2 2 4 3 3" xfId="28194"/>
    <cellStyle name="常规 4 3 2 2 2 2 2 2 4 4" xfId="12498"/>
    <cellStyle name="常规 4 3 2 2 2 2 2 2 4 4 2" xfId="31346"/>
    <cellStyle name="常规 4 3 2 2 2 2 2 2 4 5" xfId="21922"/>
    <cellStyle name="常规 4 3 2 2 2 2 2 2 5" xfId="3862"/>
    <cellStyle name="常规 4 3 2 2 2 2 2 2 5 2" xfId="13282"/>
    <cellStyle name="常规 4 3 2 2 2 2 2 2 5 2 2" xfId="32130"/>
    <cellStyle name="常规 4 3 2 2 2 2 2 2 5 3" xfId="22706"/>
    <cellStyle name="常规 4 3 2 2 2 2 2 2 6" xfId="6998"/>
    <cellStyle name="常规 4 3 2 2 2 2 2 2 6 2" xfId="16418"/>
    <cellStyle name="常规 4 3 2 2 2 2 2 2 6 2 2" xfId="35266"/>
    <cellStyle name="常规 4 3 2 2 2 2 2 2 6 3" xfId="25842"/>
    <cellStyle name="常规 4 3 2 2 2 2 2 2 7" xfId="10146"/>
    <cellStyle name="常规 4 3 2 2 2 2 2 2 7 2" xfId="28994"/>
    <cellStyle name="常规 4 3 2 2 2 2 2 2 8" xfId="19570"/>
    <cellStyle name="常规 4 3 2 2 2 2 2 3" xfId="1118"/>
    <cellStyle name="常规 4 3 2 2 2 2 2 3 2" xfId="4254"/>
    <cellStyle name="常规 4 3 2 2 2 2 2 3 2 2" xfId="13674"/>
    <cellStyle name="常规 4 3 2 2 2 2 2 3 2 2 2" xfId="32522"/>
    <cellStyle name="常规 4 3 2 2 2 2 2 3 2 3" xfId="23098"/>
    <cellStyle name="常规 4 3 2 2 2 2 2 3 3" xfId="7390"/>
    <cellStyle name="常规 4 3 2 2 2 2 2 3 3 2" xfId="16810"/>
    <cellStyle name="常规 4 3 2 2 2 2 2 3 3 2 2" xfId="35658"/>
    <cellStyle name="常规 4 3 2 2 2 2 2 3 3 3" xfId="26234"/>
    <cellStyle name="常规 4 3 2 2 2 2 2 3 4" xfId="10538"/>
    <cellStyle name="常规 4 3 2 2 2 2 2 3 4 2" xfId="29386"/>
    <cellStyle name="常规 4 3 2 2 2 2 2 3 5" xfId="19962"/>
    <cellStyle name="常规 4 3 2 2 2 2 2 4" xfId="1902"/>
    <cellStyle name="常规 4 3 2 2 2 2 2 4 2" xfId="5038"/>
    <cellStyle name="常规 4 3 2 2 2 2 2 4 2 2" xfId="14458"/>
    <cellStyle name="常规 4 3 2 2 2 2 2 4 2 2 2" xfId="33306"/>
    <cellStyle name="常规 4 3 2 2 2 2 2 4 2 3" xfId="23882"/>
    <cellStyle name="常规 4 3 2 2 2 2 2 4 3" xfId="8174"/>
    <cellStyle name="常规 4 3 2 2 2 2 2 4 3 2" xfId="17594"/>
    <cellStyle name="常规 4 3 2 2 2 2 2 4 3 2 2" xfId="36442"/>
    <cellStyle name="常规 4 3 2 2 2 2 2 4 3 3" xfId="27018"/>
    <cellStyle name="常规 4 3 2 2 2 2 2 4 4" xfId="11322"/>
    <cellStyle name="常规 4 3 2 2 2 2 2 4 4 2" xfId="30170"/>
    <cellStyle name="常规 4 3 2 2 2 2 2 4 5" xfId="20746"/>
    <cellStyle name="常规 4 3 2 2 2 2 2 5" xfId="2686"/>
    <cellStyle name="常规 4 3 2 2 2 2 2 5 2" xfId="5822"/>
    <cellStyle name="常规 4 3 2 2 2 2 2 5 2 2" xfId="15242"/>
    <cellStyle name="常规 4 3 2 2 2 2 2 5 2 2 2" xfId="34090"/>
    <cellStyle name="常规 4 3 2 2 2 2 2 5 2 3" xfId="24666"/>
    <cellStyle name="常规 4 3 2 2 2 2 2 5 3" xfId="8958"/>
    <cellStyle name="常规 4 3 2 2 2 2 2 5 3 2" xfId="18378"/>
    <cellStyle name="常规 4 3 2 2 2 2 2 5 3 2 2" xfId="37226"/>
    <cellStyle name="常规 4 3 2 2 2 2 2 5 3 3" xfId="27802"/>
    <cellStyle name="常规 4 3 2 2 2 2 2 5 4" xfId="12106"/>
    <cellStyle name="常规 4 3 2 2 2 2 2 5 4 2" xfId="30954"/>
    <cellStyle name="常规 4 3 2 2 2 2 2 5 5" xfId="21530"/>
    <cellStyle name="常规 4 3 2 2 2 2 2 6" xfId="3482"/>
    <cellStyle name="常规 4 3 2 2 2 2 2 6 2" xfId="12902"/>
    <cellStyle name="常规 4 3 2 2 2 2 2 6 2 2" xfId="31750"/>
    <cellStyle name="常规 4 3 2 2 2 2 2 6 3" xfId="22326"/>
    <cellStyle name="常规 4 3 2 2 2 2 2 7" xfId="6606"/>
    <cellStyle name="常规 4 3 2 2 2 2 2 7 2" xfId="16026"/>
    <cellStyle name="常规 4 3 2 2 2 2 2 7 2 2" xfId="34874"/>
    <cellStyle name="常规 4 3 2 2 2 2 2 7 3" xfId="25450"/>
    <cellStyle name="常规 4 3 2 2 2 2 2 8" xfId="9753"/>
    <cellStyle name="常规 4 3 2 2 2 2 2 8 2" xfId="28598"/>
    <cellStyle name="常规 4 3 2 2 2 2 2 9" xfId="19176"/>
    <cellStyle name="常规 4 3 2 2 2 2 3" xfId="725"/>
    <cellStyle name="常规 4 3 2 2 2 2 3 2" xfId="1509"/>
    <cellStyle name="常规 4 3 2 2 2 2 3 2 2" xfId="4645"/>
    <cellStyle name="常规 4 3 2 2 2 2 3 2 2 2" xfId="14065"/>
    <cellStyle name="常规 4 3 2 2 2 2 3 2 2 2 2" xfId="32913"/>
    <cellStyle name="常规 4 3 2 2 2 2 3 2 2 3" xfId="23489"/>
    <cellStyle name="常规 4 3 2 2 2 2 3 2 3" xfId="7781"/>
    <cellStyle name="常规 4 3 2 2 2 2 3 2 3 2" xfId="17201"/>
    <cellStyle name="常规 4 3 2 2 2 2 3 2 3 2 2" xfId="36049"/>
    <cellStyle name="常规 4 3 2 2 2 2 3 2 3 3" xfId="26625"/>
    <cellStyle name="常规 4 3 2 2 2 2 3 2 4" xfId="10929"/>
    <cellStyle name="常规 4 3 2 2 2 2 3 2 4 2" xfId="29777"/>
    <cellStyle name="常规 4 3 2 2 2 2 3 2 5" xfId="20353"/>
    <cellStyle name="常规 4 3 2 2 2 2 3 3" xfId="2293"/>
    <cellStyle name="常规 4 3 2 2 2 2 3 3 2" xfId="5429"/>
    <cellStyle name="常规 4 3 2 2 2 2 3 3 2 2" xfId="14849"/>
    <cellStyle name="常规 4 3 2 2 2 2 3 3 2 2 2" xfId="33697"/>
    <cellStyle name="常规 4 3 2 2 2 2 3 3 2 3" xfId="24273"/>
    <cellStyle name="常规 4 3 2 2 2 2 3 3 3" xfId="8565"/>
    <cellStyle name="常规 4 3 2 2 2 2 3 3 3 2" xfId="17985"/>
    <cellStyle name="常规 4 3 2 2 2 2 3 3 3 2 2" xfId="36833"/>
    <cellStyle name="常规 4 3 2 2 2 2 3 3 3 3" xfId="27409"/>
    <cellStyle name="常规 4 3 2 2 2 2 3 3 4" xfId="11713"/>
    <cellStyle name="常规 4 3 2 2 2 2 3 3 4 2" xfId="30561"/>
    <cellStyle name="常规 4 3 2 2 2 2 3 3 5" xfId="21137"/>
    <cellStyle name="常规 4 3 2 2 2 2 3 4" xfId="3077"/>
    <cellStyle name="常规 4 3 2 2 2 2 3 4 2" xfId="6213"/>
    <cellStyle name="常规 4 3 2 2 2 2 3 4 2 2" xfId="15633"/>
    <cellStyle name="常规 4 3 2 2 2 2 3 4 2 2 2" xfId="34481"/>
    <cellStyle name="常规 4 3 2 2 2 2 3 4 2 3" xfId="25057"/>
    <cellStyle name="常规 4 3 2 2 2 2 3 4 3" xfId="9349"/>
    <cellStyle name="常规 4 3 2 2 2 2 3 4 3 2" xfId="18769"/>
    <cellStyle name="常规 4 3 2 2 2 2 3 4 3 2 2" xfId="37617"/>
    <cellStyle name="常规 4 3 2 2 2 2 3 4 3 3" xfId="28193"/>
    <cellStyle name="常规 4 3 2 2 2 2 3 4 4" xfId="12497"/>
    <cellStyle name="常规 4 3 2 2 2 2 3 4 4 2" xfId="31345"/>
    <cellStyle name="常规 4 3 2 2 2 2 3 4 5" xfId="21921"/>
    <cellStyle name="常规 4 3 2 2 2 2 3 5" xfId="3861"/>
    <cellStyle name="常规 4 3 2 2 2 2 3 5 2" xfId="13281"/>
    <cellStyle name="常规 4 3 2 2 2 2 3 5 2 2" xfId="32129"/>
    <cellStyle name="常规 4 3 2 2 2 2 3 5 3" xfId="22705"/>
    <cellStyle name="常规 4 3 2 2 2 2 3 6" xfId="6997"/>
    <cellStyle name="常规 4 3 2 2 2 2 3 6 2" xfId="16417"/>
    <cellStyle name="常规 4 3 2 2 2 2 3 6 2 2" xfId="35265"/>
    <cellStyle name="常规 4 3 2 2 2 2 3 6 3" xfId="25841"/>
    <cellStyle name="常规 4 3 2 2 2 2 3 7" xfId="10145"/>
    <cellStyle name="常规 4 3 2 2 2 2 3 7 2" xfId="28993"/>
    <cellStyle name="常规 4 3 2 2 2 2 3 8" xfId="19569"/>
    <cellStyle name="常规 4 3 2 2 2 2 4" xfId="1117"/>
    <cellStyle name="常规 4 3 2 2 2 2 4 2" xfId="4253"/>
    <cellStyle name="常规 4 3 2 2 2 2 4 2 2" xfId="13673"/>
    <cellStyle name="常规 4 3 2 2 2 2 4 2 2 2" xfId="32521"/>
    <cellStyle name="常规 4 3 2 2 2 2 4 2 3" xfId="23097"/>
    <cellStyle name="常规 4 3 2 2 2 2 4 3" xfId="7389"/>
    <cellStyle name="常规 4 3 2 2 2 2 4 3 2" xfId="16809"/>
    <cellStyle name="常规 4 3 2 2 2 2 4 3 2 2" xfId="35657"/>
    <cellStyle name="常规 4 3 2 2 2 2 4 3 3" xfId="26233"/>
    <cellStyle name="常规 4 3 2 2 2 2 4 4" xfId="10537"/>
    <cellStyle name="常规 4 3 2 2 2 2 4 4 2" xfId="29385"/>
    <cellStyle name="常规 4 3 2 2 2 2 4 5" xfId="19961"/>
    <cellStyle name="常规 4 3 2 2 2 2 5" xfId="1901"/>
    <cellStyle name="常规 4 3 2 2 2 2 5 2" xfId="5037"/>
    <cellStyle name="常规 4 3 2 2 2 2 5 2 2" xfId="14457"/>
    <cellStyle name="常规 4 3 2 2 2 2 5 2 2 2" xfId="33305"/>
    <cellStyle name="常规 4 3 2 2 2 2 5 2 3" xfId="23881"/>
    <cellStyle name="常规 4 3 2 2 2 2 5 3" xfId="8173"/>
    <cellStyle name="常规 4 3 2 2 2 2 5 3 2" xfId="17593"/>
    <cellStyle name="常规 4 3 2 2 2 2 5 3 2 2" xfId="36441"/>
    <cellStyle name="常规 4 3 2 2 2 2 5 3 3" xfId="27017"/>
    <cellStyle name="常规 4 3 2 2 2 2 5 4" xfId="11321"/>
    <cellStyle name="常规 4 3 2 2 2 2 5 4 2" xfId="30169"/>
    <cellStyle name="常规 4 3 2 2 2 2 5 5" xfId="20745"/>
    <cellStyle name="常规 4 3 2 2 2 2 6" xfId="2685"/>
    <cellStyle name="常规 4 3 2 2 2 2 6 2" xfId="5821"/>
    <cellStyle name="常规 4 3 2 2 2 2 6 2 2" xfId="15241"/>
    <cellStyle name="常规 4 3 2 2 2 2 6 2 2 2" xfId="34089"/>
    <cellStyle name="常规 4 3 2 2 2 2 6 2 3" xfId="24665"/>
    <cellStyle name="常规 4 3 2 2 2 2 6 3" xfId="8957"/>
    <cellStyle name="常规 4 3 2 2 2 2 6 3 2" xfId="18377"/>
    <cellStyle name="常规 4 3 2 2 2 2 6 3 2 2" xfId="37225"/>
    <cellStyle name="常规 4 3 2 2 2 2 6 3 3" xfId="27801"/>
    <cellStyle name="常规 4 3 2 2 2 2 6 4" xfId="12105"/>
    <cellStyle name="常规 4 3 2 2 2 2 6 4 2" xfId="30953"/>
    <cellStyle name="常规 4 3 2 2 2 2 6 5" xfId="21529"/>
    <cellStyle name="常规 4 3 2 2 2 2 7" xfId="3481"/>
    <cellStyle name="常规 4 3 2 2 2 2 7 2" xfId="12901"/>
    <cellStyle name="常规 4 3 2 2 2 2 7 2 2" xfId="31749"/>
    <cellStyle name="常规 4 3 2 2 2 2 7 3" xfId="22325"/>
    <cellStyle name="常规 4 3 2 2 2 2 8" xfId="6605"/>
    <cellStyle name="常规 4 3 2 2 2 2 8 2" xfId="16025"/>
    <cellStyle name="常规 4 3 2 2 2 2 8 2 2" xfId="34873"/>
    <cellStyle name="常规 4 3 2 2 2 2 8 3" xfId="25449"/>
    <cellStyle name="常规 4 3 2 2 2 2 9" xfId="9752"/>
    <cellStyle name="常规 4 3 2 2 2 2 9 2" xfId="28597"/>
    <cellStyle name="常规 4 3 2 2 2 3" xfId="331"/>
    <cellStyle name="常规 4 3 2 2 2 3 2" xfId="727"/>
    <cellStyle name="常规 4 3 2 2 2 3 2 2" xfId="1511"/>
    <cellStyle name="常规 4 3 2 2 2 3 2 2 2" xfId="4647"/>
    <cellStyle name="常规 4 3 2 2 2 3 2 2 2 2" xfId="14067"/>
    <cellStyle name="常规 4 3 2 2 2 3 2 2 2 2 2" xfId="32915"/>
    <cellStyle name="常规 4 3 2 2 2 3 2 2 2 3" xfId="23491"/>
    <cellStyle name="常规 4 3 2 2 2 3 2 2 3" xfId="7783"/>
    <cellStyle name="常规 4 3 2 2 2 3 2 2 3 2" xfId="17203"/>
    <cellStyle name="常规 4 3 2 2 2 3 2 2 3 2 2" xfId="36051"/>
    <cellStyle name="常规 4 3 2 2 2 3 2 2 3 3" xfId="26627"/>
    <cellStyle name="常规 4 3 2 2 2 3 2 2 4" xfId="10931"/>
    <cellStyle name="常规 4 3 2 2 2 3 2 2 4 2" xfId="29779"/>
    <cellStyle name="常规 4 3 2 2 2 3 2 2 5" xfId="20355"/>
    <cellStyle name="常规 4 3 2 2 2 3 2 3" xfId="2295"/>
    <cellStyle name="常规 4 3 2 2 2 3 2 3 2" xfId="5431"/>
    <cellStyle name="常规 4 3 2 2 2 3 2 3 2 2" xfId="14851"/>
    <cellStyle name="常规 4 3 2 2 2 3 2 3 2 2 2" xfId="33699"/>
    <cellStyle name="常规 4 3 2 2 2 3 2 3 2 3" xfId="24275"/>
    <cellStyle name="常规 4 3 2 2 2 3 2 3 3" xfId="8567"/>
    <cellStyle name="常规 4 3 2 2 2 3 2 3 3 2" xfId="17987"/>
    <cellStyle name="常规 4 3 2 2 2 3 2 3 3 2 2" xfId="36835"/>
    <cellStyle name="常规 4 3 2 2 2 3 2 3 3 3" xfId="27411"/>
    <cellStyle name="常规 4 3 2 2 2 3 2 3 4" xfId="11715"/>
    <cellStyle name="常规 4 3 2 2 2 3 2 3 4 2" xfId="30563"/>
    <cellStyle name="常规 4 3 2 2 2 3 2 3 5" xfId="21139"/>
    <cellStyle name="常规 4 3 2 2 2 3 2 4" xfId="3079"/>
    <cellStyle name="常规 4 3 2 2 2 3 2 4 2" xfId="6215"/>
    <cellStyle name="常规 4 3 2 2 2 3 2 4 2 2" xfId="15635"/>
    <cellStyle name="常规 4 3 2 2 2 3 2 4 2 2 2" xfId="34483"/>
    <cellStyle name="常规 4 3 2 2 2 3 2 4 2 3" xfId="25059"/>
    <cellStyle name="常规 4 3 2 2 2 3 2 4 3" xfId="9351"/>
    <cellStyle name="常规 4 3 2 2 2 3 2 4 3 2" xfId="18771"/>
    <cellStyle name="常规 4 3 2 2 2 3 2 4 3 2 2" xfId="37619"/>
    <cellStyle name="常规 4 3 2 2 2 3 2 4 3 3" xfId="28195"/>
    <cellStyle name="常规 4 3 2 2 2 3 2 4 4" xfId="12499"/>
    <cellStyle name="常规 4 3 2 2 2 3 2 4 4 2" xfId="31347"/>
    <cellStyle name="常规 4 3 2 2 2 3 2 4 5" xfId="21923"/>
    <cellStyle name="常规 4 3 2 2 2 3 2 5" xfId="3863"/>
    <cellStyle name="常规 4 3 2 2 2 3 2 5 2" xfId="13283"/>
    <cellStyle name="常规 4 3 2 2 2 3 2 5 2 2" xfId="32131"/>
    <cellStyle name="常规 4 3 2 2 2 3 2 5 3" xfId="22707"/>
    <cellStyle name="常规 4 3 2 2 2 3 2 6" xfId="6999"/>
    <cellStyle name="常规 4 3 2 2 2 3 2 6 2" xfId="16419"/>
    <cellStyle name="常规 4 3 2 2 2 3 2 6 2 2" xfId="35267"/>
    <cellStyle name="常规 4 3 2 2 2 3 2 6 3" xfId="25843"/>
    <cellStyle name="常规 4 3 2 2 2 3 2 7" xfId="10147"/>
    <cellStyle name="常规 4 3 2 2 2 3 2 7 2" xfId="28995"/>
    <cellStyle name="常规 4 3 2 2 2 3 2 8" xfId="19571"/>
    <cellStyle name="常规 4 3 2 2 2 3 3" xfId="1119"/>
    <cellStyle name="常规 4 3 2 2 2 3 3 2" xfId="4255"/>
    <cellStyle name="常规 4 3 2 2 2 3 3 2 2" xfId="13675"/>
    <cellStyle name="常规 4 3 2 2 2 3 3 2 2 2" xfId="32523"/>
    <cellStyle name="常规 4 3 2 2 2 3 3 2 3" xfId="23099"/>
    <cellStyle name="常规 4 3 2 2 2 3 3 3" xfId="7391"/>
    <cellStyle name="常规 4 3 2 2 2 3 3 3 2" xfId="16811"/>
    <cellStyle name="常规 4 3 2 2 2 3 3 3 2 2" xfId="35659"/>
    <cellStyle name="常规 4 3 2 2 2 3 3 3 3" xfId="26235"/>
    <cellStyle name="常规 4 3 2 2 2 3 3 4" xfId="10539"/>
    <cellStyle name="常规 4 3 2 2 2 3 3 4 2" xfId="29387"/>
    <cellStyle name="常规 4 3 2 2 2 3 3 5" xfId="19963"/>
    <cellStyle name="常规 4 3 2 2 2 3 4" xfId="1903"/>
    <cellStyle name="常规 4 3 2 2 2 3 4 2" xfId="5039"/>
    <cellStyle name="常规 4 3 2 2 2 3 4 2 2" xfId="14459"/>
    <cellStyle name="常规 4 3 2 2 2 3 4 2 2 2" xfId="33307"/>
    <cellStyle name="常规 4 3 2 2 2 3 4 2 3" xfId="23883"/>
    <cellStyle name="常规 4 3 2 2 2 3 4 3" xfId="8175"/>
    <cellStyle name="常规 4 3 2 2 2 3 4 3 2" xfId="17595"/>
    <cellStyle name="常规 4 3 2 2 2 3 4 3 2 2" xfId="36443"/>
    <cellStyle name="常规 4 3 2 2 2 3 4 3 3" xfId="27019"/>
    <cellStyle name="常规 4 3 2 2 2 3 4 4" xfId="11323"/>
    <cellStyle name="常规 4 3 2 2 2 3 4 4 2" xfId="30171"/>
    <cellStyle name="常规 4 3 2 2 2 3 4 5" xfId="20747"/>
    <cellStyle name="常规 4 3 2 2 2 3 5" xfId="2687"/>
    <cellStyle name="常规 4 3 2 2 2 3 5 2" xfId="5823"/>
    <cellStyle name="常规 4 3 2 2 2 3 5 2 2" xfId="15243"/>
    <cellStyle name="常规 4 3 2 2 2 3 5 2 2 2" xfId="34091"/>
    <cellStyle name="常规 4 3 2 2 2 3 5 2 3" xfId="24667"/>
    <cellStyle name="常规 4 3 2 2 2 3 5 3" xfId="8959"/>
    <cellStyle name="常规 4 3 2 2 2 3 5 3 2" xfId="18379"/>
    <cellStyle name="常规 4 3 2 2 2 3 5 3 2 2" xfId="37227"/>
    <cellStyle name="常规 4 3 2 2 2 3 5 3 3" xfId="27803"/>
    <cellStyle name="常规 4 3 2 2 2 3 5 4" xfId="12107"/>
    <cellStyle name="常规 4 3 2 2 2 3 5 4 2" xfId="30955"/>
    <cellStyle name="常规 4 3 2 2 2 3 5 5" xfId="21531"/>
    <cellStyle name="常规 4 3 2 2 2 3 6" xfId="3483"/>
    <cellStyle name="常规 4 3 2 2 2 3 6 2" xfId="12903"/>
    <cellStyle name="常规 4 3 2 2 2 3 6 2 2" xfId="31751"/>
    <cellStyle name="常规 4 3 2 2 2 3 6 3" xfId="22327"/>
    <cellStyle name="常规 4 3 2 2 2 3 7" xfId="6607"/>
    <cellStyle name="常规 4 3 2 2 2 3 7 2" xfId="16027"/>
    <cellStyle name="常规 4 3 2 2 2 3 7 2 2" xfId="34875"/>
    <cellStyle name="常规 4 3 2 2 2 3 7 3" xfId="25451"/>
    <cellStyle name="常规 4 3 2 2 2 3 8" xfId="9754"/>
    <cellStyle name="常规 4 3 2 2 2 3 8 2" xfId="28599"/>
    <cellStyle name="常规 4 3 2 2 2 3 9" xfId="19177"/>
    <cellStyle name="常规 4 3 2 2 2 4" xfId="724"/>
    <cellStyle name="常规 4 3 2 2 2 4 2" xfId="1508"/>
    <cellStyle name="常规 4 3 2 2 2 4 2 2" xfId="4644"/>
    <cellStyle name="常规 4 3 2 2 2 4 2 2 2" xfId="14064"/>
    <cellStyle name="常规 4 3 2 2 2 4 2 2 2 2" xfId="32912"/>
    <cellStyle name="常规 4 3 2 2 2 4 2 2 3" xfId="23488"/>
    <cellStyle name="常规 4 3 2 2 2 4 2 3" xfId="7780"/>
    <cellStyle name="常规 4 3 2 2 2 4 2 3 2" xfId="17200"/>
    <cellStyle name="常规 4 3 2 2 2 4 2 3 2 2" xfId="36048"/>
    <cellStyle name="常规 4 3 2 2 2 4 2 3 3" xfId="26624"/>
    <cellStyle name="常规 4 3 2 2 2 4 2 4" xfId="10928"/>
    <cellStyle name="常规 4 3 2 2 2 4 2 4 2" xfId="29776"/>
    <cellStyle name="常规 4 3 2 2 2 4 2 5" xfId="20352"/>
    <cellStyle name="常规 4 3 2 2 2 4 3" xfId="2292"/>
    <cellStyle name="常规 4 3 2 2 2 4 3 2" xfId="5428"/>
    <cellStyle name="常规 4 3 2 2 2 4 3 2 2" xfId="14848"/>
    <cellStyle name="常规 4 3 2 2 2 4 3 2 2 2" xfId="33696"/>
    <cellStyle name="常规 4 3 2 2 2 4 3 2 3" xfId="24272"/>
    <cellStyle name="常规 4 3 2 2 2 4 3 3" xfId="8564"/>
    <cellStyle name="常规 4 3 2 2 2 4 3 3 2" xfId="17984"/>
    <cellStyle name="常规 4 3 2 2 2 4 3 3 2 2" xfId="36832"/>
    <cellStyle name="常规 4 3 2 2 2 4 3 3 3" xfId="27408"/>
    <cellStyle name="常规 4 3 2 2 2 4 3 4" xfId="11712"/>
    <cellStyle name="常规 4 3 2 2 2 4 3 4 2" xfId="30560"/>
    <cellStyle name="常规 4 3 2 2 2 4 3 5" xfId="21136"/>
    <cellStyle name="常规 4 3 2 2 2 4 4" xfId="3076"/>
    <cellStyle name="常规 4 3 2 2 2 4 4 2" xfId="6212"/>
    <cellStyle name="常规 4 3 2 2 2 4 4 2 2" xfId="15632"/>
    <cellStyle name="常规 4 3 2 2 2 4 4 2 2 2" xfId="34480"/>
    <cellStyle name="常规 4 3 2 2 2 4 4 2 3" xfId="25056"/>
    <cellStyle name="常规 4 3 2 2 2 4 4 3" xfId="9348"/>
    <cellStyle name="常规 4 3 2 2 2 4 4 3 2" xfId="18768"/>
    <cellStyle name="常规 4 3 2 2 2 4 4 3 2 2" xfId="37616"/>
    <cellStyle name="常规 4 3 2 2 2 4 4 3 3" xfId="28192"/>
    <cellStyle name="常规 4 3 2 2 2 4 4 4" xfId="12496"/>
    <cellStyle name="常规 4 3 2 2 2 4 4 4 2" xfId="31344"/>
    <cellStyle name="常规 4 3 2 2 2 4 4 5" xfId="21920"/>
    <cellStyle name="常规 4 3 2 2 2 4 5" xfId="3860"/>
    <cellStyle name="常规 4 3 2 2 2 4 5 2" xfId="13280"/>
    <cellStyle name="常规 4 3 2 2 2 4 5 2 2" xfId="32128"/>
    <cellStyle name="常规 4 3 2 2 2 4 5 3" xfId="22704"/>
    <cellStyle name="常规 4 3 2 2 2 4 6" xfId="6996"/>
    <cellStyle name="常规 4 3 2 2 2 4 6 2" xfId="16416"/>
    <cellStyle name="常规 4 3 2 2 2 4 6 2 2" xfId="35264"/>
    <cellStyle name="常规 4 3 2 2 2 4 6 3" xfId="25840"/>
    <cellStyle name="常规 4 3 2 2 2 4 7" xfId="10144"/>
    <cellStyle name="常规 4 3 2 2 2 4 7 2" xfId="28992"/>
    <cellStyle name="常规 4 3 2 2 2 4 8" xfId="19568"/>
    <cellStyle name="常规 4 3 2 2 2 5" xfId="1116"/>
    <cellStyle name="常规 4 3 2 2 2 5 2" xfId="4252"/>
    <cellStyle name="常规 4 3 2 2 2 5 2 2" xfId="13672"/>
    <cellStyle name="常规 4 3 2 2 2 5 2 2 2" xfId="32520"/>
    <cellStyle name="常规 4 3 2 2 2 5 2 3" xfId="23096"/>
    <cellStyle name="常规 4 3 2 2 2 5 3" xfId="7388"/>
    <cellStyle name="常规 4 3 2 2 2 5 3 2" xfId="16808"/>
    <cellStyle name="常规 4 3 2 2 2 5 3 2 2" xfId="35656"/>
    <cellStyle name="常规 4 3 2 2 2 5 3 3" xfId="26232"/>
    <cellStyle name="常规 4 3 2 2 2 5 4" xfId="10536"/>
    <cellStyle name="常规 4 3 2 2 2 5 4 2" xfId="29384"/>
    <cellStyle name="常规 4 3 2 2 2 5 5" xfId="19960"/>
    <cellStyle name="常规 4 3 2 2 2 6" xfId="1900"/>
    <cellStyle name="常规 4 3 2 2 2 6 2" xfId="5036"/>
    <cellStyle name="常规 4 3 2 2 2 6 2 2" xfId="14456"/>
    <cellStyle name="常规 4 3 2 2 2 6 2 2 2" xfId="33304"/>
    <cellStyle name="常规 4 3 2 2 2 6 2 3" xfId="23880"/>
    <cellStyle name="常规 4 3 2 2 2 6 3" xfId="8172"/>
    <cellStyle name="常规 4 3 2 2 2 6 3 2" xfId="17592"/>
    <cellStyle name="常规 4 3 2 2 2 6 3 2 2" xfId="36440"/>
    <cellStyle name="常规 4 3 2 2 2 6 3 3" xfId="27016"/>
    <cellStyle name="常规 4 3 2 2 2 6 4" xfId="11320"/>
    <cellStyle name="常规 4 3 2 2 2 6 4 2" xfId="30168"/>
    <cellStyle name="常规 4 3 2 2 2 6 5" xfId="20744"/>
    <cellStyle name="常规 4 3 2 2 2 7" xfId="2684"/>
    <cellStyle name="常规 4 3 2 2 2 7 2" xfId="5820"/>
    <cellStyle name="常规 4 3 2 2 2 7 2 2" xfId="15240"/>
    <cellStyle name="常规 4 3 2 2 2 7 2 2 2" xfId="34088"/>
    <cellStyle name="常规 4 3 2 2 2 7 2 3" xfId="24664"/>
    <cellStyle name="常规 4 3 2 2 2 7 3" xfId="8956"/>
    <cellStyle name="常规 4 3 2 2 2 7 3 2" xfId="18376"/>
    <cellStyle name="常规 4 3 2 2 2 7 3 2 2" xfId="37224"/>
    <cellStyle name="常规 4 3 2 2 2 7 3 3" xfId="27800"/>
    <cellStyle name="常规 4 3 2 2 2 7 4" xfId="12104"/>
    <cellStyle name="常规 4 3 2 2 2 7 4 2" xfId="30952"/>
    <cellStyle name="常规 4 3 2 2 2 7 5" xfId="21528"/>
    <cellStyle name="常规 4 3 2 2 2 8" xfId="3234"/>
    <cellStyle name="常规 4 3 2 2 2 8 2" xfId="12654"/>
    <cellStyle name="常规 4 3 2 2 2 8 2 2" xfId="31502"/>
    <cellStyle name="常规 4 3 2 2 2 8 3" xfId="22078"/>
    <cellStyle name="常规 4 3 2 2 2 9" xfId="6604"/>
    <cellStyle name="常规 4 3 2 2 2 9 2" xfId="16024"/>
    <cellStyle name="常规 4 3 2 2 2 9 2 2" xfId="34872"/>
    <cellStyle name="常规 4 3 2 2 2 9 3" xfId="25448"/>
    <cellStyle name="常规 4 3 2 2 3" xfId="332"/>
    <cellStyle name="常规 4 3 2 2 3 10" xfId="19178"/>
    <cellStyle name="常规 4 3 2 2 3 2" xfId="333"/>
    <cellStyle name="常规 4 3 2 2 3 2 2" xfId="729"/>
    <cellStyle name="常规 4 3 2 2 3 2 2 2" xfId="1513"/>
    <cellStyle name="常规 4 3 2 2 3 2 2 2 2" xfId="4649"/>
    <cellStyle name="常规 4 3 2 2 3 2 2 2 2 2" xfId="14069"/>
    <cellStyle name="常规 4 3 2 2 3 2 2 2 2 2 2" xfId="32917"/>
    <cellStyle name="常规 4 3 2 2 3 2 2 2 2 3" xfId="23493"/>
    <cellStyle name="常规 4 3 2 2 3 2 2 2 3" xfId="7785"/>
    <cellStyle name="常规 4 3 2 2 3 2 2 2 3 2" xfId="17205"/>
    <cellStyle name="常规 4 3 2 2 3 2 2 2 3 2 2" xfId="36053"/>
    <cellStyle name="常规 4 3 2 2 3 2 2 2 3 3" xfId="26629"/>
    <cellStyle name="常规 4 3 2 2 3 2 2 2 4" xfId="10933"/>
    <cellStyle name="常规 4 3 2 2 3 2 2 2 4 2" xfId="29781"/>
    <cellStyle name="常规 4 3 2 2 3 2 2 2 5" xfId="20357"/>
    <cellStyle name="常规 4 3 2 2 3 2 2 3" xfId="2297"/>
    <cellStyle name="常规 4 3 2 2 3 2 2 3 2" xfId="5433"/>
    <cellStyle name="常规 4 3 2 2 3 2 2 3 2 2" xfId="14853"/>
    <cellStyle name="常规 4 3 2 2 3 2 2 3 2 2 2" xfId="33701"/>
    <cellStyle name="常规 4 3 2 2 3 2 2 3 2 3" xfId="24277"/>
    <cellStyle name="常规 4 3 2 2 3 2 2 3 3" xfId="8569"/>
    <cellStyle name="常规 4 3 2 2 3 2 2 3 3 2" xfId="17989"/>
    <cellStyle name="常规 4 3 2 2 3 2 2 3 3 2 2" xfId="36837"/>
    <cellStyle name="常规 4 3 2 2 3 2 2 3 3 3" xfId="27413"/>
    <cellStyle name="常规 4 3 2 2 3 2 2 3 4" xfId="11717"/>
    <cellStyle name="常规 4 3 2 2 3 2 2 3 4 2" xfId="30565"/>
    <cellStyle name="常规 4 3 2 2 3 2 2 3 5" xfId="21141"/>
    <cellStyle name="常规 4 3 2 2 3 2 2 4" xfId="3081"/>
    <cellStyle name="常规 4 3 2 2 3 2 2 4 2" xfId="6217"/>
    <cellStyle name="常规 4 3 2 2 3 2 2 4 2 2" xfId="15637"/>
    <cellStyle name="常规 4 3 2 2 3 2 2 4 2 2 2" xfId="34485"/>
    <cellStyle name="常规 4 3 2 2 3 2 2 4 2 3" xfId="25061"/>
    <cellStyle name="常规 4 3 2 2 3 2 2 4 3" xfId="9353"/>
    <cellStyle name="常规 4 3 2 2 3 2 2 4 3 2" xfId="18773"/>
    <cellStyle name="常规 4 3 2 2 3 2 2 4 3 2 2" xfId="37621"/>
    <cellStyle name="常规 4 3 2 2 3 2 2 4 3 3" xfId="28197"/>
    <cellStyle name="常规 4 3 2 2 3 2 2 4 4" xfId="12501"/>
    <cellStyle name="常规 4 3 2 2 3 2 2 4 4 2" xfId="31349"/>
    <cellStyle name="常规 4 3 2 2 3 2 2 4 5" xfId="21925"/>
    <cellStyle name="常规 4 3 2 2 3 2 2 5" xfId="3865"/>
    <cellStyle name="常规 4 3 2 2 3 2 2 5 2" xfId="13285"/>
    <cellStyle name="常规 4 3 2 2 3 2 2 5 2 2" xfId="32133"/>
    <cellStyle name="常规 4 3 2 2 3 2 2 5 3" xfId="22709"/>
    <cellStyle name="常规 4 3 2 2 3 2 2 6" xfId="7001"/>
    <cellStyle name="常规 4 3 2 2 3 2 2 6 2" xfId="16421"/>
    <cellStyle name="常规 4 3 2 2 3 2 2 6 2 2" xfId="35269"/>
    <cellStyle name="常规 4 3 2 2 3 2 2 6 3" xfId="25845"/>
    <cellStyle name="常规 4 3 2 2 3 2 2 7" xfId="10149"/>
    <cellStyle name="常规 4 3 2 2 3 2 2 7 2" xfId="28997"/>
    <cellStyle name="常规 4 3 2 2 3 2 2 8" xfId="19573"/>
    <cellStyle name="常规 4 3 2 2 3 2 3" xfId="1121"/>
    <cellStyle name="常规 4 3 2 2 3 2 3 2" xfId="4257"/>
    <cellStyle name="常规 4 3 2 2 3 2 3 2 2" xfId="13677"/>
    <cellStyle name="常规 4 3 2 2 3 2 3 2 2 2" xfId="32525"/>
    <cellStyle name="常规 4 3 2 2 3 2 3 2 3" xfId="23101"/>
    <cellStyle name="常规 4 3 2 2 3 2 3 3" xfId="7393"/>
    <cellStyle name="常规 4 3 2 2 3 2 3 3 2" xfId="16813"/>
    <cellStyle name="常规 4 3 2 2 3 2 3 3 2 2" xfId="35661"/>
    <cellStyle name="常规 4 3 2 2 3 2 3 3 3" xfId="26237"/>
    <cellStyle name="常规 4 3 2 2 3 2 3 4" xfId="10541"/>
    <cellStyle name="常规 4 3 2 2 3 2 3 4 2" xfId="29389"/>
    <cellStyle name="常规 4 3 2 2 3 2 3 5" xfId="19965"/>
    <cellStyle name="常规 4 3 2 2 3 2 4" xfId="1905"/>
    <cellStyle name="常规 4 3 2 2 3 2 4 2" xfId="5041"/>
    <cellStyle name="常规 4 3 2 2 3 2 4 2 2" xfId="14461"/>
    <cellStyle name="常规 4 3 2 2 3 2 4 2 2 2" xfId="33309"/>
    <cellStyle name="常规 4 3 2 2 3 2 4 2 3" xfId="23885"/>
    <cellStyle name="常规 4 3 2 2 3 2 4 3" xfId="8177"/>
    <cellStyle name="常规 4 3 2 2 3 2 4 3 2" xfId="17597"/>
    <cellStyle name="常规 4 3 2 2 3 2 4 3 2 2" xfId="36445"/>
    <cellStyle name="常规 4 3 2 2 3 2 4 3 3" xfId="27021"/>
    <cellStyle name="常规 4 3 2 2 3 2 4 4" xfId="11325"/>
    <cellStyle name="常规 4 3 2 2 3 2 4 4 2" xfId="30173"/>
    <cellStyle name="常规 4 3 2 2 3 2 4 5" xfId="20749"/>
    <cellStyle name="常规 4 3 2 2 3 2 5" xfId="2689"/>
    <cellStyle name="常规 4 3 2 2 3 2 5 2" xfId="5825"/>
    <cellStyle name="常规 4 3 2 2 3 2 5 2 2" xfId="15245"/>
    <cellStyle name="常规 4 3 2 2 3 2 5 2 2 2" xfId="34093"/>
    <cellStyle name="常规 4 3 2 2 3 2 5 2 3" xfId="24669"/>
    <cellStyle name="常规 4 3 2 2 3 2 5 3" xfId="8961"/>
    <cellStyle name="常规 4 3 2 2 3 2 5 3 2" xfId="18381"/>
    <cellStyle name="常规 4 3 2 2 3 2 5 3 2 2" xfId="37229"/>
    <cellStyle name="常规 4 3 2 2 3 2 5 3 3" xfId="27805"/>
    <cellStyle name="常规 4 3 2 2 3 2 5 4" xfId="12109"/>
    <cellStyle name="常规 4 3 2 2 3 2 5 4 2" xfId="30957"/>
    <cellStyle name="常规 4 3 2 2 3 2 5 5" xfId="21533"/>
    <cellStyle name="常规 4 3 2 2 3 2 6" xfId="3485"/>
    <cellStyle name="常规 4 3 2 2 3 2 6 2" xfId="12905"/>
    <cellStyle name="常规 4 3 2 2 3 2 6 2 2" xfId="31753"/>
    <cellStyle name="常规 4 3 2 2 3 2 6 3" xfId="22329"/>
    <cellStyle name="常规 4 3 2 2 3 2 7" xfId="6609"/>
    <cellStyle name="常规 4 3 2 2 3 2 7 2" xfId="16029"/>
    <cellStyle name="常规 4 3 2 2 3 2 7 2 2" xfId="34877"/>
    <cellStyle name="常规 4 3 2 2 3 2 7 3" xfId="25453"/>
    <cellStyle name="常规 4 3 2 2 3 2 8" xfId="9756"/>
    <cellStyle name="常规 4 3 2 2 3 2 8 2" xfId="28601"/>
    <cellStyle name="常规 4 3 2 2 3 2 9" xfId="19179"/>
    <cellStyle name="常规 4 3 2 2 3 3" xfId="728"/>
    <cellStyle name="常规 4 3 2 2 3 3 2" xfId="1512"/>
    <cellStyle name="常规 4 3 2 2 3 3 2 2" xfId="4648"/>
    <cellStyle name="常规 4 3 2 2 3 3 2 2 2" xfId="14068"/>
    <cellStyle name="常规 4 3 2 2 3 3 2 2 2 2" xfId="32916"/>
    <cellStyle name="常规 4 3 2 2 3 3 2 2 3" xfId="23492"/>
    <cellStyle name="常规 4 3 2 2 3 3 2 3" xfId="7784"/>
    <cellStyle name="常规 4 3 2 2 3 3 2 3 2" xfId="17204"/>
    <cellStyle name="常规 4 3 2 2 3 3 2 3 2 2" xfId="36052"/>
    <cellStyle name="常规 4 3 2 2 3 3 2 3 3" xfId="26628"/>
    <cellStyle name="常规 4 3 2 2 3 3 2 4" xfId="10932"/>
    <cellStyle name="常规 4 3 2 2 3 3 2 4 2" xfId="29780"/>
    <cellStyle name="常规 4 3 2 2 3 3 2 5" xfId="20356"/>
    <cellStyle name="常规 4 3 2 2 3 3 3" xfId="2296"/>
    <cellStyle name="常规 4 3 2 2 3 3 3 2" xfId="5432"/>
    <cellStyle name="常规 4 3 2 2 3 3 3 2 2" xfId="14852"/>
    <cellStyle name="常规 4 3 2 2 3 3 3 2 2 2" xfId="33700"/>
    <cellStyle name="常规 4 3 2 2 3 3 3 2 3" xfId="24276"/>
    <cellStyle name="常规 4 3 2 2 3 3 3 3" xfId="8568"/>
    <cellStyle name="常规 4 3 2 2 3 3 3 3 2" xfId="17988"/>
    <cellStyle name="常规 4 3 2 2 3 3 3 3 2 2" xfId="36836"/>
    <cellStyle name="常规 4 3 2 2 3 3 3 3 3" xfId="27412"/>
    <cellStyle name="常规 4 3 2 2 3 3 3 4" xfId="11716"/>
    <cellStyle name="常规 4 3 2 2 3 3 3 4 2" xfId="30564"/>
    <cellStyle name="常规 4 3 2 2 3 3 3 5" xfId="21140"/>
    <cellStyle name="常规 4 3 2 2 3 3 4" xfId="3080"/>
    <cellStyle name="常规 4 3 2 2 3 3 4 2" xfId="6216"/>
    <cellStyle name="常规 4 3 2 2 3 3 4 2 2" xfId="15636"/>
    <cellStyle name="常规 4 3 2 2 3 3 4 2 2 2" xfId="34484"/>
    <cellStyle name="常规 4 3 2 2 3 3 4 2 3" xfId="25060"/>
    <cellStyle name="常规 4 3 2 2 3 3 4 3" xfId="9352"/>
    <cellStyle name="常规 4 3 2 2 3 3 4 3 2" xfId="18772"/>
    <cellStyle name="常规 4 3 2 2 3 3 4 3 2 2" xfId="37620"/>
    <cellStyle name="常规 4 3 2 2 3 3 4 3 3" xfId="28196"/>
    <cellStyle name="常规 4 3 2 2 3 3 4 4" xfId="12500"/>
    <cellStyle name="常规 4 3 2 2 3 3 4 4 2" xfId="31348"/>
    <cellStyle name="常规 4 3 2 2 3 3 4 5" xfId="21924"/>
    <cellStyle name="常规 4 3 2 2 3 3 5" xfId="3864"/>
    <cellStyle name="常规 4 3 2 2 3 3 5 2" xfId="13284"/>
    <cellStyle name="常规 4 3 2 2 3 3 5 2 2" xfId="32132"/>
    <cellStyle name="常规 4 3 2 2 3 3 5 3" xfId="22708"/>
    <cellStyle name="常规 4 3 2 2 3 3 6" xfId="7000"/>
    <cellStyle name="常规 4 3 2 2 3 3 6 2" xfId="16420"/>
    <cellStyle name="常规 4 3 2 2 3 3 6 2 2" xfId="35268"/>
    <cellStyle name="常规 4 3 2 2 3 3 6 3" xfId="25844"/>
    <cellStyle name="常规 4 3 2 2 3 3 7" xfId="10148"/>
    <cellStyle name="常规 4 3 2 2 3 3 7 2" xfId="28996"/>
    <cellStyle name="常规 4 3 2 2 3 3 8" xfId="19572"/>
    <cellStyle name="常规 4 3 2 2 3 4" xfId="1120"/>
    <cellStyle name="常规 4 3 2 2 3 4 2" xfId="4256"/>
    <cellStyle name="常规 4 3 2 2 3 4 2 2" xfId="13676"/>
    <cellStyle name="常规 4 3 2 2 3 4 2 2 2" xfId="32524"/>
    <cellStyle name="常规 4 3 2 2 3 4 2 3" xfId="23100"/>
    <cellStyle name="常规 4 3 2 2 3 4 3" xfId="7392"/>
    <cellStyle name="常规 4 3 2 2 3 4 3 2" xfId="16812"/>
    <cellStyle name="常规 4 3 2 2 3 4 3 2 2" xfId="35660"/>
    <cellStyle name="常规 4 3 2 2 3 4 3 3" xfId="26236"/>
    <cellStyle name="常规 4 3 2 2 3 4 4" xfId="10540"/>
    <cellStyle name="常规 4 3 2 2 3 4 4 2" xfId="29388"/>
    <cellStyle name="常规 4 3 2 2 3 4 5" xfId="19964"/>
    <cellStyle name="常规 4 3 2 2 3 5" xfId="1904"/>
    <cellStyle name="常规 4 3 2 2 3 5 2" xfId="5040"/>
    <cellStyle name="常规 4 3 2 2 3 5 2 2" xfId="14460"/>
    <cellStyle name="常规 4 3 2 2 3 5 2 2 2" xfId="33308"/>
    <cellStyle name="常规 4 3 2 2 3 5 2 3" xfId="23884"/>
    <cellStyle name="常规 4 3 2 2 3 5 3" xfId="8176"/>
    <cellStyle name="常规 4 3 2 2 3 5 3 2" xfId="17596"/>
    <cellStyle name="常规 4 3 2 2 3 5 3 2 2" xfId="36444"/>
    <cellStyle name="常规 4 3 2 2 3 5 3 3" xfId="27020"/>
    <cellStyle name="常规 4 3 2 2 3 5 4" xfId="11324"/>
    <cellStyle name="常规 4 3 2 2 3 5 4 2" xfId="30172"/>
    <cellStyle name="常规 4 3 2 2 3 5 5" xfId="20748"/>
    <cellStyle name="常规 4 3 2 2 3 6" xfId="2688"/>
    <cellStyle name="常规 4 3 2 2 3 6 2" xfId="5824"/>
    <cellStyle name="常规 4 3 2 2 3 6 2 2" xfId="15244"/>
    <cellStyle name="常规 4 3 2 2 3 6 2 2 2" xfId="34092"/>
    <cellStyle name="常规 4 3 2 2 3 6 2 3" xfId="24668"/>
    <cellStyle name="常规 4 3 2 2 3 6 3" xfId="8960"/>
    <cellStyle name="常规 4 3 2 2 3 6 3 2" xfId="18380"/>
    <cellStyle name="常规 4 3 2 2 3 6 3 2 2" xfId="37228"/>
    <cellStyle name="常规 4 3 2 2 3 6 3 3" xfId="27804"/>
    <cellStyle name="常规 4 3 2 2 3 6 4" xfId="12108"/>
    <cellStyle name="常规 4 3 2 2 3 6 4 2" xfId="30956"/>
    <cellStyle name="常规 4 3 2 2 3 6 5" xfId="21532"/>
    <cellStyle name="常规 4 3 2 2 3 7" xfId="3484"/>
    <cellStyle name="常规 4 3 2 2 3 7 2" xfId="12904"/>
    <cellStyle name="常规 4 3 2 2 3 7 2 2" xfId="31752"/>
    <cellStyle name="常规 4 3 2 2 3 7 3" xfId="22328"/>
    <cellStyle name="常规 4 3 2 2 3 8" xfId="6608"/>
    <cellStyle name="常规 4 3 2 2 3 8 2" xfId="16028"/>
    <cellStyle name="常规 4 3 2 2 3 8 2 2" xfId="34876"/>
    <cellStyle name="常规 4 3 2 2 3 8 3" xfId="25452"/>
    <cellStyle name="常规 4 3 2 2 3 9" xfId="9755"/>
    <cellStyle name="常规 4 3 2 2 3 9 2" xfId="28600"/>
    <cellStyle name="常规 4 3 2 2 4" xfId="334"/>
    <cellStyle name="常规 4 3 2 2 4 2" xfId="730"/>
    <cellStyle name="常规 4 3 2 2 4 2 2" xfId="1514"/>
    <cellStyle name="常规 4 3 2 2 4 2 2 2" xfId="4650"/>
    <cellStyle name="常规 4 3 2 2 4 2 2 2 2" xfId="14070"/>
    <cellStyle name="常规 4 3 2 2 4 2 2 2 2 2" xfId="32918"/>
    <cellStyle name="常规 4 3 2 2 4 2 2 2 3" xfId="23494"/>
    <cellStyle name="常规 4 3 2 2 4 2 2 3" xfId="7786"/>
    <cellStyle name="常规 4 3 2 2 4 2 2 3 2" xfId="17206"/>
    <cellStyle name="常规 4 3 2 2 4 2 2 3 2 2" xfId="36054"/>
    <cellStyle name="常规 4 3 2 2 4 2 2 3 3" xfId="26630"/>
    <cellStyle name="常规 4 3 2 2 4 2 2 4" xfId="10934"/>
    <cellStyle name="常规 4 3 2 2 4 2 2 4 2" xfId="29782"/>
    <cellStyle name="常规 4 3 2 2 4 2 2 5" xfId="20358"/>
    <cellStyle name="常规 4 3 2 2 4 2 3" xfId="2298"/>
    <cellStyle name="常规 4 3 2 2 4 2 3 2" xfId="5434"/>
    <cellStyle name="常规 4 3 2 2 4 2 3 2 2" xfId="14854"/>
    <cellStyle name="常规 4 3 2 2 4 2 3 2 2 2" xfId="33702"/>
    <cellStyle name="常规 4 3 2 2 4 2 3 2 3" xfId="24278"/>
    <cellStyle name="常规 4 3 2 2 4 2 3 3" xfId="8570"/>
    <cellStyle name="常规 4 3 2 2 4 2 3 3 2" xfId="17990"/>
    <cellStyle name="常规 4 3 2 2 4 2 3 3 2 2" xfId="36838"/>
    <cellStyle name="常规 4 3 2 2 4 2 3 3 3" xfId="27414"/>
    <cellStyle name="常规 4 3 2 2 4 2 3 4" xfId="11718"/>
    <cellStyle name="常规 4 3 2 2 4 2 3 4 2" xfId="30566"/>
    <cellStyle name="常规 4 3 2 2 4 2 3 5" xfId="21142"/>
    <cellStyle name="常规 4 3 2 2 4 2 4" xfId="3082"/>
    <cellStyle name="常规 4 3 2 2 4 2 4 2" xfId="6218"/>
    <cellStyle name="常规 4 3 2 2 4 2 4 2 2" xfId="15638"/>
    <cellStyle name="常规 4 3 2 2 4 2 4 2 2 2" xfId="34486"/>
    <cellStyle name="常规 4 3 2 2 4 2 4 2 3" xfId="25062"/>
    <cellStyle name="常规 4 3 2 2 4 2 4 3" xfId="9354"/>
    <cellStyle name="常规 4 3 2 2 4 2 4 3 2" xfId="18774"/>
    <cellStyle name="常规 4 3 2 2 4 2 4 3 2 2" xfId="37622"/>
    <cellStyle name="常规 4 3 2 2 4 2 4 3 3" xfId="28198"/>
    <cellStyle name="常规 4 3 2 2 4 2 4 4" xfId="12502"/>
    <cellStyle name="常规 4 3 2 2 4 2 4 4 2" xfId="31350"/>
    <cellStyle name="常规 4 3 2 2 4 2 4 5" xfId="21926"/>
    <cellStyle name="常规 4 3 2 2 4 2 5" xfId="3866"/>
    <cellStyle name="常规 4 3 2 2 4 2 5 2" xfId="13286"/>
    <cellStyle name="常规 4 3 2 2 4 2 5 2 2" xfId="32134"/>
    <cellStyle name="常规 4 3 2 2 4 2 5 3" xfId="22710"/>
    <cellStyle name="常规 4 3 2 2 4 2 6" xfId="7002"/>
    <cellStyle name="常规 4 3 2 2 4 2 6 2" xfId="16422"/>
    <cellStyle name="常规 4 3 2 2 4 2 6 2 2" xfId="35270"/>
    <cellStyle name="常规 4 3 2 2 4 2 6 3" xfId="25846"/>
    <cellStyle name="常规 4 3 2 2 4 2 7" xfId="10150"/>
    <cellStyle name="常规 4 3 2 2 4 2 7 2" xfId="28998"/>
    <cellStyle name="常规 4 3 2 2 4 2 8" xfId="19574"/>
    <cellStyle name="常规 4 3 2 2 4 3" xfId="1122"/>
    <cellStyle name="常规 4 3 2 2 4 3 2" xfId="4258"/>
    <cellStyle name="常规 4 3 2 2 4 3 2 2" xfId="13678"/>
    <cellStyle name="常规 4 3 2 2 4 3 2 2 2" xfId="32526"/>
    <cellStyle name="常规 4 3 2 2 4 3 2 3" xfId="23102"/>
    <cellStyle name="常规 4 3 2 2 4 3 3" xfId="7394"/>
    <cellStyle name="常规 4 3 2 2 4 3 3 2" xfId="16814"/>
    <cellStyle name="常规 4 3 2 2 4 3 3 2 2" xfId="35662"/>
    <cellStyle name="常规 4 3 2 2 4 3 3 3" xfId="26238"/>
    <cellStyle name="常规 4 3 2 2 4 3 4" xfId="10542"/>
    <cellStyle name="常规 4 3 2 2 4 3 4 2" xfId="29390"/>
    <cellStyle name="常规 4 3 2 2 4 3 5" xfId="19966"/>
    <cellStyle name="常规 4 3 2 2 4 4" xfId="1906"/>
    <cellStyle name="常规 4 3 2 2 4 4 2" xfId="5042"/>
    <cellStyle name="常规 4 3 2 2 4 4 2 2" xfId="14462"/>
    <cellStyle name="常规 4 3 2 2 4 4 2 2 2" xfId="33310"/>
    <cellStyle name="常规 4 3 2 2 4 4 2 3" xfId="23886"/>
    <cellStyle name="常规 4 3 2 2 4 4 3" xfId="8178"/>
    <cellStyle name="常规 4 3 2 2 4 4 3 2" xfId="17598"/>
    <cellStyle name="常规 4 3 2 2 4 4 3 2 2" xfId="36446"/>
    <cellStyle name="常规 4 3 2 2 4 4 3 3" xfId="27022"/>
    <cellStyle name="常规 4 3 2 2 4 4 4" xfId="11326"/>
    <cellStyle name="常规 4 3 2 2 4 4 4 2" xfId="30174"/>
    <cellStyle name="常规 4 3 2 2 4 4 5" xfId="20750"/>
    <cellStyle name="常规 4 3 2 2 4 5" xfId="2690"/>
    <cellStyle name="常规 4 3 2 2 4 5 2" xfId="5826"/>
    <cellStyle name="常规 4 3 2 2 4 5 2 2" xfId="15246"/>
    <cellStyle name="常规 4 3 2 2 4 5 2 2 2" xfId="34094"/>
    <cellStyle name="常规 4 3 2 2 4 5 2 3" xfId="24670"/>
    <cellStyle name="常规 4 3 2 2 4 5 3" xfId="8962"/>
    <cellStyle name="常规 4 3 2 2 4 5 3 2" xfId="18382"/>
    <cellStyle name="常规 4 3 2 2 4 5 3 2 2" xfId="37230"/>
    <cellStyle name="常规 4 3 2 2 4 5 3 3" xfId="27806"/>
    <cellStyle name="常规 4 3 2 2 4 5 4" xfId="12110"/>
    <cellStyle name="常规 4 3 2 2 4 5 4 2" xfId="30958"/>
    <cellStyle name="常规 4 3 2 2 4 5 5" xfId="21534"/>
    <cellStyle name="常规 4 3 2 2 4 6" xfId="3486"/>
    <cellStyle name="常规 4 3 2 2 4 6 2" xfId="12906"/>
    <cellStyle name="常规 4 3 2 2 4 6 2 2" xfId="31754"/>
    <cellStyle name="常规 4 3 2 2 4 6 3" xfId="22330"/>
    <cellStyle name="常规 4 3 2 2 4 7" xfId="6610"/>
    <cellStyle name="常规 4 3 2 2 4 7 2" xfId="16030"/>
    <cellStyle name="常规 4 3 2 2 4 7 2 2" xfId="34878"/>
    <cellStyle name="常规 4 3 2 2 4 7 3" xfId="25454"/>
    <cellStyle name="常规 4 3 2 2 4 8" xfId="9757"/>
    <cellStyle name="常规 4 3 2 2 4 8 2" xfId="28602"/>
    <cellStyle name="常规 4 3 2 2 4 9" xfId="19180"/>
    <cellStyle name="常规 4 3 2 2 5" xfId="723"/>
    <cellStyle name="常规 4 3 2 2 5 2" xfId="1507"/>
    <cellStyle name="常规 4 3 2 2 5 2 2" xfId="4643"/>
    <cellStyle name="常规 4 3 2 2 5 2 2 2" xfId="14063"/>
    <cellStyle name="常规 4 3 2 2 5 2 2 2 2" xfId="32911"/>
    <cellStyle name="常规 4 3 2 2 5 2 2 3" xfId="23487"/>
    <cellStyle name="常规 4 3 2 2 5 2 3" xfId="7779"/>
    <cellStyle name="常规 4 3 2 2 5 2 3 2" xfId="17199"/>
    <cellStyle name="常规 4 3 2 2 5 2 3 2 2" xfId="36047"/>
    <cellStyle name="常规 4 3 2 2 5 2 3 3" xfId="26623"/>
    <cellStyle name="常规 4 3 2 2 5 2 4" xfId="10927"/>
    <cellStyle name="常规 4 3 2 2 5 2 4 2" xfId="29775"/>
    <cellStyle name="常规 4 3 2 2 5 2 5" xfId="20351"/>
    <cellStyle name="常规 4 3 2 2 5 3" xfId="2291"/>
    <cellStyle name="常规 4 3 2 2 5 3 2" xfId="5427"/>
    <cellStyle name="常规 4 3 2 2 5 3 2 2" xfId="14847"/>
    <cellStyle name="常规 4 3 2 2 5 3 2 2 2" xfId="33695"/>
    <cellStyle name="常规 4 3 2 2 5 3 2 3" xfId="24271"/>
    <cellStyle name="常规 4 3 2 2 5 3 3" xfId="8563"/>
    <cellStyle name="常规 4 3 2 2 5 3 3 2" xfId="17983"/>
    <cellStyle name="常规 4 3 2 2 5 3 3 2 2" xfId="36831"/>
    <cellStyle name="常规 4 3 2 2 5 3 3 3" xfId="27407"/>
    <cellStyle name="常规 4 3 2 2 5 3 4" xfId="11711"/>
    <cellStyle name="常规 4 3 2 2 5 3 4 2" xfId="30559"/>
    <cellStyle name="常规 4 3 2 2 5 3 5" xfId="21135"/>
    <cellStyle name="常规 4 3 2 2 5 4" xfId="3075"/>
    <cellStyle name="常规 4 3 2 2 5 4 2" xfId="6211"/>
    <cellStyle name="常规 4 3 2 2 5 4 2 2" xfId="15631"/>
    <cellStyle name="常规 4 3 2 2 5 4 2 2 2" xfId="34479"/>
    <cellStyle name="常规 4 3 2 2 5 4 2 3" xfId="25055"/>
    <cellStyle name="常规 4 3 2 2 5 4 3" xfId="9347"/>
    <cellStyle name="常规 4 3 2 2 5 4 3 2" xfId="18767"/>
    <cellStyle name="常规 4 3 2 2 5 4 3 2 2" xfId="37615"/>
    <cellStyle name="常规 4 3 2 2 5 4 3 3" xfId="28191"/>
    <cellStyle name="常规 4 3 2 2 5 4 4" xfId="12495"/>
    <cellStyle name="常规 4 3 2 2 5 4 4 2" xfId="31343"/>
    <cellStyle name="常规 4 3 2 2 5 4 5" xfId="21919"/>
    <cellStyle name="常规 4 3 2 2 5 5" xfId="3859"/>
    <cellStyle name="常规 4 3 2 2 5 5 2" xfId="13279"/>
    <cellStyle name="常规 4 3 2 2 5 5 2 2" xfId="32127"/>
    <cellStyle name="常规 4 3 2 2 5 5 3" xfId="22703"/>
    <cellStyle name="常规 4 3 2 2 5 6" xfId="6995"/>
    <cellStyle name="常规 4 3 2 2 5 6 2" xfId="16415"/>
    <cellStyle name="常规 4 3 2 2 5 6 2 2" xfId="35263"/>
    <cellStyle name="常规 4 3 2 2 5 6 3" xfId="25839"/>
    <cellStyle name="常规 4 3 2 2 5 7" xfId="10143"/>
    <cellStyle name="常规 4 3 2 2 5 7 2" xfId="28991"/>
    <cellStyle name="常规 4 3 2 2 5 8" xfId="19567"/>
    <cellStyle name="常规 4 3 2 2 6" xfId="1115"/>
    <cellStyle name="常规 4 3 2 2 6 2" xfId="4251"/>
    <cellStyle name="常规 4 3 2 2 6 2 2" xfId="13671"/>
    <cellStyle name="常规 4 3 2 2 6 2 2 2" xfId="32519"/>
    <cellStyle name="常规 4 3 2 2 6 2 3" xfId="23095"/>
    <cellStyle name="常规 4 3 2 2 6 3" xfId="7387"/>
    <cellStyle name="常规 4 3 2 2 6 3 2" xfId="16807"/>
    <cellStyle name="常规 4 3 2 2 6 3 2 2" xfId="35655"/>
    <cellStyle name="常规 4 3 2 2 6 3 3" xfId="26231"/>
    <cellStyle name="常规 4 3 2 2 6 4" xfId="10535"/>
    <cellStyle name="常规 4 3 2 2 6 4 2" xfId="29383"/>
    <cellStyle name="常规 4 3 2 2 6 5" xfId="19959"/>
    <cellStyle name="常规 4 3 2 2 7" xfId="1899"/>
    <cellStyle name="常规 4 3 2 2 7 2" xfId="5035"/>
    <cellStyle name="常规 4 3 2 2 7 2 2" xfId="14455"/>
    <cellStyle name="常规 4 3 2 2 7 2 2 2" xfId="33303"/>
    <cellStyle name="常规 4 3 2 2 7 2 3" xfId="23879"/>
    <cellStyle name="常规 4 3 2 2 7 3" xfId="8171"/>
    <cellStyle name="常规 4 3 2 2 7 3 2" xfId="17591"/>
    <cellStyle name="常规 4 3 2 2 7 3 2 2" xfId="36439"/>
    <cellStyle name="常规 4 3 2 2 7 3 3" xfId="27015"/>
    <cellStyle name="常规 4 3 2 2 7 4" xfId="11319"/>
    <cellStyle name="常规 4 3 2 2 7 4 2" xfId="30167"/>
    <cellStyle name="常规 4 3 2 2 7 5" xfId="20743"/>
    <cellStyle name="常规 4 3 2 2 8" xfId="2683"/>
    <cellStyle name="常规 4 3 2 2 8 2" xfId="5819"/>
    <cellStyle name="常规 4 3 2 2 8 2 2" xfId="15239"/>
    <cellStyle name="常规 4 3 2 2 8 2 2 2" xfId="34087"/>
    <cellStyle name="常规 4 3 2 2 8 2 3" xfId="24663"/>
    <cellStyle name="常规 4 3 2 2 8 3" xfId="8955"/>
    <cellStyle name="常规 4 3 2 2 8 3 2" xfId="18375"/>
    <cellStyle name="常规 4 3 2 2 8 3 2 2" xfId="37223"/>
    <cellStyle name="常规 4 3 2 2 8 3 3" xfId="27799"/>
    <cellStyle name="常规 4 3 2 2 8 4" xfId="12103"/>
    <cellStyle name="常规 4 3 2 2 8 4 2" xfId="30951"/>
    <cellStyle name="常规 4 3 2 2 8 5" xfId="21527"/>
    <cellStyle name="常规 4 3 2 2 9" xfId="3185"/>
    <cellStyle name="常规 4 3 2 2 9 2" xfId="12605"/>
    <cellStyle name="常规 4 3 2 2 9 2 2" xfId="31453"/>
    <cellStyle name="常规 4 3 2 2 9 3" xfId="22029"/>
    <cellStyle name="常规 4 3 2 3" xfId="335"/>
    <cellStyle name="常规 4 3 2 3 10" xfId="9758"/>
    <cellStyle name="常规 4 3 2 3 10 2" xfId="28603"/>
    <cellStyle name="常规 4 3 2 3 11" xfId="19181"/>
    <cellStyle name="常规 4 3 2 3 2" xfId="336"/>
    <cellStyle name="常规 4 3 2 3 2 10" xfId="19182"/>
    <cellStyle name="常规 4 3 2 3 2 2" xfId="337"/>
    <cellStyle name="常规 4 3 2 3 2 2 2" xfId="733"/>
    <cellStyle name="常规 4 3 2 3 2 2 2 2" xfId="1517"/>
    <cellStyle name="常规 4 3 2 3 2 2 2 2 2" xfId="4653"/>
    <cellStyle name="常规 4 3 2 3 2 2 2 2 2 2" xfId="14073"/>
    <cellStyle name="常规 4 3 2 3 2 2 2 2 2 2 2" xfId="32921"/>
    <cellStyle name="常规 4 3 2 3 2 2 2 2 2 3" xfId="23497"/>
    <cellStyle name="常规 4 3 2 3 2 2 2 2 3" xfId="7789"/>
    <cellStyle name="常规 4 3 2 3 2 2 2 2 3 2" xfId="17209"/>
    <cellStyle name="常规 4 3 2 3 2 2 2 2 3 2 2" xfId="36057"/>
    <cellStyle name="常规 4 3 2 3 2 2 2 2 3 3" xfId="26633"/>
    <cellStyle name="常规 4 3 2 3 2 2 2 2 4" xfId="10937"/>
    <cellStyle name="常规 4 3 2 3 2 2 2 2 4 2" xfId="29785"/>
    <cellStyle name="常规 4 3 2 3 2 2 2 2 5" xfId="20361"/>
    <cellStyle name="常规 4 3 2 3 2 2 2 3" xfId="2301"/>
    <cellStyle name="常规 4 3 2 3 2 2 2 3 2" xfId="5437"/>
    <cellStyle name="常规 4 3 2 3 2 2 2 3 2 2" xfId="14857"/>
    <cellStyle name="常规 4 3 2 3 2 2 2 3 2 2 2" xfId="33705"/>
    <cellStyle name="常规 4 3 2 3 2 2 2 3 2 3" xfId="24281"/>
    <cellStyle name="常规 4 3 2 3 2 2 2 3 3" xfId="8573"/>
    <cellStyle name="常规 4 3 2 3 2 2 2 3 3 2" xfId="17993"/>
    <cellStyle name="常规 4 3 2 3 2 2 2 3 3 2 2" xfId="36841"/>
    <cellStyle name="常规 4 3 2 3 2 2 2 3 3 3" xfId="27417"/>
    <cellStyle name="常规 4 3 2 3 2 2 2 3 4" xfId="11721"/>
    <cellStyle name="常规 4 3 2 3 2 2 2 3 4 2" xfId="30569"/>
    <cellStyle name="常规 4 3 2 3 2 2 2 3 5" xfId="21145"/>
    <cellStyle name="常规 4 3 2 3 2 2 2 4" xfId="3085"/>
    <cellStyle name="常规 4 3 2 3 2 2 2 4 2" xfId="6221"/>
    <cellStyle name="常规 4 3 2 3 2 2 2 4 2 2" xfId="15641"/>
    <cellStyle name="常规 4 3 2 3 2 2 2 4 2 2 2" xfId="34489"/>
    <cellStyle name="常规 4 3 2 3 2 2 2 4 2 3" xfId="25065"/>
    <cellStyle name="常规 4 3 2 3 2 2 2 4 3" xfId="9357"/>
    <cellStyle name="常规 4 3 2 3 2 2 2 4 3 2" xfId="18777"/>
    <cellStyle name="常规 4 3 2 3 2 2 2 4 3 2 2" xfId="37625"/>
    <cellStyle name="常规 4 3 2 3 2 2 2 4 3 3" xfId="28201"/>
    <cellStyle name="常规 4 3 2 3 2 2 2 4 4" xfId="12505"/>
    <cellStyle name="常规 4 3 2 3 2 2 2 4 4 2" xfId="31353"/>
    <cellStyle name="常规 4 3 2 3 2 2 2 4 5" xfId="21929"/>
    <cellStyle name="常规 4 3 2 3 2 2 2 5" xfId="3869"/>
    <cellStyle name="常规 4 3 2 3 2 2 2 5 2" xfId="13289"/>
    <cellStyle name="常规 4 3 2 3 2 2 2 5 2 2" xfId="32137"/>
    <cellStyle name="常规 4 3 2 3 2 2 2 5 3" xfId="22713"/>
    <cellStyle name="常规 4 3 2 3 2 2 2 6" xfId="7005"/>
    <cellStyle name="常规 4 3 2 3 2 2 2 6 2" xfId="16425"/>
    <cellStyle name="常规 4 3 2 3 2 2 2 6 2 2" xfId="35273"/>
    <cellStyle name="常规 4 3 2 3 2 2 2 6 3" xfId="25849"/>
    <cellStyle name="常规 4 3 2 3 2 2 2 7" xfId="10153"/>
    <cellStyle name="常规 4 3 2 3 2 2 2 7 2" xfId="29001"/>
    <cellStyle name="常规 4 3 2 3 2 2 2 8" xfId="19577"/>
    <cellStyle name="常规 4 3 2 3 2 2 3" xfId="1125"/>
    <cellStyle name="常规 4 3 2 3 2 2 3 2" xfId="4261"/>
    <cellStyle name="常规 4 3 2 3 2 2 3 2 2" xfId="13681"/>
    <cellStyle name="常规 4 3 2 3 2 2 3 2 2 2" xfId="32529"/>
    <cellStyle name="常规 4 3 2 3 2 2 3 2 3" xfId="23105"/>
    <cellStyle name="常规 4 3 2 3 2 2 3 3" xfId="7397"/>
    <cellStyle name="常规 4 3 2 3 2 2 3 3 2" xfId="16817"/>
    <cellStyle name="常规 4 3 2 3 2 2 3 3 2 2" xfId="35665"/>
    <cellStyle name="常规 4 3 2 3 2 2 3 3 3" xfId="26241"/>
    <cellStyle name="常规 4 3 2 3 2 2 3 4" xfId="10545"/>
    <cellStyle name="常规 4 3 2 3 2 2 3 4 2" xfId="29393"/>
    <cellStyle name="常规 4 3 2 3 2 2 3 5" xfId="19969"/>
    <cellStyle name="常规 4 3 2 3 2 2 4" xfId="1909"/>
    <cellStyle name="常规 4 3 2 3 2 2 4 2" xfId="5045"/>
    <cellStyle name="常规 4 3 2 3 2 2 4 2 2" xfId="14465"/>
    <cellStyle name="常规 4 3 2 3 2 2 4 2 2 2" xfId="33313"/>
    <cellStyle name="常规 4 3 2 3 2 2 4 2 3" xfId="23889"/>
    <cellStyle name="常规 4 3 2 3 2 2 4 3" xfId="8181"/>
    <cellStyle name="常规 4 3 2 3 2 2 4 3 2" xfId="17601"/>
    <cellStyle name="常规 4 3 2 3 2 2 4 3 2 2" xfId="36449"/>
    <cellStyle name="常规 4 3 2 3 2 2 4 3 3" xfId="27025"/>
    <cellStyle name="常规 4 3 2 3 2 2 4 4" xfId="11329"/>
    <cellStyle name="常规 4 3 2 3 2 2 4 4 2" xfId="30177"/>
    <cellStyle name="常规 4 3 2 3 2 2 4 5" xfId="20753"/>
    <cellStyle name="常规 4 3 2 3 2 2 5" xfId="2693"/>
    <cellStyle name="常规 4 3 2 3 2 2 5 2" xfId="5829"/>
    <cellStyle name="常规 4 3 2 3 2 2 5 2 2" xfId="15249"/>
    <cellStyle name="常规 4 3 2 3 2 2 5 2 2 2" xfId="34097"/>
    <cellStyle name="常规 4 3 2 3 2 2 5 2 3" xfId="24673"/>
    <cellStyle name="常规 4 3 2 3 2 2 5 3" xfId="8965"/>
    <cellStyle name="常规 4 3 2 3 2 2 5 3 2" xfId="18385"/>
    <cellStyle name="常规 4 3 2 3 2 2 5 3 2 2" xfId="37233"/>
    <cellStyle name="常规 4 3 2 3 2 2 5 3 3" xfId="27809"/>
    <cellStyle name="常规 4 3 2 3 2 2 5 4" xfId="12113"/>
    <cellStyle name="常规 4 3 2 3 2 2 5 4 2" xfId="30961"/>
    <cellStyle name="常规 4 3 2 3 2 2 5 5" xfId="21537"/>
    <cellStyle name="常规 4 3 2 3 2 2 6" xfId="3488"/>
    <cellStyle name="常规 4 3 2 3 2 2 6 2" xfId="12908"/>
    <cellStyle name="常规 4 3 2 3 2 2 6 2 2" xfId="31756"/>
    <cellStyle name="常规 4 3 2 3 2 2 6 3" xfId="22332"/>
    <cellStyle name="常规 4 3 2 3 2 2 7" xfId="6613"/>
    <cellStyle name="常规 4 3 2 3 2 2 7 2" xfId="16033"/>
    <cellStyle name="常规 4 3 2 3 2 2 7 2 2" xfId="34881"/>
    <cellStyle name="常规 4 3 2 3 2 2 7 3" xfId="25457"/>
    <cellStyle name="常规 4 3 2 3 2 2 8" xfId="9760"/>
    <cellStyle name="常规 4 3 2 3 2 2 8 2" xfId="28605"/>
    <cellStyle name="常规 4 3 2 3 2 2 9" xfId="19183"/>
    <cellStyle name="常规 4 3 2 3 2 3" xfId="732"/>
    <cellStyle name="常规 4 3 2 3 2 3 2" xfId="1516"/>
    <cellStyle name="常规 4 3 2 3 2 3 2 2" xfId="4652"/>
    <cellStyle name="常规 4 3 2 3 2 3 2 2 2" xfId="14072"/>
    <cellStyle name="常规 4 3 2 3 2 3 2 2 2 2" xfId="32920"/>
    <cellStyle name="常规 4 3 2 3 2 3 2 2 3" xfId="23496"/>
    <cellStyle name="常规 4 3 2 3 2 3 2 3" xfId="7788"/>
    <cellStyle name="常规 4 3 2 3 2 3 2 3 2" xfId="17208"/>
    <cellStyle name="常规 4 3 2 3 2 3 2 3 2 2" xfId="36056"/>
    <cellStyle name="常规 4 3 2 3 2 3 2 3 3" xfId="26632"/>
    <cellStyle name="常规 4 3 2 3 2 3 2 4" xfId="10936"/>
    <cellStyle name="常规 4 3 2 3 2 3 2 4 2" xfId="29784"/>
    <cellStyle name="常规 4 3 2 3 2 3 2 5" xfId="20360"/>
    <cellStyle name="常规 4 3 2 3 2 3 3" xfId="2300"/>
    <cellStyle name="常规 4 3 2 3 2 3 3 2" xfId="5436"/>
    <cellStyle name="常规 4 3 2 3 2 3 3 2 2" xfId="14856"/>
    <cellStyle name="常规 4 3 2 3 2 3 3 2 2 2" xfId="33704"/>
    <cellStyle name="常规 4 3 2 3 2 3 3 2 3" xfId="24280"/>
    <cellStyle name="常规 4 3 2 3 2 3 3 3" xfId="8572"/>
    <cellStyle name="常规 4 3 2 3 2 3 3 3 2" xfId="17992"/>
    <cellStyle name="常规 4 3 2 3 2 3 3 3 2 2" xfId="36840"/>
    <cellStyle name="常规 4 3 2 3 2 3 3 3 3" xfId="27416"/>
    <cellStyle name="常规 4 3 2 3 2 3 3 4" xfId="11720"/>
    <cellStyle name="常规 4 3 2 3 2 3 3 4 2" xfId="30568"/>
    <cellStyle name="常规 4 3 2 3 2 3 3 5" xfId="21144"/>
    <cellStyle name="常规 4 3 2 3 2 3 4" xfId="3084"/>
    <cellStyle name="常规 4 3 2 3 2 3 4 2" xfId="6220"/>
    <cellStyle name="常规 4 3 2 3 2 3 4 2 2" xfId="15640"/>
    <cellStyle name="常规 4 3 2 3 2 3 4 2 2 2" xfId="34488"/>
    <cellStyle name="常规 4 3 2 3 2 3 4 2 3" xfId="25064"/>
    <cellStyle name="常规 4 3 2 3 2 3 4 3" xfId="9356"/>
    <cellStyle name="常规 4 3 2 3 2 3 4 3 2" xfId="18776"/>
    <cellStyle name="常规 4 3 2 3 2 3 4 3 2 2" xfId="37624"/>
    <cellStyle name="常规 4 3 2 3 2 3 4 3 3" xfId="28200"/>
    <cellStyle name="常规 4 3 2 3 2 3 4 4" xfId="12504"/>
    <cellStyle name="常规 4 3 2 3 2 3 4 4 2" xfId="31352"/>
    <cellStyle name="常规 4 3 2 3 2 3 4 5" xfId="21928"/>
    <cellStyle name="常规 4 3 2 3 2 3 5" xfId="3868"/>
    <cellStyle name="常规 4 3 2 3 2 3 5 2" xfId="13288"/>
    <cellStyle name="常规 4 3 2 3 2 3 5 2 2" xfId="32136"/>
    <cellStyle name="常规 4 3 2 3 2 3 5 3" xfId="22712"/>
    <cellStyle name="常规 4 3 2 3 2 3 6" xfId="7004"/>
    <cellStyle name="常规 4 3 2 3 2 3 6 2" xfId="16424"/>
    <cellStyle name="常规 4 3 2 3 2 3 6 2 2" xfId="35272"/>
    <cellStyle name="常规 4 3 2 3 2 3 6 3" xfId="25848"/>
    <cellStyle name="常规 4 3 2 3 2 3 7" xfId="10152"/>
    <cellStyle name="常规 4 3 2 3 2 3 7 2" xfId="29000"/>
    <cellStyle name="常规 4 3 2 3 2 3 8" xfId="19576"/>
    <cellStyle name="常规 4 3 2 3 2 4" xfId="1124"/>
    <cellStyle name="常规 4 3 2 3 2 4 2" xfId="4260"/>
    <cellStyle name="常规 4 3 2 3 2 4 2 2" xfId="13680"/>
    <cellStyle name="常规 4 3 2 3 2 4 2 2 2" xfId="32528"/>
    <cellStyle name="常规 4 3 2 3 2 4 2 3" xfId="23104"/>
    <cellStyle name="常规 4 3 2 3 2 4 3" xfId="7396"/>
    <cellStyle name="常规 4 3 2 3 2 4 3 2" xfId="16816"/>
    <cellStyle name="常规 4 3 2 3 2 4 3 2 2" xfId="35664"/>
    <cellStyle name="常规 4 3 2 3 2 4 3 3" xfId="26240"/>
    <cellStyle name="常规 4 3 2 3 2 4 4" xfId="10544"/>
    <cellStyle name="常规 4 3 2 3 2 4 4 2" xfId="29392"/>
    <cellStyle name="常规 4 3 2 3 2 4 5" xfId="19968"/>
    <cellStyle name="常规 4 3 2 3 2 5" xfId="1908"/>
    <cellStyle name="常规 4 3 2 3 2 5 2" xfId="5044"/>
    <cellStyle name="常规 4 3 2 3 2 5 2 2" xfId="14464"/>
    <cellStyle name="常规 4 3 2 3 2 5 2 2 2" xfId="33312"/>
    <cellStyle name="常规 4 3 2 3 2 5 2 3" xfId="23888"/>
    <cellStyle name="常规 4 3 2 3 2 5 3" xfId="8180"/>
    <cellStyle name="常规 4 3 2 3 2 5 3 2" xfId="17600"/>
    <cellStyle name="常规 4 3 2 3 2 5 3 2 2" xfId="36448"/>
    <cellStyle name="常规 4 3 2 3 2 5 3 3" xfId="27024"/>
    <cellStyle name="常规 4 3 2 3 2 5 4" xfId="11328"/>
    <cellStyle name="常规 4 3 2 3 2 5 4 2" xfId="30176"/>
    <cellStyle name="常规 4 3 2 3 2 5 5" xfId="20752"/>
    <cellStyle name="常规 4 3 2 3 2 6" xfId="2692"/>
    <cellStyle name="常规 4 3 2 3 2 6 2" xfId="5828"/>
    <cellStyle name="常规 4 3 2 3 2 6 2 2" xfId="15248"/>
    <cellStyle name="常规 4 3 2 3 2 6 2 2 2" xfId="34096"/>
    <cellStyle name="常规 4 3 2 3 2 6 2 3" xfId="24672"/>
    <cellStyle name="常规 4 3 2 3 2 6 3" xfId="8964"/>
    <cellStyle name="常规 4 3 2 3 2 6 3 2" xfId="18384"/>
    <cellStyle name="常规 4 3 2 3 2 6 3 2 2" xfId="37232"/>
    <cellStyle name="常规 4 3 2 3 2 6 3 3" xfId="27808"/>
    <cellStyle name="常规 4 3 2 3 2 6 4" xfId="12112"/>
    <cellStyle name="常规 4 3 2 3 2 6 4 2" xfId="30960"/>
    <cellStyle name="常规 4 3 2 3 2 6 5" xfId="21536"/>
    <cellStyle name="常规 4 3 2 3 2 7" xfId="3487"/>
    <cellStyle name="常规 4 3 2 3 2 7 2" xfId="12907"/>
    <cellStyle name="常规 4 3 2 3 2 7 2 2" xfId="31755"/>
    <cellStyle name="常规 4 3 2 3 2 7 3" xfId="22331"/>
    <cellStyle name="常规 4 3 2 3 2 8" xfId="6612"/>
    <cellStyle name="常规 4 3 2 3 2 8 2" xfId="16032"/>
    <cellStyle name="常规 4 3 2 3 2 8 2 2" xfId="34880"/>
    <cellStyle name="常规 4 3 2 3 2 8 3" xfId="25456"/>
    <cellStyle name="常规 4 3 2 3 2 9" xfId="9759"/>
    <cellStyle name="常规 4 3 2 3 2 9 2" xfId="28604"/>
    <cellStyle name="常规 4 3 2 3 3" xfId="338"/>
    <cellStyle name="常规 4 3 2 3 3 2" xfId="734"/>
    <cellStyle name="常规 4 3 2 3 3 2 2" xfId="1518"/>
    <cellStyle name="常规 4 3 2 3 3 2 2 2" xfId="4654"/>
    <cellStyle name="常规 4 3 2 3 3 2 2 2 2" xfId="14074"/>
    <cellStyle name="常规 4 3 2 3 3 2 2 2 2 2" xfId="32922"/>
    <cellStyle name="常规 4 3 2 3 3 2 2 2 3" xfId="23498"/>
    <cellStyle name="常规 4 3 2 3 3 2 2 3" xfId="7790"/>
    <cellStyle name="常规 4 3 2 3 3 2 2 3 2" xfId="17210"/>
    <cellStyle name="常规 4 3 2 3 3 2 2 3 2 2" xfId="36058"/>
    <cellStyle name="常规 4 3 2 3 3 2 2 3 3" xfId="26634"/>
    <cellStyle name="常规 4 3 2 3 3 2 2 4" xfId="10938"/>
    <cellStyle name="常规 4 3 2 3 3 2 2 4 2" xfId="29786"/>
    <cellStyle name="常规 4 3 2 3 3 2 2 5" xfId="20362"/>
    <cellStyle name="常规 4 3 2 3 3 2 3" xfId="2302"/>
    <cellStyle name="常规 4 3 2 3 3 2 3 2" xfId="5438"/>
    <cellStyle name="常规 4 3 2 3 3 2 3 2 2" xfId="14858"/>
    <cellStyle name="常规 4 3 2 3 3 2 3 2 2 2" xfId="33706"/>
    <cellStyle name="常规 4 3 2 3 3 2 3 2 3" xfId="24282"/>
    <cellStyle name="常规 4 3 2 3 3 2 3 3" xfId="8574"/>
    <cellStyle name="常规 4 3 2 3 3 2 3 3 2" xfId="17994"/>
    <cellStyle name="常规 4 3 2 3 3 2 3 3 2 2" xfId="36842"/>
    <cellStyle name="常规 4 3 2 3 3 2 3 3 3" xfId="27418"/>
    <cellStyle name="常规 4 3 2 3 3 2 3 4" xfId="11722"/>
    <cellStyle name="常规 4 3 2 3 3 2 3 4 2" xfId="30570"/>
    <cellStyle name="常规 4 3 2 3 3 2 3 5" xfId="21146"/>
    <cellStyle name="常规 4 3 2 3 3 2 4" xfId="3086"/>
    <cellStyle name="常规 4 3 2 3 3 2 4 2" xfId="6222"/>
    <cellStyle name="常规 4 3 2 3 3 2 4 2 2" xfId="15642"/>
    <cellStyle name="常规 4 3 2 3 3 2 4 2 2 2" xfId="34490"/>
    <cellStyle name="常规 4 3 2 3 3 2 4 2 3" xfId="25066"/>
    <cellStyle name="常规 4 3 2 3 3 2 4 3" xfId="9358"/>
    <cellStyle name="常规 4 3 2 3 3 2 4 3 2" xfId="18778"/>
    <cellStyle name="常规 4 3 2 3 3 2 4 3 2 2" xfId="37626"/>
    <cellStyle name="常规 4 3 2 3 3 2 4 3 3" xfId="28202"/>
    <cellStyle name="常规 4 3 2 3 3 2 4 4" xfId="12506"/>
    <cellStyle name="常规 4 3 2 3 3 2 4 4 2" xfId="31354"/>
    <cellStyle name="常规 4 3 2 3 3 2 4 5" xfId="21930"/>
    <cellStyle name="常规 4 3 2 3 3 2 5" xfId="3870"/>
    <cellStyle name="常规 4 3 2 3 3 2 5 2" xfId="13290"/>
    <cellStyle name="常规 4 3 2 3 3 2 5 2 2" xfId="32138"/>
    <cellStyle name="常规 4 3 2 3 3 2 5 3" xfId="22714"/>
    <cellStyle name="常规 4 3 2 3 3 2 6" xfId="7006"/>
    <cellStyle name="常规 4 3 2 3 3 2 6 2" xfId="16426"/>
    <cellStyle name="常规 4 3 2 3 3 2 6 2 2" xfId="35274"/>
    <cellStyle name="常规 4 3 2 3 3 2 6 3" xfId="25850"/>
    <cellStyle name="常规 4 3 2 3 3 2 7" xfId="10154"/>
    <cellStyle name="常规 4 3 2 3 3 2 7 2" xfId="29002"/>
    <cellStyle name="常规 4 3 2 3 3 2 8" xfId="19578"/>
    <cellStyle name="常规 4 3 2 3 3 3" xfId="1126"/>
    <cellStyle name="常规 4 3 2 3 3 3 2" xfId="4262"/>
    <cellStyle name="常规 4 3 2 3 3 3 2 2" xfId="13682"/>
    <cellStyle name="常规 4 3 2 3 3 3 2 2 2" xfId="32530"/>
    <cellStyle name="常规 4 3 2 3 3 3 2 3" xfId="23106"/>
    <cellStyle name="常规 4 3 2 3 3 3 3" xfId="7398"/>
    <cellStyle name="常规 4 3 2 3 3 3 3 2" xfId="16818"/>
    <cellStyle name="常规 4 3 2 3 3 3 3 2 2" xfId="35666"/>
    <cellStyle name="常规 4 3 2 3 3 3 3 3" xfId="26242"/>
    <cellStyle name="常规 4 3 2 3 3 3 4" xfId="10546"/>
    <cellStyle name="常规 4 3 2 3 3 3 4 2" xfId="29394"/>
    <cellStyle name="常规 4 3 2 3 3 3 5" xfId="19970"/>
    <cellStyle name="常规 4 3 2 3 3 4" xfId="1910"/>
    <cellStyle name="常规 4 3 2 3 3 4 2" xfId="5046"/>
    <cellStyle name="常规 4 3 2 3 3 4 2 2" xfId="14466"/>
    <cellStyle name="常规 4 3 2 3 3 4 2 2 2" xfId="33314"/>
    <cellStyle name="常规 4 3 2 3 3 4 2 3" xfId="23890"/>
    <cellStyle name="常规 4 3 2 3 3 4 3" xfId="8182"/>
    <cellStyle name="常规 4 3 2 3 3 4 3 2" xfId="17602"/>
    <cellStyle name="常规 4 3 2 3 3 4 3 2 2" xfId="36450"/>
    <cellStyle name="常规 4 3 2 3 3 4 3 3" xfId="27026"/>
    <cellStyle name="常规 4 3 2 3 3 4 4" xfId="11330"/>
    <cellStyle name="常规 4 3 2 3 3 4 4 2" xfId="30178"/>
    <cellStyle name="常规 4 3 2 3 3 4 5" xfId="20754"/>
    <cellStyle name="常规 4 3 2 3 3 5" xfId="2694"/>
    <cellStyle name="常规 4 3 2 3 3 5 2" xfId="5830"/>
    <cellStyle name="常规 4 3 2 3 3 5 2 2" xfId="15250"/>
    <cellStyle name="常规 4 3 2 3 3 5 2 2 2" xfId="34098"/>
    <cellStyle name="常规 4 3 2 3 3 5 2 3" xfId="24674"/>
    <cellStyle name="常规 4 3 2 3 3 5 3" xfId="8966"/>
    <cellStyle name="常规 4 3 2 3 3 5 3 2" xfId="18386"/>
    <cellStyle name="常规 4 3 2 3 3 5 3 2 2" xfId="37234"/>
    <cellStyle name="常规 4 3 2 3 3 5 3 3" xfId="27810"/>
    <cellStyle name="常规 4 3 2 3 3 5 4" xfId="12114"/>
    <cellStyle name="常规 4 3 2 3 3 5 4 2" xfId="30962"/>
    <cellStyle name="常规 4 3 2 3 3 5 5" xfId="21538"/>
    <cellStyle name="常规 4 3 2 3 3 6" xfId="3489"/>
    <cellStyle name="常规 4 3 2 3 3 6 2" xfId="12909"/>
    <cellStyle name="常规 4 3 2 3 3 6 2 2" xfId="31757"/>
    <cellStyle name="常规 4 3 2 3 3 6 3" xfId="22333"/>
    <cellStyle name="常规 4 3 2 3 3 7" xfId="6614"/>
    <cellStyle name="常规 4 3 2 3 3 7 2" xfId="16034"/>
    <cellStyle name="常规 4 3 2 3 3 7 2 2" xfId="34882"/>
    <cellStyle name="常规 4 3 2 3 3 7 3" xfId="25458"/>
    <cellStyle name="常规 4 3 2 3 3 8" xfId="9761"/>
    <cellStyle name="常规 4 3 2 3 3 8 2" xfId="28606"/>
    <cellStyle name="常规 4 3 2 3 3 9" xfId="19184"/>
    <cellStyle name="常规 4 3 2 3 4" xfId="731"/>
    <cellStyle name="常规 4 3 2 3 4 2" xfId="1515"/>
    <cellStyle name="常规 4 3 2 3 4 2 2" xfId="4651"/>
    <cellStyle name="常规 4 3 2 3 4 2 2 2" xfId="14071"/>
    <cellStyle name="常规 4 3 2 3 4 2 2 2 2" xfId="32919"/>
    <cellStyle name="常规 4 3 2 3 4 2 2 3" xfId="23495"/>
    <cellStyle name="常规 4 3 2 3 4 2 3" xfId="7787"/>
    <cellStyle name="常规 4 3 2 3 4 2 3 2" xfId="17207"/>
    <cellStyle name="常规 4 3 2 3 4 2 3 2 2" xfId="36055"/>
    <cellStyle name="常规 4 3 2 3 4 2 3 3" xfId="26631"/>
    <cellStyle name="常规 4 3 2 3 4 2 4" xfId="10935"/>
    <cellStyle name="常规 4 3 2 3 4 2 4 2" xfId="29783"/>
    <cellStyle name="常规 4 3 2 3 4 2 5" xfId="20359"/>
    <cellStyle name="常规 4 3 2 3 4 3" xfId="2299"/>
    <cellStyle name="常规 4 3 2 3 4 3 2" xfId="5435"/>
    <cellStyle name="常规 4 3 2 3 4 3 2 2" xfId="14855"/>
    <cellStyle name="常规 4 3 2 3 4 3 2 2 2" xfId="33703"/>
    <cellStyle name="常规 4 3 2 3 4 3 2 3" xfId="24279"/>
    <cellStyle name="常规 4 3 2 3 4 3 3" xfId="8571"/>
    <cellStyle name="常规 4 3 2 3 4 3 3 2" xfId="17991"/>
    <cellStyle name="常规 4 3 2 3 4 3 3 2 2" xfId="36839"/>
    <cellStyle name="常规 4 3 2 3 4 3 3 3" xfId="27415"/>
    <cellStyle name="常规 4 3 2 3 4 3 4" xfId="11719"/>
    <cellStyle name="常规 4 3 2 3 4 3 4 2" xfId="30567"/>
    <cellStyle name="常规 4 3 2 3 4 3 5" xfId="21143"/>
    <cellStyle name="常规 4 3 2 3 4 4" xfId="3083"/>
    <cellStyle name="常规 4 3 2 3 4 4 2" xfId="6219"/>
    <cellStyle name="常规 4 3 2 3 4 4 2 2" xfId="15639"/>
    <cellStyle name="常规 4 3 2 3 4 4 2 2 2" xfId="34487"/>
    <cellStyle name="常规 4 3 2 3 4 4 2 3" xfId="25063"/>
    <cellStyle name="常规 4 3 2 3 4 4 3" xfId="9355"/>
    <cellStyle name="常规 4 3 2 3 4 4 3 2" xfId="18775"/>
    <cellStyle name="常规 4 3 2 3 4 4 3 2 2" xfId="37623"/>
    <cellStyle name="常规 4 3 2 3 4 4 3 3" xfId="28199"/>
    <cellStyle name="常规 4 3 2 3 4 4 4" xfId="12503"/>
    <cellStyle name="常规 4 3 2 3 4 4 4 2" xfId="31351"/>
    <cellStyle name="常规 4 3 2 3 4 4 5" xfId="21927"/>
    <cellStyle name="常规 4 3 2 3 4 5" xfId="3867"/>
    <cellStyle name="常规 4 3 2 3 4 5 2" xfId="13287"/>
    <cellStyle name="常规 4 3 2 3 4 5 2 2" xfId="32135"/>
    <cellStyle name="常规 4 3 2 3 4 5 3" xfId="22711"/>
    <cellStyle name="常规 4 3 2 3 4 6" xfId="7003"/>
    <cellStyle name="常规 4 3 2 3 4 6 2" xfId="16423"/>
    <cellStyle name="常规 4 3 2 3 4 6 2 2" xfId="35271"/>
    <cellStyle name="常规 4 3 2 3 4 6 3" xfId="25847"/>
    <cellStyle name="常规 4 3 2 3 4 7" xfId="10151"/>
    <cellStyle name="常规 4 3 2 3 4 7 2" xfId="28999"/>
    <cellStyle name="常规 4 3 2 3 4 8" xfId="19575"/>
    <cellStyle name="常规 4 3 2 3 5" xfId="1123"/>
    <cellStyle name="常规 4 3 2 3 5 2" xfId="4259"/>
    <cellStyle name="常规 4 3 2 3 5 2 2" xfId="13679"/>
    <cellStyle name="常规 4 3 2 3 5 2 2 2" xfId="32527"/>
    <cellStyle name="常规 4 3 2 3 5 2 3" xfId="23103"/>
    <cellStyle name="常规 4 3 2 3 5 3" xfId="7395"/>
    <cellStyle name="常规 4 3 2 3 5 3 2" xfId="16815"/>
    <cellStyle name="常规 4 3 2 3 5 3 2 2" xfId="35663"/>
    <cellStyle name="常规 4 3 2 3 5 3 3" xfId="26239"/>
    <cellStyle name="常规 4 3 2 3 5 4" xfId="10543"/>
    <cellStyle name="常规 4 3 2 3 5 4 2" xfId="29391"/>
    <cellStyle name="常规 4 3 2 3 5 5" xfId="19967"/>
    <cellStyle name="常规 4 3 2 3 6" xfId="1907"/>
    <cellStyle name="常规 4 3 2 3 6 2" xfId="5043"/>
    <cellStyle name="常规 4 3 2 3 6 2 2" xfId="14463"/>
    <cellStyle name="常规 4 3 2 3 6 2 2 2" xfId="33311"/>
    <cellStyle name="常规 4 3 2 3 6 2 3" xfId="23887"/>
    <cellStyle name="常规 4 3 2 3 6 3" xfId="8179"/>
    <cellStyle name="常规 4 3 2 3 6 3 2" xfId="17599"/>
    <cellStyle name="常规 4 3 2 3 6 3 2 2" xfId="36447"/>
    <cellStyle name="常规 4 3 2 3 6 3 3" xfId="27023"/>
    <cellStyle name="常规 4 3 2 3 6 4" xfId="11327"/>
    <cellStyle name="常规 4 3 2 3 6 4 2" xfId="30175"/>
    <cellStyle name="常规 4 3 2 3 6 5" xfId="20751"/>
    <cellStyle name="常规 4 3 2 3 7" xfId="2691"/>
    <cellStyle name="常规 4 3 2 3 7 2" xfId="5827"/>
    <cellStyle name="常规 4 3 2 3 7 2 2" xfId="15247"/>
    <cellStyle name="常规 4 3 2 3 7 2 2 2" xfId="34095"/>
    <cellStyle name="常规 4 3 2 3 7 2 3" xfId="24671"/>
    <cellStyle name="常规 4 3 2 3 7 3" xfId="8963"/>
    <cellStyle name="常规 4 3 2 3 7 3 2" xfId="18383"/>
    <cellStyle name="常规 4 3 2 3 7 3 2 2" xfId="37231"/>
    <cellStyle name="常规 4 3 2 3 7 3 3" xfId="27807"/>
    <cellStyle name="常规 4 3 2 3 7 4" xfId="12111"/>
    <cellStyle name="常规 4 3 2 3 7 4 2" xfId="30959"/>
    <cellStyle name="常规 4 3 2 3 7 5" xfId="21535"/>
    <cellStyle name="常规 4 3 2 3 8" xfId="3233"/>
    <cellStyle name="常规 4 3 2 3 8 2" xfId="12653"/>
    <cellStyle name="常规 4 3 2 3 8 2 2" xfId="31501"/>
    <cellStyle name="常规 4 3 2 3 8 3" xfId="22077"/>
    <cellStyle name="常规 4 3 2 3 9" xfId="6611"/>
    <cellStyle name="常规 4 3 2 3 9 2" xfId="16031"/>
    <cellStyle name="常规 4 3 2 3 9 2 2" xfId="34879"/>
    <cellStyle name="常规 4 3 2 3 9 3" xfId="25455"/>
    <cellStyle name="常规 4 3 2 4" xfId="339"/>
    <cellStyle name="常规 4 3 2 4 10" xfId="19185"/>
    <cellStyle name="常规 4 3 2 4 2" xfId="340"/>
    <cellStyle name="常规 4 3 2 4 2 2" xfId="736"/>
    <cellStyle name="常规 4 3 2 4 2 2 2" xfId="1520"/>
    <cellStyle name="常规 4 3 2 4 2 2 2 2" xfId="4656"/>
    <cellStyle name="常规 4 3 2 4 2 2 2 2 2" xfId="14076"/>
    <cellStyle name="常规 4 3 2 4 2 2 2 2 2 2" xfId="32924"/>
    <cellStyle name="常规 4 3 2 4 2 2 2 2 3" xfId="23500"/>
    <cellStyle name="常规 4 3 2 4 2 2 2 3" xfId="7792"/>
    <cellStyle name="常规 4 3 2 4 2 2 2 3 2" xfId="17212"/>
    <cellStyle name="常规 4 3 2 4 2 2 2 3 2 2" xfId="36060"/>
    <cellStyle name="常规 4 3 2 4 2 2 2 3 3" xfId="26636"/>
    <cellStyle name="常规 4 3 2 4 2 2 2 4" xfId="10940"/>
    <cellStyle name="常规 4 3 2 4 2 2 2 4 2" xfId="29788"/>
    <cellStyle name="常规 4 3 2 4 2 2 2 5" xfId="20364"/>
    <cellStyle name="常规 4 3 2 4 2 2 3" xfId="2304"/>
    <cellStyle name="常规 4 3 2 4 2 2 3 2" xfId="5440"/>
    <cellStyle name="常规 4 3 2 4 2 2 3 2 2" xfId="14860"/>
    <cellStyle name="常规 4 3 2 4 2 2 3 2 2 2" xfId="33708"/>
    <cellStyle name="常规 4 3 2 4 2 2 3 2 3" xfId="24284"/>
    <cellStyle name="常规 4 3 2 4 2 2 3 3" xfId="8576"/>
    <cellStyle name="常规 4 3 2 4 2 2 3 3 2" xfId="17996"/>
    <cellStyle name="常规 4 3 2 4 2 2 3 3 2 2" xfId="36844"/>
    <cellStyle name="常规 4 3 2 4 2 2 3 3 3" xfId="27420"/>
    <cellStyle name="常规 4 3 2 4 2 2 3 4" xfId="11724"/>
    <cellStyle name="常规 4 3 2 4 2 2 3 4 2" xfId="30572"/>
    <cellStyle name="常规 4 3 2 4 2 2 3 5" xfId="21148"/>
    <cellStyle name="常规 4 3 2 4 2 2 4" xfId="3088"/>
    <cellStyle name="常规 4 3 2 4 2 2 4 2" xfId="6224"/>
    <cellStyle name="常规 4 3 2 4 2 2 4 2 2" xfId="15644"/>
    <cellStyle name="常规 4 3 2 4 2 2 4 2 2 2" xfId="34492"/>
    <cellStyle name="常规 4 3 2 4 2 2 4 2 3" xfId="25068"/>
    <cellStyle name="常规 4 3 2 4 2 2 4 3" xfId="9360"/>
    <cellStyle name="常规 4 3 2 4 2 2 4 3 2" xfId="18780"/>
    <cellStyle name="常规 4 3 2 4 2 2 4 3 2 2" xfId="37628"/>
    <cellStyle name="常规 4 3 2 4 2 2 4 3 3" xfId="28204"/>
    <cellStyle name="常规 4 3 2 4 2 2 4 4" xfId="12508"/>
    <cellStyle name="常规 4 3 2 4 2 2 4 4 2" xfId="31356"/>
    <cellStyle name="常规 4 3 2 4 2 2 4 5" xfId="21932"/>
    <cellStyle name="常规 4 3 2 4 2 2 5" xfId="3872"/>
    <cellStyle name="常规 4 3 2 4 2 2 5 2" xfId="13292"/>
    <cellStyle name="常规 4 3 2 4 2 2 5 2 2" xfId="32140"/>
    <cellStyle name="常规 4 3 2 4 2 2 5 3" xfId="22716"/>
    <cellStyle name="常规 4 3 2 4 2 2 6" xfId="7008"/>
    <cellStyle name="常规 4 3 2 4 2 2 6 2" xfId="16428"/>
    <cellStyle name="常规 4 3 2 4 2 2 6 2 2" xfId="35276"/>
    <cellStyle name="常规 4 3 2 4 2 2 6 3" xfId="25852"/>
    <cellStyle name="常规 4 3 2 4 2 2 7" xfId="10156"/>
    <cellStyle name="常规 4 3 2 4 2 2 7 2" xfId="29004"/>
    <cellStyle name="常规 4 3 2 4 2 2 8" xfId="19580"/>
    <cellStyle name="常规 4 3 2 4 2 3" xfId="1128"/>
    <cellStyle name="常规 4 3 2 4 2 3 2" xfId="4264"/>
    <cellStyle name="常规 4 3 2 4 2 3 2 2" xfId="13684"/>
    <cellStyle name="常规 4 3 2 4 2 3 2 2 2" xfId="32532"/>
    <cellStyle name="常规 4 3 2 4 2 3 2 3" xfId="23108"/>
    <cellStyle name="常规 4 3 2 4 2 3 3" xfId="7400"/>
    <cellStyle name="常规 4 3 2 4 2 3 3 2" xfId="16820"/>
    <cellStyle name="常规 4 3 2 4 2 3 3 2 2" xfId="35668"/>
    <cellStyle name="常规 4 3 2 4 2 3 3 3" xfId="26244"/>
    <cellStyle name="常规 4 3 2 4 2 3 4" xfId="10548"/>
    <cellStyle name="常规 4 3 2 4 2 3 4 2" xfId="29396"/>
    <cellStyle name="常规 4 3 2 4 2 3 5" xfId="19972"/>
    <cellStyle name="常规 4 3 2 4 2 4" xfId="1912"/>
    <cellStyle name="常规 4 3 2 4 2 4 2" xfId="5048"/>
    <cellStyle name="常规 4 3 2 4 2 4 2 2" xfId="14468"/>
    <cellStyle name="常规 4 3 2 4 2 4 2 2 2" xfId="33316"/>
    <cellStyle name="常规 4 3 2 4 2 4 2 3" xfId="23892"/>
    <cellStyle name="常规 4 3 2 4 2 4 3" xfId="8184"/>
    <cellStyle name="常规 4 3 2 4 2 4 3 2" xfId="17604"/>
    <cellStyle name="常规 4 3 2 4 2 4 3 2 2" xfId="36452"/>
    <cellStyle name="常规 4 3 2 4 2 4 3 3" xfId="27028"/>
    <cellStyle name="常规 4 3 2 4 2 4 4" xfId="11332"/>
    <cellStyle name="常规 4 3 2 4 2 4 4 2" xfId="30180"/>
    <cellStyle name="常规 4 3 2 4 2 4 5" xfId="20756"/>
    <cellStyle name="常规 4 3 2 4 2 5" xfId="2696"/>
    <cellStyle name="常规 4 3 2 4 2 5 2" xfId="5832"/>
    <cellStyle name="常规 4 3 2 4 2 5 2 2" xfId="15252"/>
    <cellStyle name="常规 4 3 2 4 2 5 2 2 2" xfId="34100"/>
    <cellStyle name="常规 4 3 2 4 2 5 2 3" xfId="24676"/>
    <cellStyle name="常规 4 3 2 4 2 5 3" xfId="8968"/>
    <cellStyle name="常规 4 3 2 4 2 5 3 2" xfId="18388"/>
    <cellStyle name="常规 4 3 2 4 2 5 3 2 2" xfId="37236"/>
    <cellStyle name="常规 4 3 2 4 2 5 3 3" xfId="27812"/>
    <cellStyle name="常规 4 3 2 4 2 5 4" xfId="12116"/>
    <cellStyle name="常规 4 3 2 4 2 5 4 2" xfId="30964"/>
    <cellStyle name="常规 4 3 2 4 2 5 5" xfId="21540"/>
    <cellStyle name="常规 4 3 2 4 2 6" xfId="3491"/>
    <cellStyle name="常规 4 3 2 4 2 6 2" xfId="12911"/>
    <cellStyle name="常规 4 3 2 4 2 6 2 2" xfId="31759"/>
    <cellStyle name="常规 4 3 2 4 2 6 3" xfId="22335"/>
    <cellStyle name="常规 4 3 2 4 2 7" xfId="6616"/>
    <cellStyle name="常规 4 3 2 4 2 7 2" xfId="16036"/>
    <cellStyle name="常规 4 3 2 4 2 7 2 2" xfId="34884"/>
    <cellStyle name="常规 4 3 2 4 2 7 3" xfId="25460"/>
    <cellStyle name="常规 4 3 2 4 2 8" xfId="9763"/>
    <cellStyle name="常规 4 3 2 4 2 8 2" xfId="28608"/>
    <cellStyle name="常规 4 3 2 4 2 9" xfId="19186"/>
    <cellStyle name="常规 4 3 2 4 3" xfId="735"/>
    <cellStyle name="常规 4 3 2 4 3 2" xfId="1519"/>
    <cellStyle name="常规 4 3 2 4 3 2 2" xfId="4655"/>
    <cellStyle name="常规 4 3 2 4 3 2 2 2" xfId="14075"/>
    <cellStyle name="常规 4 3 2 4 3 2 2 2 2" xfId="32923"/>
    <cellStyle name="常规 4 3 2 4 3 2 2 3" xfId="23499"/>
    <cellStyle name="常规 4 3 2 4 3 2 3" xfId="7791"/>
    <cellStyle name="常规 4 3 2 4 3 2 3 2" xfId="17211"/>
    <cellStyle name="常规 4 3 2 4 3 2 3 2 2" xfId="36059"/>
    <cellStyle name="常规 4 3 2 4 3 2 3 3" xfId="26635"/>
    <cellStyle name="常规 4 3 2 4 3 2 4" xfId="10939"/>
    <cellStyle name="常规 4 3 2 4 3 2 4 2" xfId="29787"/>
    <cellStyle name="常规 4 3 2 4 3 2 5" xfId="20363"/>
    <cellStyle name="常规 4 3 2 4 3 3" xfId="2303"/>
    <cellStyle name="常规 4 3 2 4 3 3 2" xfId="5439"/>
    <cellStyle name="常规 4 3 2 4 3 3 2 2" xfId="14859"/>
    <cellStyle name="常规 4 3 2 4 3 3 2 2 2" xfId="33707"/>
    <cellStyle name="常规 4 3 2 4 3 3 2 3" xfId="24283"/>
    <cellStyle name="常规 4 3 2 4 3 3 3" xfId="8575"/>
    <cellStyle name="常规 4 3 2 4 3 3 3 2" xfId="17995"/>
    <cellStyle name="常规 4 3 2 4 3 3 3 2 2" xfId="36843"/>
    <cellStyle name="常规 4 3 2 4 3 3 3 3" xfId="27419"/>
    <cellStyle name="常规 4 3 2 4 3 3 4" xfId="11723"/>
    <cellStyle name="常规 4 3 2 4 3 3 4 2" xfId="30571"/>
    <cellStyle name="常规 4 3 2 4 3 3 5" xfId="21147"/>
    <cellStyle name="常规 4 3 2 4 3 4" xfId="3087"/>
    <cellStyle name="常规 4 3 2 4 3 4 2" xfId="6223"/>
    <cellStyle name="常规 4 3 2 4 3 4 2 2" xfId="15643"/>
    <cellStyle name="常规 4 3 2 4 3 4 2 2 2" xfId="34491"/>
    <cellStyle name="常规 4 3 2 4 3 4 2 3" xfId="25067"/>
    <cellStyle name="常规 4 3 2 4 3 4 3" xfId="9359"/>
    <cellStyle name="常规 4 3 2 4 3 4 3 2" xfId="18779"/>
    <cellStyle name="常规 4 3 2 4 3 4 3 2 2" xfId="37627"/>
    <cellStyle name="常规 4 3 2 4 3 4 3 3" xfId="28203"/>
    <cellStyle name="常规 4 3 2 4 3 4 4" xfId="12507"/>
    <cellStyle name="常规 4 3 2 4 3 4 4 2" xfId="31355"/>
    <cellStyle name="常规 4 3 2 4 3 4 5" xfId="21931"/>
    <cellStyle name="常规 4 3 2 4 3 5" xfId="3871"/>
    <cellStyle name="常规 4 3 2 4 3 5 2" xfId="13291"/>
    <cellStyle name="常规 4 3 2 4 3 5 2 2" xfId="32139"/>
    <cellStyle name="常规 4 3 2 4 3 5 3" xfId="22715"/>
    <cellStyle name="常规 4 3 2 4 3 6" xfId="7007"/>
    <cellStyle name="常规 4 3 2 4 3 6 2" xfId="16427"/>
    <cellStyle name="常规 4 3 2 4 3 6 2 2" xfId="35275"/>
    <cellStyle name="常规 4 3 2 4 3 6 3" xfId="25851"/>
    <cellStyle name="常规 4 3 2 4 3 7" xfId="10155"/>
    <cellStyle name="常规 4 3 2 4 3 7 2" xfId="29003"/>
    <cellStyle name="常规 4 3 2 4 3 8" xfId="19579"/>
    <cellStyle name="常规 4 3 2 4 4" xfId="1127"/>
    <cellStyle name="常规 4 3 2 4 4 2" xfId="4263"/>
    <cellStyle name="常规 4 3 2 4 4 2 2" xfId="13683"/>
    <cellStyle name="常规 4 3 2 4 4 2 2 2" xfId="32531"/>
    <cellStyle name="常规 4 3 2 4 4 2 3" xfId="23107"/>
    <cellStyle name="常规 4 3 2 4 4 3" xfId="7399"/>
    <cellStyle name="常规 4 3 2 4 4 3 2" xfId="16819"/>
    <cellStyle name="常规 4 3 2 4 4 3 2 2" xfId="35667"/>
    <cellStyle name="常规 4 3 2 4 4 3 3" xfId="26243"/>
    <cellStyle name="常规 4 3 2 4 4 4" xfId="10547"/>
    <cellStyle name="常规 4 3 2 4 4 4 2" xfId="29395"/>
    <cellStyle name="常规 4 3 2 4 4 5" xfId="19971"/>
    <cellStyle name="常规 4 3 2 4 5" xfId="1911"/>
    <cellStyle name="常规 4 3 2 4 5 2" xfId="5047"/>
    <cellStyle name="常规 4 3 2 4 5 2 2" xfId="14467"/>
    <cellStyle name="常规 4 3 2 4 5 2 2 2" xfId="33315"/>
    <cellStyle name="常规 4 3 2 4 5 2 3" xfId="23891"/>
    <cellStyle name="常规 4 3 2 4 5 3" xfId="8183"/>
    <cellStyle name="常规 4 3 2 4 5 3 2" xfId="17603"/>
    <cellStyle name="常规 4 3 2 4 5 3 2 2" xfId="36451"/>
    <cellStyle name="常规 4 3 2 4 5 3 3" xfId="27027"/>
    <cellStyle name="常规 4 3 2 4 5 4" xfId="11331"/>
    <cellStyle name="常规 4 3 2 4 5 4 2" xfId="30179"/>
    <cellStyle name="常规 4 3 2 4 5 5" xfId="20755"/>
    <cellStyle name="常规 4 3 2 4 6" xfId="2695"/>
    <cellStyle name="常规 4 3 2 4 6 2" xfId="5831"/>
    <cellStyle name="常规 4 3 2 4 6 2 2" xfId="15251"/>
    <cellStyle name="常规 4 3 2 4 6 2 2 2" xfId="34099"/>
    <cellStyle name="常规 4 3 2 4 6 2 3" xfId="24675"/>
    <cellStyle name="常规 4 3 2 4 6 3" xfId="8967"/>
    <cellStyle name="常规 4 3 2 4 6 3 2" xfId="18387"/>
    <cellStyle name="常规 4 3 2 4 6 3 2 2" xfId="37235"/>
    <cellStyle name="常规 4 3 2 4 6 3 3" xfId="27811"/>
    <cellStyle name="常规 4 3 2 4 6 4" xfId="12115"/>
    <cellStyle name="常规 4 3 2 4 6 4 2" xfId="30963"/>
    <cellStyle name="常规 4 3 2 4 6 5" xfId="21539"/>
    <cellStyle name="常规 4 3 2 4 7" xfId="3490"/>
    <cellStyle name="常规 4 3 2 4 7 2" xfId="12910"/>
    <cellStyle name="常规 4 3 2 4 7 2 2" xfId="31758"/>
    <cellStyle name="常规 4 3 2 4 7 3" xfId="22334"/>
    <cellStyle name="常规 4 3 2 4 8" xfId="6615"/>
    <cellStyle name="常规 4 3 2 4 8 2" xfId="16035"/>
    <cellStyle name="常规 4 3 2 4 8 2 2" xfId="34883"/>
    <cellStyle name="常规 4 3 2 4 8 3" xfId="25459"/>
    <cellStyle name="常规 4 3 2 4 9" xfId="9762"/>
    <cellStyle name="常规 4 3 2 4 9 2" xfId="28607"/>
    <cellStyle name="常规 4 3 2 5" xfId="341"/>
    <cellStyle name="常规 4 3 2 5 2" xfId="737"/>
    <cellStyle name="常规 4 3 2 5 2 2" xfId="1521"/>
    <cellStyle name="常规 4 3 2 5 2 2 2" xfId="4657"/>
    <cellStyle name="常规 4 3 2 5 2 2 2 2" xfId="14077"/>
    <cellStyle name="常规 4 3 2 5 2 2 2 2 2" xfId="32925"/>
    <cellStyle name="常规 4 3 2 5 2 2 2 3" xfId="23501"/>
    <cellStyle name="常规 4 3 2 5 2 2 3" xfId="7793"/>
    <cellStyle name="常规 4 3 2 5 2 2 3 2" xfId="17213"/>
    <cellStyle name="常规 4 3 2 5 2 2 3 2 2" xfId="36061"/>
    <cellStyle name="常规 4 3 2 5 2 2 3 3" xfId="26637"/>
    <cellStyle name="常规 4 3 2 5 2 2 4" xfId="10941"/>
    <cellStyle name="常规 4 3 2 5 2 2 4 2" xfId="29789"/>
    <cellStyle name="常规 4 3 2 5 2 2 5" xfId="20365"/>
    <cellStyle name="常规 4 3 2 5 2 3" xfId="2305"/>
    <cellStyle name="常规 4 3 2 5 2 3 2" xfId="5441"/>
    <cellStyle name="常规 4 3 2 5 2 3 2 2" xfId="14861"/>
    <cellStyle name="常规 4 3 2 5 2 3 2 2 2" xfId="33709"/>
    <cellStyle name="常规 4 3 2 5 2 3 2 3" xfId="24285"/>
    <cellStyle name="常规 4 3 2 5 2 3 3" xfId="8577"/>
    <cellStyle name="常规 4 3 2 5 2 3 3 2" xfId="17997"/>
    <cellStyle name="常规 4 3 2 5 2 3 3 2 2" xfId="36845"/>
    <cellStyle name="常规 4 3 2 5 2 3 3 3" xfId="27421"/>
    <cellStyle name="常规 4 3 2 5 2 3 4" xfId="11725"/>
    <cellStyle name="常规 4 3 2 5 2 3 4 2" xfId="30573"/>
    <cellStyle name="常规 4 3 2 5 2 3 5" xfId="21149"/>
    <cellStyle name="常规 4 3 2 5 2 4" xfId="3089"/>
    <cellStyle name="常规 4 3 2 5 2 4 2" xfId="6225"/>
    <cellStyle name="常规 4 3 2 5 2 4 2 2" xfId="15645"/>
    <cellStyle name="常规 4 3 2 5 2 4 2 2 2" xfId="34493"/>
    <cellStyle name="常规 4 3 2 5 2 4 2 3" xfId="25069"/>
    <cellStyle name="常规 4 3 2 5 2 4 3" xfId="9361"/>
    <cellStyle name="常规 4 3 2 5 2 4 3 2" xfId="18781"/>
    <cellStyle name="常规 4 3 2 5 2 4 3 2 2" xfId="37629"/>
    <cellStyle name="常规 4 3 2 5 2 4 3 3" xfId="28205"/>
    <cellStyle name="常规 4 3 2 5 2 4 4" xfId="12509"/>
    <cellStyle name="常规 4 3 2 5 2 4 4 2" xfId="31357"/>
    <cellStyle name="常规 4 3 2 5 2 4 5" xfId="21933"/>
    <cellStyle name="常规 4 3 2 5 2 5" xfId="3873"/>
    <cellStyle name="常规 4 3 2 5 2 5 2" xfId="13293"/>
    <cellStyle name="常规 4 3 2 5 2 5 2 2" xfId="32141"/>
    <cellStyle name="常规 4 3 2 5 2 5 3" xfId="22717"/>
    <cellStyle name="常规 4 3 2 5 2 6" xfId="7009"/>
    <cellStyle name="常规 4 3 2 5 2 6 2" xfId="16429"/>
    <cellStyle name="常规 4 3 2 5 2 6 2 2" xfId="35277"/>
    <cellStyle name="常规 4 3 2 5 2 6 3" xfId="25853"/>
    <cellStyle name="常规 4 3 2 5 2 7" xfId="10157"/>
    <cellStyle name="常规 4 3 2 5 2 7 2" xfId="29005"/>
    <cellStyle name="常规 4 3 2 5 2 8" xfId="19581"/>
    <cellStyle name="常规 4 3 2 5 3" xfId="1129"/>
    <cellStyle name="常规 4 3 2 5 3 2" xfId="4265"/>
    <cellStyle name="常规 4 3 2 5 3 2 2" xfId="13685"/>
    <cellStyle name="常规 4 3 2 5 3 2 2 2" xfId="32533"/>
    <cellStyle name="常规 4 3 2 5 3 2 3" xfId="23109"/>
    <cellStyle name="常规 4 3 2 5 3 3" xfId="7401"/>
    <cellStyle name="常规 4 3 2 5 3 3 2" xfId="16821"/>
    <cellStyle name="常规 4 3 2 5 3 3 2 2" xfId="35669"/>
    <cellStyle name="常规 4 3 2 5 3 3 3" xfId="26245"/>
    <cellStyle name="常规 4 3 2 5 3 4" xfId="10549"/>
    <cellStyle name="常规 4 3 2 5 3 4 2" xfId="29397"/>
    <cellStyle name="常规 4 3 2 5 3 5" xfId="19973"/>
    <cellStyle name="常规 4 3 2 5 4" xfId="1913"/>
    <cellStyle name="常规 4 3 2 5 4 2" xfId="5049"/>
    <cellStyle name="常规 4 3 2 5 4 2 2" xfId="14469"/>
    <cellStyle name="常规 4 3 2 5 4 2 2 2" xfId="33317"/>
    <cellStyle name="常规 4 3 2 5 4 2 3" xfId="23893"/>
    <cellStyle name="常规 4 3 2 5 4 3" xfId="8185"/>
    <cellStyle name="常规 4 3 2 5 4 3 2" xfId="17605"/>
    <cellStyle name="常规 4 3 2 5 4 3 2 2" xfId="36453"/>
    <cellStyle name="常规 4 3 2 5 4 3 3" xfId="27029"/>
    <cellStyle name="常规 4 3 2 5 4 4" xfId="11333"/>
    <cellStyle name="常规 4 3 2 5 4 4 2" xfId="30181"/>
    <cellStyle name="常规 4 3 2 5 4 5" xfId="20757"/>
    <cellStyle name="常规 4 3 2 5 5" xfId="2697"/>
    <cellStyle name="常规 4 3 2 5 5 2" xfId="5833"/>
    <cellStyle name="常规 4 3 2 5 5 2 2" xfId="15253"/>
    <cellStyle name="常规 4 3 2 5 5 2 2 2" xfId="34101"/>
    <cellStyle name="常规 4 3 2 5 5 2 3" xfId="24677"/>
    <cellStyle name="常规 4 3 2 5 5 3" xfId="8969"/>
    <cellStyle name="常规 4 3 2 5 5 3 2" xfId="18389"/>
    <cellStyle name="常规 4 3 2 5 5 3 2 2" xfId="37237"/>
    <cellStyle name="常规 4 3 2 5 5 3 3" xfId="27813"/>
    <cellStyle name="常规 4 3 2 5 5 4" xfId="12117"/>
    <cellStyle name="常规 4 3 2 5 5 4 2" xfId="30965"/>
    <cellStyle name="常规 4 3 2 5 5 5" xfId="21541"/>
    <cellStyle name="常规 4 3 2 5 6" xfId="3492"/>
    <cellStyle name="常规 4 3 2 5 6 2" xfId="12912"/>
    <cellStyle name="常规 4 3 2 5 6 2 2" xfId="31760"/>
    <cellStyle name="常规 4 3 2 5 6 3" xfId="22336"/>
    <cellStyle name="常规 4 3 2 5 7" xfId="6617"/>
    <cellStyle name="常规 4 3 2 5 7 2" xfId="16037"/>
    <cellStyle name="常规 4 3 2 5 7 2 2" xfId="34885"/>
    <cellStyle name="常规 4 3 2 5 7 3" xfId="25461"/>
    <cellStyle name="常规 4 3 2 5 8" xfId="9764"/>
    <cellStyle name="常规 4 3 2 5 8 2" xfId="28609"/>
    <cellStyle name="常规 4 3 2 5 9" xfId="19187"/>
    <cellStyle name="常规 4 3 2 6" xfId="722"/>
    <cellStyle name="常规 4 3 2 6 2" xfId="1506"/>
    <cellStyle name="常规 4 3 2 6 2 2" xfId="4642"/>
    <cellStyle name="常规 4 3 2 6 2 2 2" xfId="14062"/>
    <cellStyle name="常规 4 3 2 6 2 2 2 2" xfId="32910"/>
    <cellStyle name="常规 4 3 2 6 2 2 3" xfId="23486"/>
    <cellStyle name="常规 4 3 2 6 2 3" xfId="7778"/>
    <cellStyle name="常规 4 3 2 6 2 3 2" xfId="17198"/>
    <cellStyle name="常规 4 3 2 6 2 3 2 2" xfId="36046"/>
    <cellStyle name="常规 4 3 2 6 2 3 3" xfId="26622"/>
    <cellStyle name="常规 4 3 2 6 2 4" xfId="10926"/>
    <cellStyle name="常规 4 3 2 6 2 4 2" xfId="29774"/>
    <cellStyle name="常规 4 3 2 6 2 5" xfId="20350"/>
    <cellStyle name="常规 4 3 2 6 3" xfId="2290"/>
    <cellStyle name="常规 4 3 2 6 3 2" xfId="5426"/>
    <cellStyle name="常规 4 3 2 6 3 2 2" xfId="14846"/>
    <cellStyle name="常规 4 3 2 6 3 2 2 2" xfId="33694"/>
    <cellStyle name="常规 4 3 2 6 3 2 3" xfId="24270"/>
    <cellStyle name="常规 4 3 2 6 3 3" xfId="8562"/>
    <cellStyle name="常规 4 3 2 6 3 3 2" xfId="17982"/>
    <cellStyle name="常规 4 3 2 6 3 3 2 2" xfId="36830"/>
    <cellStyle name="常规 4 3 2 6 3 3 3" xfId="27406"/>
    <cellStyle name="常规 4 3 2 6 3 4" xfId="11710"/>
    <cellStyle name="常规 4 3 2 6 3 4 2" xfId="30558"/>
    <cellStyle name="常规 4 3 2 6 3 5" xfId="21134"/>
    <cellStyle name="常规 4 3 2 6 4" xfId="3074"/>
    <cellStyle name="常规 4 3 2 6 4 2" xfId="6210"/>
    <cellStyle name="常规 4 3 2 6 4 2 2" xfId="15630"/>
    <cellStyle name="常规 4 3 2 6 4 2 2 2" xfId="34478"/>
    <cellStyle name="常规 4 3 2 6 4 2 3" xfId="25054"/>
    <cellStyle name="常规 4 3 2 6 4 3" xfId="9346"/>
    <cellStyle name="常规 4 3 2 6 4 3 2" xfId="18766"/>
    <cellStyle name="常规 4 3 2 6 4 3 2 2" xfId="37614"/>
    <cellStyle name="常规 4 3 2 6 4 3 3" xfId="28190"/>
    <cellStyle name="常规 4 3 2 6 4 4" xfId="12494"/>
    <cellStyle name="常规 4 3 2 6 4 4 2" xfId="31342"/>
    <cellStyle name="常规 4 3 2 6 4 5" xfId="21918"/>
    <cellStyle name="常规 4 3 2 6 5" xfId="3858"/>
    <cellStyle name="常规 4 3 2 6 5 2" xfId="13278"/>
    <cellStyle name="常规 4 3 2 6 5 2 2" xfId="32126"/>
    <cellStyle name="常规 4 3 2 6 5 3" xfId="22702"/>
    <cellStyle name="常规 4 3 2 6 6" xfId="6994"/>
    <cellStyle name="常规 4 3 2 6 6 2" xfId="16414"/>
    <cellStyle name="常规 4 3 2 6 6 2 2" xfId="35262"/>
    <cellStyle name="常规 4 3 2 6 6 3" xfId="25838"/>
    <cellStyle name="常规 4 3 2 6 7" xfId="10142"/>
    <cellStyle name="常规 4 3 2 6 7 2" xfId="28990"/>
    <cellStyle name="常规 4 3 2 6 8" xfId="19566"/>
    <cellStyle name="常规 4 3 2 7" xfId="1114"/>
    <cellStyle name="常规 4 3 2 7 2" xfId="4250"/>
    <cellStyle name="常规 4 3 2 7 2 2" xfId="13670"/>
    <cellStyle name="常规 4 3 2 7 2 2 2" xfId="32518"/>
    <cellStyle name="常规 4 3 2 7 2 3" xfId="23094"/>
    <cellStyle name="常规 4 3 2 7 3" xfId="7386"/>
    <cellStyle name="常规 4 3 2 7 3 2" xfId="16806"/>
    <cellStyle name="常规 4 3 2 7 3 2 2" xfId="35654"/>
    <cellStyle name="常规 4 3 2 7 3 3" xfId="26230"/>
    <cellStyle name="常规 4 3 2 7 4" xfId="10534"/>
    <cellStyle name="常规 4 3 2 7 4 2" xfId="29382"/>
    <cellStyle name="常规 4 3 2 7 5" xfId="19958"/>
    <cellStyle name="常规 4 3 2 8" xfId="1898"/>
    <cellStyle name="常规 4 3 2 8 2" xfId="5034"/>
    <cellStyle name="常规 4 3 2 8 2 2" xfId="14454"/>
    <cellStyle name="常规 4 3 2 8 2 2 2" xfId="33302"/>
    <cellStyle name="常规 4 3 2 8 2 3" xfId="23878"/>
    <cellStyle name="常规 4 3 2 8 3" xfId="8170"/>
    <cellStyle name="常规 4 3 2 8 3 2" xfId="17590"/>
    <cellStyle name="常规 4 3 2 8 3 2 2" xfId="36438"/>
    <cellStyle name="常规 4 3 2 8 3 3" xfId="27014"/>
    <cellStyle name="常规 4 3 2 8 4" xfId="11318"/>
    <cellStyle name="常规 4 3 2 8 4 2" xfId="30166"/>
    <cellStyle name="常规 4 3 2 8 5" xfId="20742"/>
    <cellStyle name="常规 4 3 2 9" xfId="2682"/>
    <cellStyle name="常规 4 3 2 9 2" xfId="5818"/>
    <cellStyle name="常规 4 3 2 9 2 2" xfId="15238"/>
    <cellStyle name="常规 4 3 2 9 2 2 2" xfId="34086"/>
    <cellStyle name="常规 4 3 2 9 2 3" xfId="24662"/>
    <cellStyle name="常规 4 3 2 9 3" xfId="8954"/>
    <cellStyle name="常规 4 3 2 9 3 2" xfId="18374"/>
    <cellStyle name="常规 4 3 2 9 3 2 2" xfId="37222"/>
    <cellStyle name="常规 4 3 2 9 3 3" xfId="27798"/>
    <cellStyle name="常规 4 3 2 9 4" xfId="12102"/>
    <cellStyle name="常规 4 3 2 9 4 2" xfId="30950"/>
    <cellStyle name="常规 4 3 2 9 5" xfId="21526"/>
    <cellStyle name="常规 4 3 3" xfId="342"/>
    <cellStyle name="常规 4 3 3 10" xfId="6618"/>
    <cellStyle name="常规 4 3 3 10 2" xfId="16038"/>
    <cellStyle name="常规 4 3 3 10 2 2" xfId="34886"/>
    <cellStyle name="常规 4 3 3 10 3" xfId="25462"/>
    <cellStyle name="常规 4 3 3 11" xfId="9765"/>
    <cellStyle name="常规 4 3 3 11 2" xfId="28610"/>
    <cellStyle name="常规 4 3 3 12" xfId="19188"/>
    <cellStyle name="常规 4 3 3 2" xfId="343"/>
    <cellStyle name="常规 4 3 3 2 10" xfId="9766"/>
    <cellStyle name="常规 4 3 3 2 10 2" xfId="28611"/>
    <cellStyle name="常规 4 3 3 2 11" xfId="19189"/>
    <cellStyle name="常规 4 3 3 2 2" xfId="344"/>
    <cellStyle name="常规 4 3 3 2 2 10" xfId="19190"/>
    <cellStyle name="常规 4 3 3 2 2 2" xfId="345"/>
    <cellStyle name="常规 4 3 3 2 2 2 2" xfId="741"/>
    <cellStyle name="常规 4 3 3 2 2 2 2 2" xfId="1525"/>
    <cellStyle name="常规 4 3 3 2 2 2 2 2 2" xfId="4661"/>
    <cellStyle name="常规 4 3 3 2 2 2 2 2 2 2" xfId="14081"/>
    <cellStyle name="常规 4 3 3 2 2 2 2 2 2 2 2" xfId="32929"/>
    <cellStyle name="常规 4 3 3 2 2 2 2 2 2 3" xfId="23505"/>
    <cellStyle name="常规 4 3 3 2 2 2 2 2 3" xfId="7797"/>
    <cellStyle name="常规 4 3 3 2 2 2 2 2 3 2" xfId="17217"/>
    <cellStyle name="常规 4 3 3 2 2 2 2 2 3 2 2" xfId="36065"/>
    <cellStyle name="常规 4 3 3 2 2 2 2 2 3 3" xfId="26641"/>
    <cellStyle name="常规 4 3 3 2 2 2 2 2 4" xfId="10945"/>
    <cellStyle name="常规 4 3 3 2 2 2 2 2 4 2" xfId="29793"/>
    <cellStyle name="常规 4 3 3 2 2 2 2 2 5" xfId="20369"/>
    <cellStyle name="常规 4 3 3 2 2 2 2 3" xfId="2309"/>
    <cellStyle name="常规 4 3 3 2 2 2 2 3 2" xfId="5445"/>
    <cellStyle name="常规 4 3 3 2 2 2 2 3 2 2" xfId="14865"/>
    <cellStyle name="常规 4 3 3 2 2 2 2 3 2 2 2" xfId="33713"/>
    <cellStyle name="常规 4 3 3 2 2 2 2 3 2 3" xfId="24289"/>
    <cellStyle name="常规 4 3 3 2 2 2 2 3 3" xfId="8581"/>
    <cellStyle name="常规 4 3 3 2 2 2 2 3 3 2" xfId="18001"/>
    <cellStyle name="常规 4 3 3 2 2 2 2 3 3 2 2" xfId="36849"/>
    <cellStyle name="常规 4 3 3 2 2 2 2 3 3 3" xfId="27425"/>
    <cellStyle name="常规 4 3 3 2 2 2 2 3 4" xfId="11729"/>
    <cellStyle name="常规 4 3 3 2 2 2 2 3 4 2" xfId="30577"/>
    <cellStyle name="常规 4 3 3 2 2 2 2 3 5" xfId="21153"/>
    <cellStyle name="常规 4 3 3 2 2 2 2 4" xfId="3093"/>
    <cellStyle name="常规 4 3 3 2 2 2 2 4 2" xfId="6229"/>
    <cellStyle name="常规 4 3 3 2 2 2 2 4 2 2" xfId="15649"/>
    <cellStyle name="常规 4 3 3 2 2 2 2 4 2 2 2" xfId="34497"/>
    <cellStyle name="常规 4 3 3 2 2 2 2 4 2 3" xfId="25073"/>
    <cellStyle name="常规 4 3 3 2 2 2 2 4 3" xfId="9365"/>
    <cellStyle name="常规 4 3 3 2 2 2 2 4 3 2" xfId="18785"/>
    <cellStyle name="常规 4 3 3 2 2 2 2 4 3 2 2" xfId="37633"/>
    <cellStyle name="常规 4 3 3 2 2 2 2 4 3 3" xfId="28209"/>
    <cellStyle name="常规 4 3 3 2 2 2 2 4 4" xfId="12513"/>
    <cellStyle name="常规 4 3 3 2 2 2 2 4 4 2" xfId="31361"/>
    <cellStyle name="常规 4 3 3 2 2 2 2 4 5" xfId="21937"/>
    <cellStyle name="常规 4 3 3 2 2 2 2 5" xfId="3877"/>
    <cellStyle name="常规 4 3 3 2 2 2 2 5 2" xfId="13297"/>
    <cellStyle name="常规 4 3 3 2 2 2 2 5 2 2" xfId="32145"/>
    <cellStyle name="常规 4 3 3 2 2 2 2 5 3" xfId="22721"/>
    <cellStyle name="常规 4 3 3 2 2 2 2 6" xfId="7013"/>
    <cellStyle name="常规 4 3 3 2 2 2 2 6 2" xfId="16433"/>
    <cellStyle name="常规 4 3 3 2 2 2 2 6 2 2" xfId="35281"/>
    <cellStyle name="常规 4 3 3 2 2 2 2 6 3" xfId="25857"/>
    <cellStyle name="常规 4 3 3 2 2 2 2 7" xfId="10161"/>
    <cellStyle name="常规 4 3 3 2 2 2 2 7 2" xfId="29009"/>
    <cellStyle name="常规 4 3 3 2 2 2 2 8" xfId="19585"/>
    <cellStyle name="常规 4 3 3 2 2 2 3" xfId="1133"/>
    <cellStyle name="常规 4 3 3 2 2 2 3 2" xfId="4269"/>
    <cellStyle name="常规 4 3 3 2 2 2 3 2 2" xfId="13689"/>
    <cellStyle name="常规 4 3 3 2 2 2 3 2 2 2" xfId="32537"/>
    <cellStyle name="常规 4 3 3 2 2 2 3 2 3" xfId="23113"/>
    <cellStyle name="常规 4 3 3 2 2 2 3 3" xfId="7405"/>
    <cellStyle name="常规 4 3 3 2 2 2 3 3 2" xfId="16825"/>
    <cellStyle name="常规 4 3 3 2 2 2 3 3 2 2" xfId="35673"/>
    <cellStyle name="常规 4 3 3 2 2 2 3 3 3" xfId="26249"/>
    <cellStyle name="常规 4 3 3 2 2 2 3 4" xfId="10553"/>
    <cellStyle name="常规 4 3 3 2 2 2 3 4 2" xfId="29401"/>
    <cellStyle name="常规 4 3 3 2 2 2 3 5" xfId="19977"/>
    <cellStyle name="常规 4 3 3 2 2 2 4" xfId="1917"/>
    <cellStyle name="常规 4 3 3 2 2 2 4 2" xfId="5053"/>
    <cellStyle name="常规 4 3 3 2 2 2 4 2 2" xfId="14473"/>
    <cellStyle name="常规 4 3 3 2 2 2 4 2 2 2" xfId="33321"/>
    <cellStyle name="常规 4 3 3 2 2 2 4 2 3" xfId="23897"/>
    <cellStyle name="常规 4 3 3 2 2 2 4 3" xfId="8189"/>
    <cellStyle name="常规 4 3 3 2 2 2 4 3 2" xfId="17609"/>
    <cellStyle name="常规 4 3 3 2 2 2 4 3 2 2" xfId="36457"/>
    <cellStyle name="常规 4 3 3 2 2 2 4 3 3" xfId="27033"/>
    <cellStyle name="常规 4 3 3 2 2 2 4 4" xfId="11337"/>
    <cellStyle name="常规 4 3 3 2 2 2 4 4 2" xfId="30185"/>
    <cellStyle name="常规 4 3 3 2 2 2 4 5" xfId="20761"/>
    <cellStyle name="常规 4 3 3 2 2 2 5" xfId="2701"/>
    <cellStyle name="常规 4 3 3 2 2 2 5 2" xfId="5837"/>
    <cellStyle name="常规 4 3 3 2 2 2 5 2 2" xfId="15257"/>
    <cellStyle name="常规 4 3 3 2 2 2 5 2 2 2" xfId="34105"/>
    <cellStyle name="常规 4 3 3 2 2 2 5 2 3" xfId="24681"/>
    <cellStyle name="常规 4 3 3 2 2 2 5 3" xfId="8973"/>
    <cellStyle name="常规 4 3 3 2 2 2 5 3 2" xfId="18393"/>
    <cellStyle name="常规 4 3 3 2 2 2 5 3 2 2" xfId="37241"/>
    <cellStyle name="常规 4 3 3 2 2 2 5 3 3" xfId="27817"/>
    <cellStyle name="常规 4 3 3 2 2 2 5 4" xfId="12121"/>
    <cellStyle name="常规 4 3 3 2 2 2 5 4 2" xfId="30969"/>
    <cellStyle name="常规 4 3 3 2 2 2 5 5" xfId="21545"/>
    <cellStyle name="常规 4 3 3 2 2 2 6" xfId="3494"/>
    <cellStyle name="常规 4 3 3 2 2 2 6 2" xfId="12914"/>
    <cellStyle name="常规 4 3 3 2 2 2 6 2 2" xfId="31762"/>
    <cellStyle name="常规 4 3 3 2 2 2 6 3" xfId="22338"/>
    <cellStyle name="常规 4 3 3 2 2 2 7" xfId="6621"/>
    <cellStyle name="常规 4 3 3 2 2 2 7 2" xfId="16041"/>
    <cellStyle name="常规 4 3 3 2 2 2 7 2 2" xfId="34889"/>
    <cellStyle name="常规 4 3 3 2 2 2 7 3" xfId="25465"/>
    <cellStyle name="常规 4 3 3 2 2 2 8" xfId="9768"/>
    <cellStyle name="常规 4 3 3 2 2 2 8 2" xfId="28613"/>
    <cellStyle name="常规 4 3 3 2 2 2 9" xfId="19191"/>
    <cellStyle name="常规 4 3 3 2 2 3" xfId="740"/>
    <cellStyle name="常规 4 3 3 2 2 3 2" xfId="1524"/>
    <cellStyle name="常规 4 3 3 2 2 3 2 2" xfId="4660"/>
    <cellStyle name="常规 4 3 3 2 2 3 2 2 2" xfId="14080"/>
    <cellStyle name="常规 4 3 3 2 2 3 2 2 2 2" xfId="32928"/>
    <cellStyle name="常规 4 3 3 2 2 3 2 2 3" xfId="23504"/>
    <cellStyle name="常规 4 3 3 2 2 3 2 3" xfId="7796"/>
    <cellStyle name="常规 4 3 3 2 2 3 2 3 2" xfId="17216"/>
    <cellStyle name="常规 4 3 3 2 2 3 2 3 2 2" xfId="36064"/>
    <cellStyle name="常规 4 3 3 2 2 3 2 3 3" xfId="26640"/>
    <cellStyle name="常规 4 3 3 2 2 3 2 4" xfId="10944"/>
    <cellStyle name="常规 4 3 3 2 2 3 2 4 2" xfId="29792"/>
    <cellStyle name="常规 4 3 3 2 2 3 2 5" xfId="20368"/>
    <cellStyle name="常规 4 3 3 2 2 3 3" xfId="2308"/>
    <cellStyle name="常规 4 3 3 2 2 3 3 2" xfId="5444"/>
    <cellStyle name="常规 4 3 3 2 2 3 3 2 2" xfId="14864"/>
    <cellStyle name="常规 4 3 3 2 2 3 3 2 2 2" xfId="33712"/>
    <cellStyle name="常规 4 3 3 2 2 3 3 2 3" xfId="24288"/>
    <cellStyle name="常规 4 3 3 2 2 3 3 3" xfId="8580"/>
    <cellStyle name="常规 4 3 3 2 2 3 3 3 2" xfId="18000"/>
    <cellStyle name="常规 4 3 3 2 2 3 3 3 2 2" xfId="36848"/>
    <cellStyle name="常规 4 3 3 2 2 3 3 3 3" xfId="27424"/>
    <cellStyle name="常规 4 3 3 2 2 3 3 4" xfId="11728"/>
    <cellStyle name="常规 4 3 3 2 2 3 3 4 2" xfId="30576"/>
    <cellStyle name="常规 4 3 3 2 2 3 3 5" xfId="21152"/>
    <cellStyle name="常规 4 3 3 2 2 3 4" xfId="3092"/>
    <cellStyle name="常规 4 3 3 2 2 3 4 2" xfId="6228"/>
    <cellStyle name="常规 4 3 3 2 2 3 4 2 2" xfId="15648"/>
    <cellStyle name="常规 4 3 3 2 2 3 4 2 2 2" xfId="34496"/>
    <cellStyle name="常规 4 3 3 2 2 3 4 2 3" xfId="25072"/>
    <cellStyle name="常规 4 3 3 2 2 3 4 3" xfId="9364"/>
    <cellStyle name="常规 4 3 3 2 2 3 4 3 2" xfId="18784"/>
    <cellStyle name="常规 4 3 3 2 2 3 4 3 2 2" xfId="37632"/>
    <cellStyle name="常规 4 3 3 2 2 3 4 3 3" xfId="28208"/>
    <cellStyle name="常规 4 3 3 2 2 3 4 4" xfId="12512"/>
    <cellStyle name="常规 4 3 3 2 2 3 4 4 2" xfId="31360"/>
    <cellStyle name="常规 4 3 3 2 2 3 4 5" xfId="21936"/>
    <cellStyle name="常规 4 3 3 2 2 3 5" xfId="3876"/>
    <cellStyle name="常规 4 3 3 2 2 3 5 2" xfId="13296"/>
    <cellStyle name="常规 4 3 3 2 2 3 5 2 2" xfId="32144"/>
    <cellStyle name="常规 4 3 3 2 2 3 5 3" xfId="22720"/>
    <cellStyle name="常规 4 3 3 2 2 3 6" xfId="7012"/>
    <cellStyle name="常规 4 3 3 2 2 3 6 2" xfId="16432"/>
    <cellStyle name="常规 4 3 3 2 2 3 6 2 2" xfId="35280"/>
    <cellStyle name="常规 4 3 3 2 2 3 6 3" xfId="25856"/>
    <cellStyle name="常规 4 3 3 2 2 3 7" xfId="10160"/>
    <cellStyle name="常规 4 3 3 2 2 3 7 2" xfId="29008"/>
    <cellStyle name="常规 4 3 3 2 2 3 8" xfId="19584"/>
    <cellStyle name="常规 4 3 3 2 2 4" xfId="1132"/>
    <cellStyle name="常规 4 3 3 2 2 4 2" xfId="4268"/>
    <cellStyle name="常规 4 3 3 2 2 4 2 2" xfId="13688"/>
    <cellStyle name="常规 4 3 3 2 2 4 2 2 2" xfId="32536"/>
    <cellStyle name="常规 4 3 3 2 2 4 2 3" xfId="23112"/>
    <cellStyle name="常规 4 3 3 2 2 4 3" xfId="7404"/>
    <cellStyle name="常规 4 3 3 2 2 4 3 2" xfId="16824"/>
    <cellStyle name="常规 4 3 3 2 2 4 3 2 2" xfId="35672"/>
    <cellStyle name="常规 4 3 3 2 2 4 3 3" xfId="26248"/>
    <cellStyle name="常规 4 3 3 2 2 4 4" xfId="10552"/>
    <cellStyle name="常规 4 3 3 2 2 4 4 2" xfId="29400"/>
    <cellStyle name="常规 4 3 3 2 2 4 5" xfId="19976"/>
    <cellStyle name="常规 4 3 3 2 2 5" xfId="1916"/>
    <cellStyle name="常规 4 3 3 2 2 5 2" xfId="5052"/>
    <cellStyle name="常规 4 3 3 2 2 5 2 2" xfId="14472"/>
    <cellStyle name="常规 4 3 3 2 2 5 2 2 2" xfId="33320"/>
    <cellStyle name="常规 4 3 3 2 2 5 2 3" xfId="23896"/>
    <cellStyle name="常规 4 3 3 2 2 5 3" xfId="8188"/>
    <cellStyle name="常规 4 3 3 2 2 5 3 2" xfId="17608"/>
    <cellStyle name="常规 4 3 3 2 2 5 3 2 2" xfId="36456"/>
    <cellStyle name="常规 4 3 3 2 2 5 3 3" xfId="27032"/>
    <cellStyle name="常规 4 3 3 2 2 5 4" xfId="11336"/>
    <cellStyle name="常规 4 3 3 2 2 5 4 2" xfId="30184"/>
    <cellStyle name="常规 4 3 3 2 2 5 5" xfId="20760"/>
    <cellStyle name="常规 4 3 3 2 2 6" xfId="2700"/>
    <cellStyle name="常规 4 3 3 2 2 6 2" xfId="5836"/>
    <cellStyle name="常规 4 3 3 2 2 6 2 2" xfId="15256"/>
    <cellStyle name="常规 4 3 3 2 2 6 2 2 2" xfId="34104"/>
    <cellStyle name="常规 4 3 3 2 2 6 2 3" xfId="24680"/>
    <cellStyle name="常规 4 3 3 2 2 6 3" xfId="8972"/>
    <cellStyle name="常规 4 3 3 2 2 6 3 2" xfId="18392"/>
    <cellStyle name="常规 4 3 3 2 2 6 3 2 2" xfId="37240"/>
    <cellStyle name="常规 4 3 3 2 2 6 3 3" xfId="27816"/>
    <cellStyle name="常规 4 3 3 2 2 6 4" xfId="12120"/>
    <cellStyle name="常规 4 3 3 2 2 6 4 2" xfId="30968"/>
    <cellStyle name="常规 4 3 3 2 2 6 5" xfId="21544"/>
    <cellStyle name="常规 4 3 3 2 2 7" xfId="3493"/>
    <cellStyle name="常规 4 3 3 2 2 7 2" xfId="12913"/>
    <cellStyle name="常规 4 3 3 2 2 7 2 2" xfId="31761"/>
    <cellStyle name="常规 4 3 3 2 2 7 3" xfId="22337"/>
    <cellStyle name="常规 4 3 3 2 2 8" xfId="6620"/>
    <cellStyle name="常规 4 3 3 2 2 8 2" xfId="16040"/>
    <cellStyle name="常规 4 3 3 2 2 8 2 2" xfId="34888"/>
    <cellStyle name="常规 4 3 3 2 2 8 3" xfId="25464"/>
    <cellStyle name="常规 4 3 3 2 2 9" xfId="9767"/>
    <cellStyle name="常规 4 3 3 2 2 9 2" xfId="28612"/>
    <cellStyle name="常规 4 3 3 2 3" xfId="346"/>
    <cellStyle name="常规 4 3 3 2 3 2" xfId="742"/>
    <cellStyle name="常规 4 3 3 2 3 2 2" xfId="1526"/>
    <cellStyle name="常规 4 3 3 2 3 2 2 2" xfId="4662"/>
    <cellStyle name="常规 4 3 3 2 3 2 2 2 2" xfId="14082"/>
    <cellStyle name="常规 4 3 3 2 3 2 2 2 2 2" xfId="32930"/>
    <cellStyle name="常规 4 3 3 2 3 2 2 2 3" xfId="23506"/>
    <cellStyle name="常规 4 3 3 2 3 2 2 3" xfId="7798"/>
    <cellStyle name="常规 4 3 3 2 3 2 2 3 2" xfId="17218"/>
    <cellStyle name="常规 4 3 3 2 3 2 2 3 2 2" xfId="36066"/>
    <cellStyle name="常规 4 3 3 2 3 2 2 3 3" xfId="26642"/>
    <cellStyle name="常规 4 3 3 2 3 2 2 4" xfId="10946"/>
    <cellStyle name="常规 4 3 3 2 3 2 2 4 2" xfId="29794"/>
    <cellStyle name="常规 4 3 3 2 3 2 2 5" xfId="20370"/>
    <cellStyle name="常规 4 3 3 2 3 2 3" xfId="2310"/>
    <cellStyle name="常规 4 3 3 2 3 2 3 2" xfId="5446"/>
    <cellStyle name="常规 4 3 3 2 3 2 3 2 2" xfId="14866"/>
    <cellStyle name="常规 4 3 3 2 3 2 3 2 2 2" xfId="33714"/>
    <cellStyle name="常规 4 3 3 2 3 2 3 2 3" xfId="24290"/>
    <cellStyle name="常规 4 3 3 2 3 2 3 3" xfId="8582"/>
    <cellStyle name="常规 4 3 3 2 3 2 3 3 2" xfId="18002"/>
    <cellStyle name="常规 4 3 3 2 3 2 3 3 2 2" xfId="36850"/>
    <cellStyle name="常规 4 3 3 2 3 2 3 3 3" xfId="27426"/>
    <cellStyle name="常规 4 3 3 2 3 2 3 4" xfId="11730"/>
    <cellStyle name="常规 4 3 3 2 3 2 3 4 2" xfId="30578"/>
    <cellStyle name="常规 4 3 3 2 3 2 3 5" xfId="21154"/>
    <cellStyle name="常规 4 3 3 2 3 2 4" xfId="3094"/>
    <cellStyle name="常规 4 3 3 2 3 2 4 2" xfId="6230"/>
    <cellStyle name="常规 4 3 3 2 3 2 4 2 2" xfId="15650"/>
    <cellStyle name="常规 4 3 3 2 3 2 4 2 2 2" xfId="34498"/>
    <cellStyle name="常规 4 3 3 2 3 2 4 2 3" xfId="25074"/>
    <cellStyle name="常规 4 3 3 2 3 2 4 3" xfId="9366"/>
    <cellStyle name="常规 4 3 3 2 3 2 4 3 2" xfId="18786"/>
    <cellStyle name="常规 4 3 3 2 3 2 4 3 2 2" xfId="37634"/>
    <cellStyle name="常规 4 3 3 2 3 2 4 3 3" xfId="28210"/>
    <cellStyle name="常规 4 3 3 2 3 2 4 4" xfId="12514"/>
    <cellStyle name="常规 4 3 3 2 3 2 4 4 2" xfId="31362"/>
    <cellStyle name="常规 4 3 3 2 3 2 4 5" xfId="21938"/>
    <cellStyle name="常规 4 3 3 2 3 2 5" xfId="3878"/>
    <cellStyle name="常规 4 3 3 2 3 2 5 2" xfId="13298"/>
    <cellStyle name="常规 4 3 3 2 3 2 5 2 2" xfId="32146"/>
    <cellStyle name="常规 4 3 3 2 3 2 5 3" xfId="22722"/>
    <cellStyle name="常规 4 3 3 2 3 2 6" xfId="7014"/>
    <cellStyle name="常规 4 3 3 2 3 2 6 2" xfId="16434"/>
    <cellStyle name="常规 4 3 3 2 3 2 6 2 2" xfId="35282"/>
    <cellStyle name="常规 4 3 3 2 3 2 6 3" xfId="25858"/>
    <cellStyle name="常规 4 3 3 2 3 2 7" xfId="10162"/>
    <cellStyle name="常规 4 3 3 2 3 2 7 2" xfId="29010"/>
    <cellStyle name="常规 4 3 3 2 3 2 8" xfId="19586"/>
    <cellStyle name="常规 4 3 3 2 3 3" xfId="1134"/>
    <cellStyle name="常规 4 3 3 2 3 3 2" xfId="4270"/>
    <cellStyle name="常规 4 3 3 2 3 3 2 2" xfId="13690"/>
    <cellStyle name="常规 4 3 3 2 3 3 2 2 2" xfId="32538"/>
    <cellStyle name="常规 4 3 3 2 3 3 2 3" xfId="23114"/>
    <cellStyle name="常规 4 3 3 2 3 3 3" xfId="7406"/>
    <cellStyle name="常规 4 3 3 2 3 3 3 2" xfId="16826"/>
    <cellStyle name="常规 4 3 3 2 3 3 3 2 2" xfId="35674"/>
    <cellStyle name="常规 4 3 3 2 3 3 3 3" xfId="26250"/>
    <cellStyle name="常规 4 3 3 2 3 3 4" xfId="10554"/>
    <cellStyle name="常规 4 3 3 2 3 3 4 2" xfId="29402"/>
    <cellStyle name="常规 4 3 3 2 3 3 5" xfId="19978"/>
    <cellStyle name="常规 4 3 3 2 3 4" xfId="1918"/>
    <cellStyle name="常规 4 3 3 2 3 4 2" xfId="5054"/>
    <cellStyle name="常规 4 3 3 2 3 4 2 2" xfId="14474"/>
    <cellStyle name="常规 4 3 3 2 3 4 2 2 2" xfId="33322"/>
    <cellStyle name="常规 4 3 3 2 3 4 2 3" xfId="23898"/>
    <cellStyle name="常规 4 3 3 2 3 4 3" xfId="8190"/>
    <cellStyle name="常规 4 3 3 2 3 4 3 2" xfId="17610"/>
    <cellStyle name="常规 4 3 3 2 3 4 3 2 2" xfId="36458"/>
    <cellStyle name="常规 4 3 3 2 3 4 3 3" xfId="27034"/>
    <cellStyle name="常规 4 3 3 2 3 4 4" xfId="11338"/>
    <cellStyle name="常规 4 3 3 2 3 4 4 2" xfId="30186"/>
    <cellStyle name="常规 4 3 3 2 3 4 5" xfId="20762"/>
    <cellStyle name="常规 4 3 3 2 3 5" xfId="2702"/>
    <cellStyle name="常规 4 3 3 2 3 5 2" xfId="5838"/>
    <cellStyle name="常规 4 3 3 2 3 5 2 2" xfId="15258"/>
    <cellStyle name="常规 4 3 3 2 3 5 2 2 2" xfId="34106"/>
    <cellStyle name="常规 4 3 3 2 3 5 2 3" xfId="24682"/>
    <cellStyle name="常规 4 3 3 2 3 5 3" xfId="8974"/>
    <cellStyle name="常规 4 3 3 2 3 5 3 2" xfId="18394"/>
    <cellStyle name="常规 4 3 3 2 3 5 3 2 2" xfId="37242"/>
    <cellStyle name="常规 4 3 3 2 3 5 3 3" xfId="27818"/>
    <cellStyle name="常规 4 3 3 2 3 5 4" xfId="12122"/>
    <cellStyle name="常规 4 3 3 2 3 5 4 2" xfId="30970"/>
    <cellStyle name="常规 4 3 3 2 3 5 5" xfId="21546"/>
    <cellStyle name="常规 4 3 3 2 3 6" xfId="3495"/>
    <cellStyle name="常规 4 3 3 2 3 6 2" xfId="12915"/>
    <cellStyle name="常规 4 3 3 2 3 6 2 2" xfId="31763"/>
    <cellStyle name="常规 4 3 3 2 3 6 3" xfId="22339"/>
    <cellStyle name="常规 4 3 3 2 3 7" xfId="6622"/>
    <cellStyle name="常规 4 3 3 2 3 7 2" xfId="16042"/>
    <cellStyle name="常规 4 3 3 2 3 7 2 2" xfId="34890"/>
    <cellStyle name="常规 4 3 3 2 3 7 3" xfId="25466"/>
    <cellStyle name="常规 4 3 3 2 3 8" xfId="9769"/>
    <cellStyle name="常规 4 3 3 2 3 8 2" xfId="28614"/>
    <cellStyle name="常规 4 3 3 2 3 9" xfId="19192"/>
    <cellStyle name="常规 4 3 3 2 4" xfId="739"/>
    <cellStyle name="常规 4 3 3 2 4 2" xfId="1523"/>
    <cellStyle name="常规 4 3 3 2 4 2 2" xfId="4659"/>
    <cellStyle name="常规 4 3 3 2 4 2 2 2" xfId="14079"/>
    <cellStyle name="常规 4 3 3 2 4 2 2 2 2" xfId="32927"/>
    <cellStyle name="常规 4 3 3 2 4 2 2 3" xfId="23503"/>
    <cellStyle name="常规 4 3 3 2 4 2 3" xfId="7795"/>
    <cellStyle name="常规 4 3 3 2 4 2 3 2" xfId="17215"/>
    <cellStyle name="常规 4 3 3 2 4 2 3 2 2" xfId="36063"/>
    <cellStyle name="常规 4 3 3 2 4 2 3 3" xfId="26639"/>
    <cellStyle name="常规 4 3 3 2 4 2 4" xfId="10943"/>
    <cellStyle name="常规 4 3 3 2 4 2 4 2" xfId="29791"/>
    <cellStyle name="常规 4 3 3 2 4 2 5" xfId="20367"/>
    <cellStyle name="常规 4 3 3 2 4 3" xfId="2307"/>
    <cellStyle name="常规 4 3 3 2 4 3 2" xfId="5443"/>
    <cellStyle name="常规 4 3 3 2 4 3 2 2" xfId="14863"/>
    <cellStyle name="常规 4 3 3 2 4 3 2 2 2" xfId="33711"/>
    <cellStyle name="常规 4 3 3 2 4 3 2 3" xfId="24287"/>
    <cellStyle name="常规 4 3 3 2 4 3 3" xfId="8579"/>
    <cellStyle name="常规 4 3 3 2 4 3 3 2" xfId="17999"/>
    <cellStyle name="常规 4 3 3 2 4 3 3 2 2" xfId="36847"/>
    <cellStyle name="常规 4 3 3 2 4 3 3 3" xfId="27423"/>
    <cellStyle name="常规 4 3 3 2 4 3 4" xfId="11727"/>
    <cellStyle name="常规 4 3 3 2 4 3 4 2" xfId="30575"/>
    <cellStyle name="常规 4 3 3 2 4 3 5" xfId="21151"/>
    <cellStyle name="常规 4 3 3 2 4 4" xfId="3091"/>
    <cellStyle name="常规 4 3 3 2 4 4 2" xfId="6227"/>
    <cellStyle name="常规 4 3 3 2 4 4 2 2" xfId="15647"/>
    <cellStyle name="常规 4 3 3 2 4 4 2 2 2" xfId="34495"/>
    <cellStyle name="常规 4 3 3 2 4 4 2 3" xfId="25071"/>
    <cellStyle name="常规 4 3 3 2 4 4 3" xfId="9363"/>
    <cellStyle name="常规 4 3 3 2 4 4 3 2" xfId="18783"/>
    <cellStyle name="常规 4 3 3 2 4 4 3 2 2" xfId="37631"/>
    <cellStyle name="常规 4 3 3 2 4 4 3 3" xfId="28207"/>
    <cellStyle name="常规 4 3 3 2 4 4 4" xfId="12511"/>
    <cellStyle name="常规 4 3 3 2 4 4 4 2" xfId="31359"/>
    <cellStyle name="常规 4 3 3 2 4 4 5" xfId="21935"/>
    <cellStyle name="常规 4 3 3 2 4 5" xfId="3875"/>
    <cellStyle name="常规 4 3 3 2 4 5 2" xfId="13295"/>
    <cellStyle name="常规 4 3 3 2 4 5 2 2" xfId="32143"/>
    <cellStyle name="常规 4 3 3 2 4 5 3" xfId="22719"/>
    <cellStyle name="常规 4 3 3 2 4 6" xfId="7011"/>
    <cellStyle name="常规 4 3 3 2 4 6 2" xfId="16431"/>
    <cellStyle name="常规 4 3 3 2 4 6 2 2" xfId="35279"/>
    <cellStyle name="常规 4 3 3 2 4 6 3" xfId="25855"/>
    <cellStyle name="常规 4 3 3 2 4 7" xfId="10159"/>
    <cellStyle name="常规 4 3 3 2 4 7 2" xfId="29007"/>
    <cellStyle name="常规 4 3 3 2 4 8" xfId="19583"/>
    <cellStyle name="常规 4 3 3 2 5" xfId="1131"/>
    <cellStyle name="常规 4 3 3 2 5 2" xfId="4267"/>
    <cellStyle name="常规 4 3 3 2 5 2 2" xfId="13687"/>
    <cellStyle name="常规 4 3 3 2 5 2 2 2" xfId="32535"/>
    <cellStyle name="常规 4 3 3 2 5 2 3" xfId="23111"/>
    <cellStyle name="常规 4 3 3 2 5 3" xfId="7403"/>
    <cellStyle name="常规 4 3 3 2 5 3 2" xfId="16823"/>
    <cellStyle name="常规 4 3 3 2 5 3 2 2" xfId="35671"/>
    <cellStyle name="常规 4 3 3 2 5 3 3" xfId="26247"/>
    <cellStyle name="常规 4 3 3 2 5 4" xfId="10551"/>
    <cellStyle name="常规 4 3 3 2 5 4 2" xfId="29399"/>
    <cellStyle name="常规 4 3 3 2 5 5" xfId="19975"/>
    <cellStyle name="常规 4 3 3 2 6" xfId="1915"/>
    <cellStyle name="常规 4 3 3 2 6 2" xfId="5051"/>
    <cellStyle name="常规 4 3 3 2 6 2 2" xfId="14471"/>
    <cellStyle name="常规 4 3 3 2 6 2 2 2" xfId="33319"/>
    <cellStyle name="常规 4 3 3 2 6 2 3" xfId="23895"/>
    <cellStyle name="常规 4 3 3 2 6 3" xfId="8187"/>
    <cellStyle name="常规 4 3 3 2 6 3 2" xfId="17607"/>
    <cellStyle name="常规 4 3 3 2 6 3 2 2" xfId="36455"/>
    <cellStyle name="常规 4 3 3 2 6 3 3" xfId="27031"/>
    <cellStyle name="常规 4 3 3 2 6 4" xfId="11335"/>
    <cellStyle name="常规 4 3 3 2 6 4 2" xfId="30183"/>
    <cellStyle name="常规 4 3 3 2 6 5" xfId="20759"/>
    <cellStyle name="常规 4 3 3 2 7" xfId="2699"/>
    <cellStyle name="常规 4 3 3 2 7 2" xfId="5835"/>
    <cellStyle name="常规 4 3 3 2 7 2 2" xfId="15255"/>
    <cellStyle name="常规 4 3 3 2 7 2 2 2" xfId="34103"/>
    <cellStyle name="常规 4 3 3 2 7 2 3" xfId="24679"/>
    <cellStyle name="常规 4 3 3 2 7 3" xfId="8971"/>
    <cellStyle name="常规 4 3 3 2 7 3 2" xfId="18391"/>
    <cellStyle name="常规 4 3 3 2 7 3 2 2" xfId="37239"/>
    <cellStyle name="常规 4 3 3 2 7 3 3" xfId="27815"/>
    <cellStyle name="常规 4 3 3 2 7 4" xfId="12119"/>
    <cellStyle name="常规 4 3 3 2 7 4 2" xfId="30967"/>
    <cellStyle name="常规 4 3 3 2 7 5" xfId="21543"/>
    <cellStyle name="常规 4 3 3 2 8" xfId="3235"/>
    <cellStyle name="常规 4 3 3 2 8 2" xfId="12655"/>
    <cellStyle name="常规 4 3 3 2 8 2 2" xfId="31503"/>
    <cellStyle name="常规 4 3 3 2 8 3" xfId="22079"/>
    <cellStyle name="常规 4 3 3 2 9" xfId="6619"/>
    <cellStyle name="常规 4 3 3 2 9 2" xfId="16039"/>
    <cellStyle name="常规 4 3 3 2 9 2 2" xfId="34887"/>
    <cellStyle name="常规 4 3 3 2 9 3" xfId="25463"/>
    <cellStyle name="常规 4 3 3 3" xfId="347"/>
    <cellStyle name="常规 4 3 3 3 10" xfId="19193"/>
    <cellStyle name="常规 4 3 3 3 2" xfId="348"/>
    <cellStyle name="常规 4 3 3 3 2 2" xfId="744"/>
    <cellStyle name="常规 4 3 3 3 2 2 2" xfId="1528"/>
    <cellStyle name="常规 4 3 3 3 2 2 2 2" xfId="4664"/>
    <cellStyle name="常规 4 3 3 3 2 2 2 2 2" xfId="14084"/>
    <cellStyle name="常规 4 3 3 3 2 2 2 2 2 2" xfId="32932"/>
    <cellStyle name="常规 4 3 3 3 2 2 2 2 3" xfId="23508"/>
    <cellStyle name="常规 4 3 3 3 2 2 2 3" xfId="7800"/>
    <cellStyle name="常规 4 3 3 3 2 2 2 3 2" xfId="17220"/>
    <cellStyle name="常规 4 3 3 3 2 2 2 3 2 2" xfId="36068"/>
    <cellStyle name="常规 4 3 3 3 2 2 2 3 3" xfId="26644"/>
    <cellStyle name="常规 4 3 3 3 2 2 2 4" xfId="10948"/>
    <cellStyle name="常规 4 3 3 3 2 2 2 4 2" xfId="29796"/>
    <cellStyle name="常规 4 3 3 3 2 2 2 5" xfId="20372"/>
    <cellStyle name="常规 4 3 3 3 2 2 3" xfId="2312"/>
    <cellStyle name="常规 4 3 3 3 2 2 3 2" xfId="5448"/>
    <cellStyle name="常规 4 3 3 3 2 2 3 2 2" xfId="14868"/>
    <cellStyle name="常规 4 3 3 3 2 2 3 2 2 2" xfId="33716"/>
    <cellStyle name="常规 4 3 3 3 2 2 3 2 3" xfId="24292"/>
    <cellStyle name="常规 4 3 3 3 2 2 3 3" xfId="8584"/>
    <cellStyle name="常规 4 3 3 3 2 2 3 3 2" xfId="18004"/>
    <cellStyle name="常规 4 3 3 3 2 2 3 3 2 2" xfId="36852"/>
    <cellStyle name="常规 4 3 3 3 2 2 3 3 3" xfId="27428"/>
    <cellStyle name="常规 4 3 3 3 2 2 3 4" xfId="11732"/>
    <cellStyle name="常规 4 3 3 3 2 2 3 4 2" xfId="30580"/>
    <cellStyle name="常规 4 3 3 3 2 2 3 5" xfId="21156"/>
    <cellStyle name="常规 4 3 3 3 2 2 4" xfId="3096"/>
    <cellStyle name="常规 4 3 3 3 2 2 4 2" xfId="6232"/>
    <cellStyle name="常规 4 3 3 3 2 2 4 2 2" xfId="15652"/>
    <cellStyle name="常规 4 3 3 3 2 2 4 2 2 2" xfId="34500"/>
    <cellStyle name="常规 4 3 3 3 2 2 4 2 3" xfId="25076"/>
    <cellStyle name="常规 4 3 3 3 2 2 4 3" xfId="9368"/>
    <cellStyle name="常规 4 3 3 3 2 2 4 3 2" xfId="18788"/>
    <cellStyle name="常规 4 3 3 3 2 2 4 3 2 2" xfId="37636"/>
    <cellStyle name="常规 4 3 3 3 2 2 4 3 3" xfId="28212"/>
    <cellStyle name="常规 4 3 3 3 2 2 4 4" xfId="12516"/>
    <cellStyle name="常规 4 3 3 3 2 2 4 4 2" xfId="31364"/>
    <cellStyle name="常规 4 3 3 3 2 2 4 5" xfId="21940"/>
    <cellStyle name="常规 4 3 3 3 2 2 5" xfId="3880"/>
    <cellStyle name="常规 4 3 3 3 2 2 5 2" xfId="13300"/>
    <cellStyle name="常规 4 3 3 3 2 2 5 2 2" xfId="32148"/>
    <cellStyle name="常规 4 3 3 3 2 2 5 3" xfId="22724"/>
    <cellStyle name="常规 4 3 3 3 2 2 6" xfId="7016"/>
    <cellStyle name="常规 4 3 3 3 2 2 6 2" xfId="16436"/>
    <cellStyle name="常规 4 3 3 3 2 2 6 2 2" xfId="35284"/>
    <cellStyle name="常规 4 3 3 3 2 2 6 3" xfId="25860"/>
    <cellStyle name="常规 4 3 3 3 2 2 7" xfId="10164"/>
    <cellStyle name="常规 4 3 3 3 2 2 7 2" xfId="29012"/>
    <cellStyle name="常规 4 3 3 3 2 2 8" xfId="19588"/>
    <cellStyle name="常规 4 3 3 3 2 3" xfId="1136"/>
    <cellStyle name="常规 4 3 3 3 2 3 2" xfId="4272"/>
    <cellStyle name="常规 4 3 3 3 2 3 2 2" xfId="13692"/>
    <cellStyle name="常规 4 3 3 3 2 3 2 2 2" xfId="32540"/>
    <cellStyle name="常规 4 3 3 3 2 3 2 3" xfId="23116"/>
    <cellStyle name="常规 4 3 3 3 2 3 3" xfId="7408"/>
    <cellStyle name="常规 4 3 3 3 2 3 3 2" xfId="16828"/>
    <cellStyle name="常规 4 3 3 3 2 3 3 2 2" xfId="35676"/>
    <cellStyle name="常规 4 3 3 3 2 3 3 3" xfId="26252"/>
    <cellStyle name="常规 4 3 3 3 2 3 4" xfId="10556"/>
    <cellStyle name="常规 4 3 3 3 2 3 4 2" xfId="29404"/>
    <cellStyle name="常规 4 3 3 3 2 3 5" xfId="19980"/>
    <cellStyle name="常规 4 3 3 3 2 4" xfId="1920"/>
    <cellStyle name="常规 4 3 3 3 2 4 2" xfId="5056"/>
    <cellStyle name="常规 4 3 3 3 2 4 2 2" xfId="14476"/>
    <cellStyle name="常规 4 3 3 3 2 4 2 2 2" xfId="33324"/>
    <cellStyle name="常规 4 3 3 3 2 4 2 3" xfId="23900"/>
    <cellStyle name="常规 4 3 3 3 2 4 3" xfId="8192"/>
    <cellStyle name="常规 4 3 3 3 2 4 3 2" xfId="17612"/>
    <cellStyle name="常规 4 3 3 3 2 4 3 2 2" xfId="36460"/>
    <cellStyle name="常规 4 3 3 3 2 4 3 3" xfId="27036"/>
    <cellStyle name="常规 4 3 3 3 2 4 4" xfId="11340"/>
    <cellStyle name="常规 4 3 3 3 2 4 4 2" xfId="30188"/>
    <cellStyle name="常规 4 3 3 3 2 4 5" xfId="20764"/>
    <cellStyle name="常规 4 3 3 3 2 5" xfId="2704"/>
    <cellStyle name="常规 4 3 3 3 2 5 2" xfId="5840"/>
    <cellStyle name="常规 4 3 3 3 2 5 2 2" xfId="15260"/>
    <cellStyle name="常规 4 3 3 3 2 5 2 2 2" xfId="34108"/>
    <cellStyle name="常规 4 3 3 3 2 5 2 3" xfId="24684"/>
    <cellStyle name="常规 4 3 3 3 2 5 3" xfId="8976"/>
    <cellStyle name="常规 4 3 3 3 2 5 3 2" xfId="18396"/>
    <cellStyle name="常规 4 3 3 3 2 5 3 2 2" xfId="37244"/>
    <cellStyle name="常规 4 3 3 3 2 5 3 3" xfId="27820"/>
    <cellStyle name="常规 4 3 3 3 2 5 4" xfId="12124"/>
    <cellStyle name="常规 4 3 3 3 2 5 4 2" xfId="30972"/>
    <cellStyle name="常规 4 3 3 3 2 5 5" xfId="21548"/>
    <cellStyle name="常规 4 3 3 3 2 6" xfId="3497"/>
    <cellStyle name="常规 4 3 3 3 2 6 2" xfId="12917"/>
    <cellStyle name="常规 4 3 3 3 2 6 2 2" xfId="31765"/>
    <cellStyle name="常规 4 3 3 3 2 6 3" xfId="22341"/>
    <cellStyle name="常规 4 3 3 3 2 7" xfId="6624"/>
    <cellStyle name="常规 4 3 3 3 2 7 2" xfId="16044"/>
    <cellStyle name="常规 4 3 3 3 2 7 2 2" xfId="34892"/>
    <cellStyle name="常规 4 3 3 3 2 7 3" xfId="25468"/>
    <cellStyle name="常规 4 3 3 3 2 8" xfId="9771"/>
    <cellStyle name="常规 4 3 3 3 2 8 2" xfId="28616"/>
    <cellStyle name="常规 4 3 3 3 2 9" xfId="19194"/>
    <cellStyle name="常规 4 3 3 3 3" xfId="743"/>
    <cellStyle name="常规 4 3 3 3 3 2" xfId="1527"/>
    <cellStyle name="常规 4 3 3 3 3 2 2" xfId="4663"/>
    <cellStyle name="常规 4 3 3 3 3 2 2 2" xfId="14083"/>
    <cellStyle name="常规 4 3 3 3 3 2 2 2 2" xfId="32931"/>
    <cellStyle name="常规 4 3 3 3 3 2 2 3" xfId="23507"/>
    <cellStyle name="常规 4 3 3 3 3 2 3" xfId="7799"/>
    <cellStyle name="常规 4 3 3 3 3 2 3 2" xfId="17219"/>
    <cellStyle name="常规 4 3 3 3 3 2 3 2 2" xfId="36067"/>
    <cellStyle name="常规 4 3 3 3 3 2 3 3" xfId="26643"/>
    <cellStyle name="常规 4 3 3 3 3 2 4" xfId="10947"/>
    <cellStyle name="常规 4 3 3 3 3 2 4 2" xfId="29795"/>
    <cellStyle name="常规 4 3 3 3 3 2 5" xfId="20371"/>
    <cellStyle name="常规 4 3 3 3 3 3" xfId="2311"/>
    <cellStyle name="常规 4 3 3 3 3 3 2" xfId="5447"/>
    <cellStyle name="常规 4 3 3 3 3 3 2 2" xfId="14867"/>
    <cellStyle name="常规 4 3 3 3 3 3 2 2 2" xfId="33715"/>
    <cellStyle name="常规 4 3 3 3 3 3 2 3" xfId="24291"/>
    <cellStyle name="常规 4 3 3 3 3 3 3" xfId="8583"/>
    <cellStyle name="常规 4 3 3 3 3 3 3 2" xfId="18003"/>
    <cellStyle name="常规 4 3 3 3 3 3 3 2 2" xfId="36851"/>
    <cellStyle name="常规 4 3 3 3 3 3 3 3" xfId="27427"/>
    <cellStyle name="常规 4 3 3 3 3 3 4" xfId="11731"/>
    <cellStyle name="常规 4 3 3 3 3 3 4 2" xfId="30579"/>
    <cellStyle name="常规 4 3 3 3 3 3 5" xfId="21155"/>
    <cellStyle name="常规 4 3 3 3 3 4" xfId="3095"/>
    <cellStyle name="常规 4 3 3 3 3 4 2" xfId="6231"/>
    <cellStyle name="常规 4 3 3 3 3 4 2 2" xfId="15651"/>
    <cellStyle name="常规 4 3 3 3 3 4 2 2 2" xfId="34499"/>
    <cellStyle name="常规 4 3 3 3 3 4 2 3" xfId="25075"/>
    <cellStyle name="常规 4 3 3 3 3 4 3" xfId="9367"/>
    <cellStyle name="常规 4 3 3 3 3 4 3 2" xfId="18787"/>
    <cellStyle name="常规 4 3 3 3 3 4 3 2 2" xfId="37635"/>
    <cellStyle name="常规 4 3 3 3 3 4 3 3" xfId="28211"/>
    <cellStyle name="常规 4 3 3 3 3 4 4" xfId="12515"/>
    <cellStyle name="常规 4 3 3 3 3 4 4 2" xfId="31363"/>
    <cellStyle name="常规 4 3 3 3 3 4 5" xfId="21939"/>
    <cellStyle name="常规 4 3 3 3 3 5" xfId="3879"/>
    <cellStyle name="常规 4 3 3 3 3 5 2" xfId="13299"/>
    <cellStyle name="常规 4 3 3 3 3 5 2 2" xfId="32147"/>
    <cellStyle name="常规 4 3 3 3 3 5 3" xfId="22723"/>
    <cellStyle name="常规 4 3 3 3 3 6" xfId="7015"/>
    <cellStyle name="常规 4 3 3 3 3 6 2" xfId="16435"/>
    <cellStyle name="常规 4 3 3 3 3 6 2 2" xfId="35283"/>
    <cellStyle name="常规 4 3 3 3 3 6 3" xfId="25859"/>
    <cellStyle name="常规 4 3 3 3 3 7" xfId="10163"/>
    <cellStyle name="常规 4 3 3 3 3 7 2" xfId="29011"/>
    <cellStyle name="常规 4 3 3 3 3 8" xfId="19587"/>
    <cellStyle name="常规 4 3 3 3 4" xfId="1135"/>
    <cellStyle name="常规 4 3 3 3 4 2" xfId="4271"/>
    <cellStyle name="常规 4 3 3 3 4 2 2" xfId="13691"/>
    <cellStyle name="常规 4 3 3 3 4 2 2 2" xfId="32539"/>
    <cellStyle name="常规 4 3 3 3 4 2 3" xfId="23115"/>
    <cellStyle name="常规 4 3 3 3 4 3" xfId="7407"/>
    <cellStyle name="常规 4 3 3 3 4 3 2" xfId="16827"/>
    <cellStyle name="常规 4 3 3 3 4 3 2 2" xfId="35675"/>
    <cellStyle name="常规 4 3 3 3 4 3 3" xfId="26251"/>
    <cellStyle name="常规 4 3 3 3 4 4" xfId="10555"/>
    <cellStyle name="常规 4 3 3 3 4 4 2" xfId="29403"/>
    <cellStyle name="常规 4 3 3 3 4 5" xfId="19979"/>
    <cellStyle name="常规 4 3 3 3 5" xfId="1919"/>
    <cellStyle name="常规 4 3 3 3 5 2" xfId="5055"/>
    <cellStyle name="常规 4 3 3 3 5 2 2" xfId="14475"/>
    <cellStyle name="常规 4 3 3 3 5 2 2 2" xfId="33323"/>
    <cellStyle name="常规 4 3 3 3 5 2 3" xfId="23899"/>
    <cellStyle name="常规 4 3 3 3 5 3" xfId="8191"/>
    <cellStyle name="常规 4 3 3 3 5 3 2" xfId="17611"/>
    <cellStyle name="常规 4 3 3 3 5 3 2 2" xfId="36459"/>
    <cellStyle name="常规 4 3 3 3 5 3 3" xfId="27035"/>
    <cellStyle name="常规 4 3 3 3 5 4" xfId="11339"/>
    <cellStyle name="常规 4 3 3 3 5 4 2" xfId="30187"/>
    <cellStyle name="常规 4 3 3 3 5 5" xfId="20763"/>
    <cellStyle name="常规 4 3 3 3 6" xfId="2703"/>
    <cellStyle name="常规 4 3 3 3 6 2" xfId="5839"/>
    <cellStyle name="常规 4 3 3 3 6 2 2" xfId="15259"/>
    <cellStyle name="常规 4 3 3 3 6 2 2 2" xfId="34107"/>
    <cellStyle name="常规 4 3 3 3 6 2 3" xfId="24683"/>
    <cellStyle name="常规 4 3 3 3 6 3" xfId="8975"/>
    <cellStyle name="常规 4 3 3 3 6 3 2" xfId="18395"/>
    <cellStyle name="常规 4 3 3 3 6 3 2 2" xfId="37243"/>
    <cellStyle name="常规 4 3 3 3 6 3 3" xfId="27819"/>
    <cellStyle name="常规 4 3 3 3 6 4" xfId="12123"/>
    <cellStyle name="常规 4 3 3 3 6 4 2" xfId="30971"/>
    <cellStyle name="常规 4 3 3 3 6 5" xfId="21547"/>
    <cellStyle name="常规 4 3 3 3 7" xfId="3496"/>
    <cellStyle name="常规 4 3 3 3 7 2" xfId="12916"/>
    <cellStyle name="常规 4 3 3 3 7 2 2" xfId="31764"/>
    <cellStyle name="常规 4 3 3 3 7 3" xfId="22340"/>
    <cellStyle name="常规 4 3 3 3 8" xfId="6623"/>
    <cellStyle name="常规 4 3 3 3 8 2" xfId="16043"/>
    <cellStyle name="常规 4 3 3 3 8 2 2" xfId="34891"/>
    <cellStyle name="常规 4 3 3 3 8 3" xfId="25467"/>
    <cellStyle name="常规 4 3 3 3 9" xfId="9770"/>
    <cellStyle name="常规 4 3 3 3 9 2" xfId="28615"/>
    <cellStyle name="常规 4 3 3 4" xfId="349"/>
    <cellStyle name="常规 4 3 3 4 2" xfId="745"/>
    <cellStyle name="常规 4 3 3 4 2 2" xfId="1529"/>
    <cellStyle name="常规 4 3 3 4 2 2 2" xfId="4665"/>
    <cellStyle name="常规 4 3 3 4 2 2 2 2" xfId="14085"/>
    <cellStyle name="常规 4 3 3 4 2 2 2 2 2" xfId="32933"/>
    <cellStyle name="常规 4 3 3 4 2 2 2 3" xfId="23509"/>
    <cellStyle name="常规 4 3 3 4 2 2 3" xfId="7801"/>
    <cellStyle name="常规 4 3 3 4 2 2 3 2" xfId="17221"/>
    <cellStyle name="常规 4 3 3 4 2 2 3 2 2" xfId="36069"/>
    <cellStyle name="常规 4 3 3 4 2 2 3 3" xfId="26645"/>
    <cellStyle name="常规 4 3 3 4 2 2 4" xfId="10949"/>
    <cellStyle name="常规 4 3 3 4 2 2 4 2" xfId="29797"/>
    <cellStyle name="常规 4 3 3 4 2 2 5" xfId="20373"/>
    <cellStyle name="常规 4 3 3 4 2 3" xfId="2313"/>
    <cellStyle name="常规 4 3 3 4 2 3 2" xfId="5449"/>
    <cellStyle name="常规 4 3 3 4 2 3 2 2" xfId="14869"/>
    <cellStyle name="常规 4 3 3 4 2 3 2 2 2" xfId="33717"/>
    <cellStyle name="常规 4 3 3 4 2 3 2 3" xfId="24293"/>
    <cellStyle name="常规 4 3 3 4 2 3 3" xfId="8585"/>
    <cellStyle name="常规 4 3 3 4 2 3 3 2" xfId="18005"/>
    <cellStyle name="常规 4 3 3 4 2 3 3 2 2" xfId="36853"/>
    <cellStyle name="常规 4 3 3 4 2 3 3 3" xfId="27429"/>
    <cellStyle name="常规 4 3 3 4 2 3 4" xfId="11733"/>
    <cellStyle name="常规 4 3 3 4 2 3 4 2" xfId="30581"/>
    <cellStyle name="常规 4 3 3 4 2 3 5" xfId="21157"/>
    <cellStyle name="常规 4 3 3 4 2 4" xfId="3097"/>
    <cellStyle name="常规 4 3 3 4 2 4 2" xfId="6233"/>
    <cellStyle name="常规 4 3 3 4 2 4 2 2" xfId="15653"/>
    <cellStyle name="常规 4 3 3 4 2 4 2 2 2" xfId="34501"/>
    <cellStyle name="常规 4 3 3 4 2 4 2 3" xfId="25077"/>
    <cellStyle name="常规 4 3 3 4 2 4 3" xfId="9369"/>
    <cellStyle name="常规 4 3 3 4 2 4 3 2" xfId="18789"/>
    <cellStyle name="常规 4 3 3 4 2 4 3 2 2" xfId="37637"/>
    <cellStyle name="常规 4 3 3 4 2 4 3 3" xfId="28213"/>
    <cellStyle name="常规 4 3 3 4 2 4 4" xfId="12517"/>
    <cellStyle name="常规 4 3 3 4 2 4 4 2" xfId="31365"/>
    <cellStyle name="常规 4 3 3 4 2 4 5" xfId="21941"/>
    <cellStyle name="常规 4 3 3 4 2 5" xfId="3881"/>
    <cellStyle name="常规 4 3 3 4 2 5 2" xfId="13301"/>
    <cellStyle name="常规 4 3 3 4 2 5 2 2" xfId="32149"/>
    <cellStyle name="常规 4 3 3 4 2 5 3" xfId="22725"/>
    <cellStyle name="常规 4 3 3 4 2 6" xfId="7017"/>
    <cellStyle name="常规 4 3 3 4 2 6 2" xfId="16437"/>
    <cellStyle name="常规 4 3 3 4 2 6 2 2" xfId="35285"/>
    <cellStyle name="常规 4 3 3 4 2 6 3" xfId="25861"/>
    <cellStyle name="常规 4 3 3 4 2 7" xfId="10165"/>
    <cellStyle name="常规 4 3 3 4 2 7 2" xfId="29013"/>
    <cellStyle name="常规 4 3 3 4 2 8" xfId="19589"/>
    <cellStyle name="常规 4 3 3 4 3" xfId="1137"/>
    <cellStyle name="常规 4 3 3 4 3 2" xfId="4273"/>
    <cellStyle name="常规 4 3 3 4 3 2 2" xfId="13693"/>
    <cellStyle name="常规 4 3 3 4 3 2 2 2" xfId="32541"/>
    <cellStyle name="常规 4 3 3 4 3 2 3" xfId="23117"/>
    <cellStyle name="常规 4 3 3 4 3 3" xfId="7409"/>
    <cellStyle name="常规 4 3 3 4 3 3 2" xfId="16829"/>
    <cellStyle name="常规 4 3 3 4 3 3 2 2" xfId="35677"/>
    <cellStyle name="常规 4 3 3 4 3 3 3" xfId="26253"/>
    <cellStyle name="常规 4 3 3 4 3 4" xfId="10557"/>
    <cellStyle name="常规 4 3 3 4 3 4 2" xfId="29405"/>
    <cellStyle name="常规 4 3 3 4 3 5" xfId="19981"/>
    <cellStyle name="常规 4 3 3 4 4" xfId="1921"/>
    <cellStyle name="常规 4 3 3 4 4 2" xfId="5057"/>
    <cellStyle name="常规 4 3 3 4 4 2 2" xfId="14477"/>
    <cellStyle name="常规 4 3 3 4 4 2 2 2" xfId="33325"/>
    <cellStyle name="常规 4 3 3 4 4 2 3" xfId="23901"/>
    <cellStyle name="常规 4 3 3 4 4 3" xfId="8193"/>
    <cellStyle name="常规 4 3 3 4 4 3 2" xfId="17613"/>
    <cellStyle name="常规 4 3 3 4 4 3 2 2" xfId="36461"/>
    <cellStyle name="常规 4 3 3 4 4 3 3" xfId="27037"/>
    <cellStyle name="常规 4 3 3 4 4 4" xfId="11341"/>
    <cellStyle name="常规 4 3 3 4 4 4 2" xfId="30189"/>
    <cellStyle name="常规 4 3 3 4 4 5" xfId="20765"/>
    <cellStyle name="常规 4 3 3 4 5" xfId="2705"/>
    <cellStyle name="常规 4 3 3 4 5 2" xfId="5841"/>
    <cellStyle name="常规 4 3 3 4 5 2 2" xfId="15261"/>
    <cellStyle name="常规 4 3 3 4 5 2 2 2" xfId="34109"/>
    <cellStyle name="常规 4 3 3 4 5 2 3" xfId="24685"/>
    <cellStyle name="常规 4 3 3 4 5 3" xfId="8977"/>
    <cellStyle name="常规 4 3 3 4 5 3 2" xfId="18397"/>
    <cellStyle name="常规 4 3 3 4 5 3 2 2" xfId="37245"/>
    <cellStyle name="常规 4 3 3 4 5 3 3" xfId="27821"/>
    <cellStyle name="常规 4 3 3 4 5 4" xfId="12125"/>
    <cellStyle name="常规 4 3 3 4 5 4 2" xfId="30973"/>
    <cellStyle name="常规 4 3 3 4 5 5" xfId="21549"/>
    <cellStyle name="常规 4 3 3 4 6" xfId="3498"/>
    <cellStyle name="常规 4 3 3 4 6 2" xfId="12918"/>
    <cellStyle name="常规 4 3 3 4 6 2 2" xfId="31766"/>
    <cellStyle name="常规 4 3 3 4 6 3" xfId="22342"/>
    <cellStyle name="常规 4 3 3 4 7" xfId="6625"/>
    <cellStyle name="常规 4 3 3 4 7 2" xfId="16045"/>
    <cellStyle name="常规 4 3 3 4 7 2 2" xfId="34893"/>
    <cellStyle name="常规 4 3 3 4 7 3" xfId="25469"/>
    <cellStyle name="常规 4 3 3 4 8" xfId="9772"/>
    <cellStyle name="常规 4 3 3 4 8 2" xfId="28617"/>
    <cellStyle name="常规 4 3 3 4 9" xfId="19195"/>
    <cellStyle name="常规 4 3 3 5" xfId="738"/>
    <cellStyle name="常规 4 3 3 5 2" xfId="1522"/>
    <cellStyle name="常规 4 3 3 5 2 2" xfId="4658"/>
    <cellStyle name="常规 4 3 3 5 2 2 2" xfId="14078"/>
    <cellStyle name="常规 4 3 3 5 2 2 2 2" xfId="32926"/>
    <cellStyle name="常规 4 3 3 5 2 2 3" xfId="23502"/>
    <cellStyle name="常规 4 3 3 5 2 3" xfId="7794"/>
    <cellStyle name="常规 4 3 3 5 2 3 2" xfId="17214"/>
    <cellStyle name="常规 4 3 3 5 2 3 2 2" xfId="36062"/>
    <cellStyle name="常规 4 3 3 5 2 3 3" xfId="26638"/>
    <cellStyle name="常规 4 3 3 5 2 4" xfId="10942"/>
    <cellStyle name="常规 4 3 3 5 2 4 2" xfId="29790"/>
    <cellStyle name="常规 4 3 3 5 2 5" xfId="20366"/>
    <cellStyle name="常规 4 3 3 5 3" xfId="2306"/>
    <cellStyle name="常规 4 3 3 5 3 2" xfId="5442"/>
    <cellStyle name="常规 4 3 3 5 3 2 2" xfId="14862"/>
    <cellStyle name="常规 4 3 3 5 3 2 2 2" xfId="33710"/>
    <cellStyle name="常规 4 3 3 5 3 2 3" xfId="24286"/>
    <cellStyle name="常规 4 3 3 5 3 3" xfId="8578"/>
    <cellStyle name="常规 4 3 3 5 3 3 2" xfId="17998"/>
    <cellStyle name="常规 4 3 3 5 3 3 2 2" xfId="36846"/>
    <cellStyle name="常规 4 3 3 5 3 3 3" xfId="27422"/>
    <cellStyle name="常规 4 3 3 5 3 4" xfId="11726"/>
    <cellStyle name="常规 4 3 3 5 3 4 2" xfId="30574"/>
    <cellStyle name="常规 4 3 3 5 3 5" xfId="21150"/>
    <cellStyle name="常规 4 3 3 5 4" xfId="3090"/>
    <cellStyle name="常规 4 3 3 5 4 2" xfId="6226"/>
    <cellStyle name="常规 4 3 3 5 4 2 2" xfId="15646"/>
    <cellStyle name="常规 4 3 3 5 4 2 2 2" xfId="34494"/>
    <cellStyle name="常规 4 3 3 5 4 2 3" xfId="25070"/>
    <cellStyle name="常规 4 3 3 5 4 3" xfId="9362"/>
    <cellStyle name="常规 4 3 3 5 4 3 2" xfId="18782"/>
    <cellStyle name="常规 4 3 3 5 4 3 2 2" xfId="37630"/>
    <cellStyle name="常规 4 3 3 5 4 3 3" xfId="28206"/>
    <cellStyle name="常规 4 3 3 5 4 4" xfId="12510"/>
    <cellStyle name="常规 4 3 3 5 4 4 2" xfId="31358"/>
    <cellStyle name="常规 4 3 3 5 4 5" xfId="21934"/>
    <cellStyle name="常规 4 3 3 5 5" xfId="3874"/>
    <cellStyle name="常规 4 3 3 5 5 2" xfId="13294"/>
    <cellStyle name="常规 4 3 3 5 5 2 2" xfId="32142"/>
    <cellStyle name="常规 4 3 3 5 5 3" xfId="22718"/>
    <cellStyle name="常规 4 3 3 5 6" xfId="7010"/>
    <cellStyle name="常规 4 3 3 5 6 2" xfId="16430"/>
    <cellStyle name="常规 4 3 3 5 6 2 2" xfId="35278"/>
    <cellStyle name="常规 4 3 3 5 6 3" xfId="25854"/>
    <cellStyle name="常规 4 3 3 5 7" xfId="10158"/>
    <cellStyle name="常规 4 3 3 5 7 2" xfId="29006"/>
    <cellStyle name="常规 4 3 3 5 8" xfId="19582"/>
    <cellStyle name="常规 4 3 3 6" xfId="1130"/>
    <cellStyle name="常规 4 3 3 6 2" xfId="4266"/>
    <cellStyle name="常规 4 3 3 6 2 2" xfId="13686"/>
    <cellStyle name="常规 4 3 3 6 2 2 2" xfId="32534"/>
    <cellStyle name="常规 4 3 3 6 2 3" xfId="23110"/>
    <cellStyle name="常规 4 3 3 6 3" xfId="7402"/>
    <cellStyle name="常规 4 3 3 6 3 2" xfId="16822"/>
    <cellStyle name="常规 4 3 3 6 3 2 2" xfId="35670"/>
    <cellStyle name="常规 4 3 3 6 3 3" xfId="26246"/>
    <cellStyle name="常规 4 3 3 6 4" xfId="10550"/>
    <cellStyle name="常规 4 3 3 6 4 2" xfId="29398"/>
    <cellStyle name="常规 4 3 3 6 5" xfId="19974"/>
    <cellStyle name="常规 4 3 3 7" xfId="1914"/>
    <cellStyle name="常规 4 3 3 7 2" xfId="5050"/>
    <cellStyle name="常规 4 3 3 7 2 2" xfId="14470"/>
    <cellStyle name="常规 4 3 3 7 2 2 2" xfId="33318"/>
    <cellStyle name="常规 4 3 3 7 2 3" xfId="23894"/>
    <cellStyle name="常规 4 3 3 7 3" xfId="8186"/>
    <cellStyle name="常规 4 3 3 7 3 2" xfId="17606"/>
    <cellStyle name="常规 4 3 3 7 3 2 2" xfId="36454"/>
    <cellStyle name="常规 4 3 3 7 3 3" xfId="27030"/>
    <cellStyle name="常规 4 3 3 7 4" xfId="11334"/>
    <cellStyle name="常规 4 3 3 7 4 2" xfId="30182"/>
    <cellStyle name="常规 4 3 3 7 5" xfId="20758"/>
    <cellStyle name="常规 4 3 3 8" xfId="2698"/>
    <cellStyle name="常规 4 3 3 8 2" xfId="5834"/>
    <cellStyle name="常规 4 3 3 8 2 2" xfId="15254"/>
    <cellStyle name="常规 4 3 3 8 2 2 2" xfId="34102"/>
    <cellStyle name="常规 4 3 3 8 2 3" xfId="24678"/>
    <cellStyle name="常规 4 3 3 8 3" xfId="8970"/>
    <cellStyle name="常规 4 3 3 8 3 2" xfId="18390"/>
    <cellStyle name="常规 4 3 3 8 3 2 2" xfId="37238"/>
    <cellStyle name="常规 4 3 3 8 3 3" xfId="27814"/>
    <cellStyle name="常规 4 3 3 8 4" xfId="12118"/>
    <cellStyle name="常规 4 3 3 8 4 2" xfId="30966"/>
    <cellStyle name="常规 4 3 3 8 5" xfId="21542"/>
    <cellStyle name="常规 4 3 3 9" xfId="3186"/>
    <cellStyle name="常规 4 3 3 9 2" xfId="12606"/>
    <cellStyle name="常规 4 3 3 9 2 2" xfId="31454"/>
    <cellStyle name="常规 4 3 3 9 3" xfId="22030"/>
    <cellStyle name="常规 4 3 4" xfId="350"/>
    <cellStyle name="常规 4 3 4 10" xfId="9773"/>
    <cellStyle name="常规 4 3 4 10 2" xfId="28618"/>
    <cellStyle name="常规 4 3 4 11" xfId="19196"/>
    <cellStyle name="常规 4 3 4 2" xfId="351"/>
    <cellStyle name="常规 4 3 4 2 10" xfId="19197"/>
    <cellStyle name="常规 4 3 4 2 2" xfId="352"/>
    <cellStyle name="常规 4 3 4 2 2 2" xfId="748"/>
    <cellStyle name="常规 4 3 4 2 2 2 2" xfId="1532"/>
    <cellStyle name="常规 4 3 4 2 2 2 2 2" xfId="4668"/>
    <cellStyle name="常规 4 3 4 2 2 2 2 2 2" xfId="14088"/>
    <cellStyle name="常规 4 3 4 2 2 2 2 2 2 2" xfId="32936"/>
    <cellStyle name="常规 4 3 4 2 2 2 2 2 3" xfId="23512"/>
    <cellStyle name="常规 4 3 4 2 2 2 2 3" xfId="7804"/>
    <cellStyle name="常规 4 3 4 2 2 2 2 3 2" xfId="17224"/>
    <cellStyle name="常规 4 3 4 2 2 2 2 3 2 2" xfId="36072"/>
    <cellStyle name="常规 4 3 4 2 2 2 2 3 3" xfId="26648"/>
    <cellStyle name="常规 4 3 4 2 2 2 2 4" xfId="10952"/>
    <cellStyle name="常规 4 3 4 2 2 2 2 4 2" xfId="29800"/>
    <cellStyle name="常规 4 3 4 2 2 2 2 5" xfId="20376"/>
    <cellStyle name="常规 4 3 4 2 2 2 3" xfId="2316"/>
    <cellStyle name="常规 4 3 4 2 2 2 3 2" xfId="5452"/>
    <cellStyle name="常规 4 3 4 2 2 2 3 2 2" xfId="14872"/>
    <cellStyle name="常规 4 3 4 2 2 2 3 2 2 2" xfId="33720"/>
    <cellStyle name="常规 4 3 4 2 2 2 3 2 3" xfId="24296"/>
    <cellStyle name="常规 4 3 4 2 2 2 3 3" xfId="8588"/>
    <cellStyle name="常规 4 3 4 2 2 2 3 3 2" xfId="18008"/>
    <cellStyle name="常规 4 3 4 2 2 2 3 3 2 2" xfId="36856"/>
    <cellStyle name="常规 4 3 4 2 2 2 3 3 3" xfId="27432"/>
    <cellStyle name="常规 4 3 4 2 2 2 3 4" xfId="11736"/>
    <cellStyle name="常规 4 3 4 2 2 2 3 4 2" xfId="30584"/>
    <cellStyle name="常规 4 3 4 2 2 2 3 5" xfId="21160"/>
    <cellStyle name="常规 4 3 4 2 2 2 4" xfId="3100"/>
    <cellStyle name="常规 4 3 4 2 2 2 4 2" xfId="6236"/>
    <cellStyle name="常规 4 3 4 2 2 2 4 2 2" xfId="15656"/>
    <cellStyle name="常规 4 3 4 2 2 2 4 2 2 2" xfId="34504"/>
    <cellStyle name="常规 4 3 4 2 2 2 4 2 3" xfId="25080"/>
    <cellStyle name="常规 4 3 4 2 2 2 4 3" xfId="9372"/>
    <cellStyle name="常规 4 3 4 2 2 2 4 3 2" xfId="18792"/>
    <cellStyle name="常规 4 3 4 2 2 2 4 3 2 2" xfId="37640"/>
    <cellStyle name="常规 4 3 4 2 2 2 4 3 3" xfId="28216"/>
    <cellStyle name="常规 4 3 4 2 2 2 4 4" xfId="12520"/>
    <cellStyle name="常规 4 3 4 2 2 2 4 4 2" xfId="31368"/>
    <cellStyle name="常规 4 3 4 2 2 2 4 5" xfId="21944"/>
    <cellStyle name="常规 4 3 4 2 2 2 5" xfId="3884"/>
    <cellStyle name="常规 4 3 4 2 2 2 5 2" xfId="13304"/>
    <cellStyle name="常规 4 3 4 2 2 2 5 2 2" xfId="32152"/>
    <cellStyle name="常规 4 3 4 2 2 2 5 3" xfId="22728"/>
    <cellStyle name="常规 4 3 4 2 2 2 6" xfId="7020"/>
    <cellStyle name="常规 4 3 4 2 2 2 6 2" xfId="16440"/>
    <cellStyle name="常规 4 3 4 2 2 2 6 2 2" xfId="35288"/>
    <cellStyle name="常规 4 3 4 2 2 2 6 3" xfId="25864"/>
    <cellStyle name="常规 4 3 4 2 2 2 7" xfId="10168"/>
    <cellStyle name="常规 4 3 4 2 2 2 7 2" xfId="29016"/>
    <cellStyle name="常规 4 3 4 2 2 2 8" xfId="19592"/>
    <cellStyle name="常规 4 3 4 2 2 3" xfId="1140"/>
    <cellStyle name="常规 4 3 4 2 2 3 2" xfId="4276"/>
    <cellStyle name="常规 4 3 4 2 2 3 2 2" xfId="13696"/>
    <cellStyle name="常规 4 3 4 2 2 3 2 2 2" xfId="32544"/>
    <cellStyle name="常规 4 3 4 2 2 3 2 3" xfId="23120"/>
    <cellStyle name="常规 4 3 4 2 2 3 3" xfId="7412"/>
    <cellStyle name="常规 4 3 4 2 2 3 3 2" xfId="16832"/>
    <cellStyle name="常规 4 3 4 2 2 3 3 2 2" xfId="35680"/>
    <cellStyle name="常规 4 3 4 2 2 3 3 3" xfId="26256"/>
    <cellStyle name="常规 4 3 4 2 2 3 4" xfId="10560"/>
    <cellStyle name="常规 4 3 4 2 2 3 4 2" xfId="29408"/>
    <cellStyle name="常规 4 3 4 2 2 3 5" xfId="19984"/>
    <cellStyle name="常规 4 3 4 2 2 4" xfId="1924"/>
    <cellStyle name="常规 4 3 4 2 2 4 2" xfId="5060"/>
    <cellStyle name="常规 4 3 4 2 2 4 2 2" xfId="14480"/>
    <cellStyle name="常规 4 3 4 2 2 4 2 2 2" xfId="33328"/>
    <cellStyle name="常规 4 3 4 2 2 4 2 3" xfId="23904"/>
    <cellStyle name="常规 4 3 4 2 2 4 3" xfId="8196"/>
    <cellStyle name="常规 4 3 4 2 2 4 3 2" xfId="17616"/>
    <cellStyle name="常规 4 3 4 2 2 4 3 2 2" xfId="36464"/>
    <cellStyle name="常规 4 3 4 2 2 4 3 3" xfId="27040"/>
    <cellStyle name="常规 4 3 4 2 2 4 4" xfId="11344"/>
    <cellStyle name="常规 4 3 4 2 2 4 4 2" xfId="30192"/>
    <cellStyle name="常规 4 3 4 2 2 4 5" xfId="20768"/>
    <cellStyle name="常规 4 3 4 2 2 5" xfId="2708"/>
    <cellStyle name="常规 4 3 4 2 2 5 2" xfId="5844"/>
    <cellStyle name="常规 4 3 4 2 2 5 2 2" xfId="15264"/>
    <cellStyle name="常规 4 3 4 2 2 5 2 2 2" xfId="34112"/>
    <cellStyle name="常规 4 3 4 2 2 5 2 3" xfId="24688"/>
    <cellStyle name="常规 4 3 4 2 2 5 3" xfId="8980"/>
    <cellStyle name="常规 4 3 4 2 2 5 3 2" xfId="18400"/>
    <cellStyle name="常规 4 3 4 2 2 5 3 2 2" xfId="37248"/>
    <cellStyle name="常规 4 3 4 2 2 5 3 3" xfId="27824"/>
    <cellStyle name="常规 4 3 4 2 2 5 4" xfId="12128"/>
    <cellStyle name="常规 4 3 4 2 2 5 4 2" xfId="30976"/>
    <cellStyle name="常规 4 3 4 2 2 5 5" xfId="21552"/>
    <cellStyle name="常规 4 3 4 2 2 6" xfId="3500"/>
    <cellStyle name="常规 4 3 4 2 2 6 2" xfId="12920"/>
    <cellStyle name="常规 4 3 4 2 2 6 2 2" xfId="31768"/>
    <cellStyle name="常规 4 3 4 2 2 6 3" xfId="22344"/>
    <cellStyle name="常规 4 3 4 2 2 7" xfId="6628"/>
    <cellStyle name="常规 4 3 4 2 2 7 2" xfId="16048"/>
    <cellStyle name="常规 4 3 4 2 2 7 2 2" xfId="34896"/>
    <cellStyle name="常规 4 3 4 2 2 7 3" xfId="25472"/>
    <cellStyle name="常规 4 3 4 2 2 8" xfId="9775"/>
    <cellStyle name="常规 4 3 4 2 2 8 2" xfId="28620"/>
    <cellStyle name="常规 4 3 4 2 2 9" xfId="19198"/>
    <cellStyle name="常规 4 3 4 2 3" xfId="747"/>
    <cellStyle name="常规 4 3 4 2 3 2" xfId="1531"/>
    <cellStyle name="常规 4 3 4 2 3 2 2" xfId="4667"/>
    <cellStyle name="常规 4 3 4 2 3 2 2 2" xfId="14087"/>
    <cellStyle name="常规 4 3 4 2 3 2 2 2 2" xfId="32935"/>
    <cellStyle name="常规 4 3 4 2 3 2 2 3" xfId="23511"/>
    <cellStyle name="常规 4 3 4 2 3 2 3" xfId="7803"/>
    <cellStyle name="常规 4 3 4 2 3 2 3 2" xfId="17223"/>
    <cellStyle name="常规 4 3 4 2 3 2 3 2 2" xfId="36071"/>
    <cellStyle name="常规 4 3 4 2 3 2 3 3" xfId="26647"/>
    <cellStyle name="常规 4 3 4 2 3 2 4" xfId="10951"/>
    <cellStyle name="常规 4 3 4 2 3 2 4 2" xfId="29799"/>
    <cellStyle name="常规 4 3 4 2 3 2 5" xfId="20375"/>
    <cellStyle name="常规 4 3 4 2 3 3" xfId="2315"/>
    <cellStyle name="常规 4 3 4 2 3 3 2" xfId="5451"/>
    <cellStyle name="常规 4 3 4 2 3 3 2 2" xfId="14871"/>
    <cellStyle name="常规 4 3 4 2 3 3 2 2 2" xfId="33719"/>
    <cellStyle name="常规 4 3 4 2 3 3 2 3" xfId="24295"/>
    <cellStyle name="常规 4 3 4 2 3 3 3" xfId="8587"/>
    <cellStyle name="常规 4 3 4 2 3 3 3 2" xfId="18007"/>
    <cellStyle name="常规 4 3 4 2 3 3 3 2 2" xfId="36855"/>
    <cellStyle name="常规 4 3 4 2 3 3 3 3" xfId="27431"/>
    <cellStyle name="常规 4 3 4 2 3 3 4" xfId="11735"/>
    <cellStyle name="常规 4 3 4 2 3 3 4 2" xfId="30583"/>
    <cellStyle name="常规 4 3 4 2 3 3 5" xfId="21159"/>
    <cellStyle name="常规 4 3 4 2 3 4" xfId="3099"/>
    <cellStyle name="常规 4 3 4 2 3 4 2" xfId="6235"/>
    <cellStyle name="常规 4 3 4 2 3 4 2 2" xfId="15655"/>
    <cellStyle name="常规 4 3 4 2 3 4 2 2 2" xfId="34503"/>
    <cellStyle name="常规 4 3 4 2 3 4 2 3" xfId="25079"/>
    <cellStyle name="常规 4 3 4 2 3 4 3" xfId="9371"/>
    <cellStyle name="常规 4 3 4 2 3 4 3 2" xfId="18791"/>
    <cellStyle name="常规 4 3 4 2 3 4 3 2 2" xfId="37639"/>
    <cellStyle name="常规 4 3 4 2 3 4 3 3" xfId="28215"/>
    <cellStyle name="常规 4 3 4 2 3 4 4" xfId="12519"/>
    <cellStyle name="常规 4 3 4 2 3 4 4 2" xfId="31367"/>
    <cellStyle name="常规 4 3 4 2 3 4 5" xfId="21943"/>
    <cellStyle name="常规 4 3 4 2 3 5" xfId="3883"/>
    <cellStyle name="常规 4 3 4 2 3 5 2" xfId="13303"/>
    <cellStyle name="常规 4 3 4 2 3 5 2 2" xfId="32151"/>
    <cellStyle name="常规 4 3 4 2 3 5 3" xfId="22727"/>
    <cellStyle name="常规 4 3 4 2 3 6" xfId="7019"/>
    <cellStyle name="常规 4 3 4 2 3 6 2" xfId="16439"/>
    <cellStyle name="常规 4 3 4 2 3 6 2 2" xfId="35287"/>
    <cellStyle name="常规 4 3 4 2 3 6 3" xfId="25863"/>
    <cellStyle name="常规 4 3 4 2 3 7" xfId="10167"/>
    <cellStyle name="常规 4 3 4 2 3 7 2" xfId="29015"/>
    <cellStyle name="常规 4 3 4 2 3 8" xfId="19591"/>
    <cellStyle name="常规 4 3 4 2 4" xfId="1139"/>
    <cellStyle name="常规 4 3 4 2 4 2" xfId="4275"/>
    <cellStyle name="常规 4 3 4 2 4 2 2" xfId="13695"/>
    <cellStyle name="常规 4 3 4 2 4 2 2 2" xfId="32543"/>
    <cellStyle name="常规 4 3 4 2 4 2 3" xfId="23119"/>
    <cellStyle name="常规 4 3 4 2 4 3" xfId="7411"/>
    <cellStyle name="常规 4 3 4 2 4 3 2" xfId="16831"/>
    <cellStyle name="常规 4 3 4 2 4 3 2 2" xfId="35679"/>
    <cellStyle name="常规 4 3 4 2 4 3 3" xfId="26255"/>
    <cellStyle name="常规 4 3 4 2 4 4" xfId="10559"/>
    <cellStyle name="常规 4 3 4 2 4 4 2" xfId="29407"/>
    <cellStyle name="常规 4 3 4 2 4 5" xfId="19983"/>
    <cellStyle name="常规 4 3 4 2 5" xfId="1923"/>
    <cellStyle name="常规 4 3 4 2 5 2" xfId="5059"/>
    <cellStyle name="常规 4 3 4 2 5 2 2" xfId="14479"/>
    <cellStyle name="常规 4 3 4 2 5 2 2 2" xfId="33327"/>
    <cellStyle name="常规 4 3 4 2 5 2 3" xfId="23903"/>
    <cellStyle name="常规 4 3 4 2 5 3" xfId="8195"/>
    <cellStyle name="常规 4 3 4 2 5 3 2" xfId="17615"/>
    <cellStyle name="常规 4 3 4 2 5 3 2 2" xfId="36463"/>
    <cellStyle name="常规 4 3 4 2 5 3 3" xfId="27039"/>
    <cellStyle name="常规 4 3 4 2 5 4" xfId="11343"/>
    <cellStyle name="常规 4 3 4 2 5 4 2" xfId="30191"/>
    <cellStyle name="常规 4 3 4 2 5 5" xfId="20767"/>
    <cellStyle name="常规 4 3 4 2 6" xfId="2707"/>
    <cellStyle name="常规 4 3 4 2 6 2" xfId="5843"/>
    <cellStyle name="常规 4 3 4 2 6 2 2" xfId="15263"/>
    <cellStyle name="常规 4 3 4 2 6 2 2 2" xfId="34111"/>
    <cellStyle name="常规 4 3 4 2 6 2 3" xfId="24687"/>
    <cellStyle name="常规 4 3 4 2 6 3" xfId="8979"/>
    <cellStyle name="常规 4 3 4 2 6 3 2" xfId="18399"/>
    <cellStyle name="常规 4 3 4 2 6 3 2 2" xfId="37247"/>
    <cellStyle name="常规 4 3 4 2 6 3 3" xfId="27823"/>
    <cellStyle name="常规 4 3 4 2 6 4" xfId="12127"/>
    <cellStyle name="常规 4 3 4 2 6 4 2" xfId="30975"/>
    <cellStyle name="常规 4 3 4 2 6 5" xfId="21551"/>
    <cellStyle name="常规 4 3 4 2 7" xfId="3499"/>
    <cellStyle name="常规 4 3 4 2 7 2" xfId="12919"/>
    <cellStyle name="常规 4 3 4 2 7 2 2" xfId="31767"/>
    <cellStyle name="常规 4 3 4 2 7 3" xfId="22343"/>
    <cellStyle name="常规 4 3 4 2 8" xfId="6627"/>
    <cellStyle name="常规 4 3 4 2 8 2" xfId="16047"/>
    <cellStyle name="常规 4 3 4 2 8 2 2" xfId="34895"/>
    <cellStyle name="常规 4 3 4 2 8 3" xfId="25471"/>
    <cellStyle name="常规 4 3 4 2 9" xfId="9774"/>
    <cellStyle name="常规 4 3 4 2 9 2" xfId="28619"/>
    <cellStyle name="常规 4 3 4 3" xfId="353"/>
    <cellStyle name="常规 4 3 4 3 2" xfId="749"/>
    <cellStyle name="常规 4 3 4 3 2 2" xfId="1533"/>
    <cellStyle name="常规 4 3 4 3 2 2 2" xfId="4669"/>
    <cellStyle name="常规 4 3 4 3 2 2 2 2" xfId="14089"/>
    <cellStyle name="常规 4 3 4 3 2 2 2 2 2" xfId="32937"/>
    <cellStyle name="常规 4 3 4 3 2 2 2 3" xfId="23513"/>
    <cellStyle name="常规 4 3 4 3 2 2 3" xfId="7805"/>
    <cellStyle name="常规 4 3 4 3 2 2 3 2" xfId="17225"/>
    <cellStyle name="常规 4 3 4 3 2 2 3 2 2" xfId="36073"/>
    <cellStyle name="常规 4 3 4 3 2 2 3 3" xfId="26649"/>
    <cellStyle name="常规 4 3 4 3 2 2 4" xfId="10953"/>
    <cellStyle name="常规 4 3 4 3 2 2 4 2" xfId="29801"/>
    <cellStyle name="常规 4 3 4 3 2 2 5" xfId="20377"/>
    <cellStyle name="常规 4 3 4 3 2 3" xfId="2317"/>
    <cellStyle name="常规 4 3 4 3 2 3 2" xfId="5453"/>
    <cellStyle name="常规 4 3 4 3 2 3 2 2" xfId="14873"/>
    <cellStyle name="常规 4 3 4 3 2 3 2 2 2" xfId="33721"/>
    <cellStyle name="常规 4 3 4 3 2 3 2 3" xfId="24297"/>
    <cellStyle name="常规 4 3 4 3 2 3 3" xfId="8589"/>
    <cellStyle name="常规 4 3 4 3 2 3 3 2" xfId="18009"/>
    <cellStyle name="常规 4 3 4 3 2 3 3 2 2" xfId="36857"/>
    <cellStyle name="常规 4 3 4 3 2 3 3 3" xfId="27433"/>
    <cellStyle name="常规 4 3 4 3 2 3 4" xfId="11737"/>
    <cellStyle name="常规 4 3 4 3 2 3 4 2" xfId="30585"/>
    <cellStyle name="常规 4 3 4 3 2 3 5" xfId="21161"/>
    <cellStyle name="常规 4 3 4 3 2 4" xfId="3101"/>
    <cellStyle name="常规 4 3 4 3 2 4 2" xfId="6237"/>
    <cellStyle name="常规 4 3 4 3 2 4 2 2" xfId="15657"/>
    <cellStyle name="常规 4 3 4 3 2 4 2 2 2" xfId="34505"/>
    <cellStyle name="常规 4 3 4 3 2 4 2 3" xfId="25081"/>
    <cellStyle name="常规 4 3 4 3 2 4 3" xfId="9373"/>
    <cellStyle name="常规 4 3 4 3 2 4 3 2" xfId="18793"/>
    <cellStyle name="常规 4 3 4 3 2 4 3 2 2" xfId="37641"/>
    <cellStyle name="常规 4 3 4 3 2 4 3 3" xfId="28217"/>
    <cellStyle name="常规 4 3 4 3 2 4 4" xfId="12521"/>
    <cellStyle name="常规 4 3 4 3 2 4 4 2" xfId="31369"/>
    <cellStyle name="常规 4 3 4 3 2 4 5" xfId="21945"/>
    <cellStyle name="常规 4 3 4 3 2 5" xfId="3885"/>
    <cellStyle name="常规 4 3 4 3 2 5 2" xfId="13305"/>
    <cellStyle name="常规 4 3 4 3 2 5 2 2" xfId="32153"/>
    <cellStyle name="常规 4 3 4 3 2 5 3" xfId="22729"/>
    <cellStyle name="常规 4 3 4 3 2 6" xfId="7021"/>
    <cellStyle name="常规 4 3 4 3 2 6 2" xfId="16441"/>
    <cellStyle name="常规 4 3 4 3 2 6 2 2" xfId="35289"/>
    <cellStyle name="常规 4 3 4 3 2 6 3" xfId="25865"/>
    <cellStyle name="常规 4 3 4 3 2 7" xfId="10169"/>
    <cellStyle name="常规 4 3 4 3 2 7 2" xfId="29017"/>
    <cellStyle name="常规 4 3 4 3 2 8" xfId="19593"/>
    <cellStyle name="常规 4 3 4 3 3" xfId="1141"/>
    <cellStyle name="常规 4 3 4 3 3 2" xfId="4277"/>
    <cellStyle name="常规 4 3 4 3 3 2 2" xfId="13697"/>
    <cellStyle name="常规 4 3 4 3 3 2 2 2" xfId="32545"/>
    <cellStyle name="常规 4 3 4 3 3 2 3" xfId="23121"/>
    <cellStyle name="常规 4 3 4 3 3 3" xfId="7413"/>
    <cellStyle name="常规 4 3 4 3 3 3 2" xfId="16833"/>
    <cellStyle name="常规 4 3 4 3 3 3 2 2" xfId="35681"/>
    <cellStyle name="常规 4 3 4 3 3 3 3" xfId="26257"/>
    <cellStyle name="常规 4 3 4 3 3 4" xfId="10561"/>
    <cellStyle name="常规 4 3 4 3 3 4 2" xfId="29409"/>
    <cellStyle name="常规 4 3 4 3 3 5" xfId="19985"/>
    <cellStyle name="常规 4 3 4 3 4" xfId="1925"/>
    <cellStyle name="常规 4 3 4 3 4 2" xfId="5061"/>
    <cellStyle name="常规 4 3 4 3 4 2 2" xfId="14481"/>
    <cellStyle name="常规 4 3 4 3 4 2 2 2" xfId="33329"/>
    <cellStyle name="常规 4 3 4 3 4 2 3" xfId="23905"/>
    <cellStyle name="常规 4 3 4 3 4 3" xfId="8197"/>
    <cellStyle name="常规 4 3 4 3 4 3 2" xfId="17617"/>
    <cellStyle name="常规 4 3 4 3 4 3 2 2" xfId="36465"/>
    <cellStyle name="常规 4 3 4 3 4 3 3" xfId="27041"/>
    <cellStyle name="常规 4 3 4 3 4 4" xfId="11345"/>
    <cellStyle name="常规 4 3 4 3 4 4 2" xfId="30193"/>
    <cellStyle name="常规 4 3 4 3 4 5" xfId="20769"/>
    <cellStyle name="常规 4 3 4 3 5" xfId="2709"/>
    <cellStyle name="常规 4 3 4 3 5 2" xfId="5845"/>
    <cellStyle name="常规 4 3 4 3 5 2 2" xfId="15265"/>
    <cellStyle name="常规 4 3 4 3 5 2 2 2" xfId="34113"/>
    <cellStyle name="常规 4 3 4 3 5 2 3" xfId="24689"/>
    <cellStyle name="常规 4 3 4 3 5 3" xfId="8981"/>
    <cellStyle name="常规 4 3 4 3 5 3 2" xfId="18401"/>
    <cellStyle name="常规 4 3 4 3 5 3 2 2" xfId="37249"/>
    <cellStyle name="常规 4 3 4 3 5 3 3" xfId="27825"/>
    <cellStyle name="常规 4 3 4 3 5 4" xfId="12129"/>
    <cellStyle name="常规 4 3 4 3 5 4 2" xfId="30977"/>
    <cellStyle name="常规 4 3 4 3 5 5" xfId="21553"/>
    <cellStyle name="常规 4 3 4 3 6" xfId="3501"/>
    <cellStyle name="常规 4 3 4 3 6 2" xfId="12921"/>
    <cellStyle name="常规 4 3 4 3 6 2 2" xfId="31769"/>
    <cellStyle name="常规 4 3 4 3 6 3" xfId="22345"/>
    <cellStyle name="常规 4 3 4 3 7" xfId="6629"/>
    <cellStyle name="常规 4 3 4 3 7 2" xfId="16049"/>
    <cellStyle name="常规 4 3 4 3 7 2 2" xfId="34897"/>
    <cellStyle name="常规 4 3 4 3 7 3" xfId="25473"/>
    <cellStyle name="常规 4 3 4 3 8" xfId="9776"/>
    <cellStyle name="常规 4 3 4 3 8 2" xfId="28621"/>
    <cellStyle name="常规 4 3 4 3 9" xfId="19199"/>
    <cellStyle name="常规 4 3 4 4" xfId="746"/>
    <cellStyle name="常规 4 3 4 4 2" xfId="1530"/>
    <cellStyle name="常规 4 3 4 4 2 2" xfId="4666"/>
    <cellStyle name="常规 4 3 4 4 2 2 2" xfId="14086"/>
    <cellStyle name="常规 4 3 4 4 2 2 2 2" xfId="32934"/>
    <cellStyle name="常规 4 3 4 4 2 2 3" xfId="23510"/>
    <cellStyle name="常规 4 3 4 4 2 3" xfId="7802"/>
    <cellStyle name="常规 4 3 4 4 2 3 2" xfId="17222"/>
    <cellStyle name="常规 4 3 4 4 2 3 2 2" xfId="36070"/>
    <cellStyle name="常规 4 3 4 4 2 3 3" xfId="26646"/>
    <cellStyle name="常规 4 3 4 4 2 4" xfId="10950"/>
    <cellStyle name="常规 4 3 4 4 2 4 2" xfId="29798"/>
    <cellStyle name="常规 4 3 4 4 2 5" xfId="20374"/>
    <cellStyle name="常规 4 3 4 4 3" xfId="2314"/>
    <cellStyle name="常规 4 3 4 4 3 2" xfId="5450"/>
    <cellStyle name="常规 4 3 4 4 3 2 2" xfId="14870"/>
    <cellStyle name="常规 4 3 4 4 3 2 2 2" xfId="33718"/>
    <cellStyle name="常规 4 3 4 4 3 2 3" xfId="24294"/>
    <cellStyle name="常规 4 3 4 4 3 3" xfId="8586"/>
    <cellStyle name="常规 4 3 4 4 3 3 2" xfId="18006"/>
    <cellStyle name="常规 4 3 4 4 3 3 2 2" xfId="36854"/>
    <cellStyle name="常规 4 3 4 4 3 3 3" xfId="27430"/>
    <cellStyle name="常规 4 3 4 4 3 4" xfId="11734"/>
    <cellStyle name="常规 4 3 4 4 3 4 2" xfId="30582"/>
    <cellStyle name="常规 4 3 4 4 3 5" xfId="21158"/>
    <cellStyle name="常规 4 3 4 4 4" xfId="3098"/>
    <cellStyle name="常规 4 3 4 4 4 2" xfId="6234"/>
    <cellStyle name="常规 4 3 4 4 4 2 2" xfId="15654"/>
    <cellStyle name="常规 4 3 4 4 4 2 2 2" xfId="34502"/>
    <cellStyle name="常规 4 3 4 4 4 2 3" xfId="25078"/>
    <cellStyle name="常规 4 3 4 4 4 3" xfId="9370"/>
    <cellStyle name="常规 4 3 4 4 4 3 2" xfId="18790"/>
    <cellStyle name="常规 4 3 4 4 4 3 2 2" xfId="37638"/>
    <cellStyle name="常规 4 3 4 4 4 3 3" xfId="28214"/>
    <cellStyle name="常规 4 3 4 4 4 4" xfId="12518"/>
    <cellStyle name="常规 4 3 4 4 4 4 2" xfId="31366"/>
    <cellStyle name="常规 4 3 4 4 4 5" xfId="21942"/>
    <cellStyle name="常规 4 3 4 4 5" xfId="3882"/>
    <cellStyle name="常规 4 3 4 4 5 2" xfId="13302"/>
    <cellStyle name="常规 4 3 4 4 5 2 2" xfId="32150"/>
    <cellStyle name="常规 4 3 4 4 5 3" xfId="22726"/>
    <cellStyle name="常规 4 3 4 4 6" xfId="7018"/>
    <cellStyle name="常规 4 3 4 4 6 2" xfId="16438"/>
    <cellStyle name="常规 4 3 4 4 6 2 2" xfId="35286"/>
    <cellStyle name="常规 4 3 4 4 6 3" xfId="25862"/>
    <cellStyle name="常规 4 3 4 4 7" xfId="10166"/>
    <cellStyle name="常规 4 3 4 4 7 2" xfId="29014"/>
    <cellStyle name="常规 4 3 4 4 8" xfId="19590"/>
    <cellStyle name="常规 4 3 4 5" xfId="1138"/>
    <cellStyle name="常规 4 3 4 5 2" xfId="4274"/>
    <cellStyle name="常规 4 3 4 5 2 2" xfId="13694"/>
    <cellStyle name="常规 4 3 4 5 2 2 2" xfId="32542"/>
    <cellStyle name="常规 4 3 4 5 2 3" xfId="23118"/>
    <cellStyle name="常规 4 3 4 5 3" xfId="7410"/>
    <cellStyle name="常规 4 3 4 5 3 2" xfId="16830"/>
    <cellStyle name="常规 4 3 4 5 3 2 2" xfId="35678"/>
    <cellStyle name="常规 4 3 4 5 3 3" xfId="26254"/>
    <cellStyle name="常规 4 3 4 5 4" xfId="10558"/>
    <cellStyle name="常规 4 3 4 5 4 2" xfId="29406"/>
    <cellStyle name="常规 4 3 4 5 5" xfId="19982"/>
    <cellStyle name="常规 4 3 4 6" xfId="1922"/>
    <cellStyle name="常规 4 3 4 6 2" xfId="5058"/>
    <cellStyle name="常规 4 3 4 6 2 2" xfId="14478"/>
    <cellStyle name="常规 4 3 4 6 2 2 2" xfId="33326"/>
    <cellStyle name="常规 4 3 4 6 2 3" xfId="23902"/>
    <cellStyle name="常规 4 3 4 6 3" xfId="8194"/>
    <cellStyle name="常规 4 3 4 6 3 2" xfId="17614"/>
    <cellStyle name="常规 4 3 4 6 3 2 2" xfId="36462"/>
    <cellStyle name="常规 4 3 4 6 3 3" xfId="27038"/>
    <cellStyle name="常规 4 3 4 6 4" xfId="11342"/>
    <cellStyle name="常规 4 3 4 6 4 2" xfId="30190"/>
    <cellStyle name="常规 4 3 4 6 5" xfId="20766"/>
    <cellStyle name="常规 4 3 4 7" xfId="2706"/>
    <cellStyle name="常规 4 3 4 7 2" xfId="5842"/>
    <cellStyle name="常规 4 3 4 7 2 2" xfId="15262"/>
    <cellStyle name="常规 4 3 4 7 2 2 2" xfId="34110"/>
    <cellStyle name="常规 4 3 4 7 2 3" xfId="24686"/>
    <cellStyle name="常规 4 3 4 7 3" xfId="8978"/>
    <cellStyle name="常规 4 3 4 7 3 2" xfId="18398"/>
    <cellStyle name="常规 4 3 4 7 3 2 2" xfId="37246"/>
    <cellStyle name="常规 4 3 4 7 3 3" xfId="27822"/>
    <cellStyle name="常规 4 3 4 7 4" xfId="12126"/>
    <cellStyle name="常规 4 3 4 7 4 2" xfId="30974"/>
    <cellStyle name="常规 4 3 4 7 5" xfId="21550"/>
    <cellStyle name="常规 4 3 4 8" xfId="3232"/>
    <cellStyle name="常规 4 3 4 8 2" xfId="12652"/>
    <cellStyle name="常规 4 3 4 8 2 2" xfId="31500"/>
    <cellStyle name="常规 4 3 4 8 3" xfId="22076"/>
    <cellStyle name="常规 4 3 4 9" xfId="6626"/>
    <cellStyle name="常规 4 3 4 9 2" xfId="16046"/>
    <cellStyle name="常规 4 3 4 9 2 2" xfId="34894"/>
    <cellStyle name="常规 4 3 4 9 3" xfId="25470"/>
    <cellStyle name="常规 4 3 5" xfId="354"/>
    <cellStyle name="常规 4 3 5 10" xfId="19200"/>
    <cellStyle name="常规 4 3 5 2" xfId="355"/>
    <cellStyle name="常规 4 3 5 2 2" xfId="751"/>
    <cellStyle name="常规 4 3 5 2 2 2" xfId="1535"/>
    <cellStyle name="常规 4 3 5 2 2 2 2" xfId="4671"/>
    <cellStyle name="常规 4 3 5 2 2 2 2 2" xfId="14091"/>
    <cellStyle name="常规 4 3 5 2 2 2 2 2 2" xfId="32939"/>
    <cellStyle name="常规 4 3 5 2 2 2 2 3" xfId="23515"/>
    <cellStyle name="常规 4 3 5 2 2 2 3" xfId="7807"/>
    <cellStyle name="常规 4 3 5 2 2 2 3 2" xfId="17227"/>
    <cellStyle name="常规 4 3 5 2 2 2 3 2 2" xfId="36075"/>
    <cellStyle name="常规 4 3 5 2 2 2 3 3" xfId="26651"/>
    <cellStyle name="常规 4 3 5 2 2 2 4" xfId="10955"/>
    <cellStyle name="常规 4 3 5 2 2 2 4 2" xfId="29803"/>
    <cellStyle name="常规 4 3 5 2 2 2 5" xfId="20379"/>
    <cellStyle name="常规 4 3 5 2 2 3" xfId="2319"/>
    <cellStyle name="常规 4 3 5 2 2 3 2" xfId="5455"/>
    <cellStyle name="常规 4 3 5 2 2 3 2 2" xfId="14875"/>
    <cellStyle name="常规 4 3 5 2 2 3 2 2 2" xfId="33723"/>
    <cellStyle name="常规 4 3 5 2 2 3 2 3" xfId="24299"/>
    <cellStyle name="常规 4 3 5 2 2 3 3" xfId="8591"/>
    <cellStyle name="常规 4 3 5 2 2 3 3 2" xfId="18011"/>
    <cellStyle name="常规 4 3 5 2 2 3 3 2 2" xfId="36859"/>
    <cellStyle name="常规 4 3 5 2 2 3 3 3" xfId="27435"/>
    <cellStyle name="常规 4 3 5 2 2 3 4" xfId="11739"/>
    <cellStyle name="常规 4 3 5 2 2 3 4 2" xfId="30587"/>
    <cellStyle name="常规 4 3 5 2 2 3 5" xfId="21163"/>
    <cellStyle name="常规 4 3 5 2 2 4" xfId="3103"/>
    <cellStyle name="常规 4 3 5 2 2 4 2" xfId="6239"/>
    <cellStyle name="常规 4 3 5 2 2 4 2 2" xfId="15659"/>
    <cellStyle name="常规 4 3 5 2 2 4 2 2 2" xfId="34507"/>
    <cellStyle name="常规 4 3 5 2 2 4 2 3" xfId="25083"/>
    <cellStyle name="常规 4 3 5 2 2 4 3" xfId="9375"/>
    <cellStyle name="常规 4 3 5 2 2 4 3 2" xfId="18795"/>
    <cellStyle name="常规 4 3 5 2 2 4 3 2 2" xfId="37643"/>
    <cellStyle name="常规 4 3 5 2 2 4 3 3" xfId="28219"/>
    <cellStyle name="常规 4 3 5 2 2 4 4" xfId="12523"/>
    <cellStyle name="常规 4 3 5 2 2 4 4 2" xfId="31371"/>
    <cellStyle name="常规 4 3 5 2 2 4 5" xfId="21947"/>
    <cellStyle name="常规 4 3 5 2 2 5" xfId="3887"/>
    <cellStyle name="常规 4 3 5 2 2 5 2" xfId="13307"/>
    <cellStyle name="常规 4 3 5 2 2 5 2 2" xfId="32155"/>
    <cellStyle name="常规 4 3 5 2 2 5 3" xfId="22731"/>
    <cellStyle name="常规 4 3 5 2 2 6" xfId="7023"/>
    <cellStyle name="常规 4 3 5 2 2 6 2" xfId="16443"/>
    <cellStyle name="常规 4 3 5 2 2 6 2 2" xfId="35291"/>
    <cellStyle name="常规 4 3 5 2 2 6 3" xfId="25867"/>
    <cellStyle name="常规 4 3 5 2 2 7" xfId="10171"/>
    <cellStyle name="常规 4 3 5 2 2 7 2" xfId="29019"/>
    <cellStyle name="常规 4 3 5 2 2 8" xfId="19595"/>
    <cellStyle name="常规 4 3 5 2 3" xfId="1143"/>
    <cellStyle name="常规 4 3 5 2 3 2" xfId="4279"/>
    <cellStyle name="常规 4 3 5 2 3 2 2" xfId="13699"/>
    <cellStyle name="常规 4 3 5 2 3 2 2 2" xfId="32547"/>
    <cellStyle name="常规 4 3 5 2 3 2 3" xfId="23123"/>
    <cellStyle name="常规 4 3 5 2 3 3" xfId="7415"/>
    <cellStyle name="常规 4 3 5 2 3 3 2" xfId="16835"/>
    <cellStyle name="常规 4 3 5 2 3 3 2 2" xfId="35683"/>
    <cellStyle name="常规 4 3 5 2 3 3 3" xfId="26259"/>
    <cellStyle name="常规 4 3 5 2 3 4" xfId="10563"/>
    <cellStyle name="常规 4 3 5 2 3 4 2" xfId="29411"/>
    <cellStyle name="常规 4 3 5 2 3 5" xfId="19987"/>
    <cellStyle name="常规 4 3 5 2 4" xfId="1927"/>
    <cellStyle name="常规 4 3 5 2 4 2" xfId="5063"/>
    <cellStyle name="常规 4 3 5 2 4 2 2" xfId="14483"/>
    <cellStyle name="常规 4 3 5 2 4 2 2 2" xfId="33331"/>
    <cellStyle name="常规 4 3 5 2 4 2 3" xfId="23907"/>
    <cellStyle name="常规 4 3 5 2 4 3" xfId="8199"/>
    <cellStyle name="常规 4 3 5 2 4 3 2" xfId="17619"/>
    <cellStyle name="常规 4 3 5 2 4 3 2 2" xfId="36467"/>
    <cellStyle name="常规 4 3 5 2 4 3 3" xfId="27043"/>
    <cellStyle name="常规 4 3 5 2 4 4" xfId="11347"/>
    <cellStyle name="常规 4 3 5 2 4 4 2" xfId="30195"/>
    <cellStyle name="常规 4 3 5 2 4 5" xfId="20771"/>
    <cellStyle name="常规 4 3 5 2 5" xfId="2711"/>
    <cellStyle name="常规 4 3 5 2 5 2" xfId="5847"/>
    <cellStyle name="常规 4 3 5 2 5 2 2" xfId="15267"/>
    <cellStyle name="常规 4 3 5 2 5 2 2 2" xfId="34115"/>
    <cellStyle name="常规 4 3 5 2 5 2 3" xfId="24691"/>
    <cellStyle name="常规 4 3 5 2 5 3" xfId="8983"/>
    <cellStyle name="常规 4 3 5 2 5 3 2" xfId="18403"/>
    <cellStyle name="常规 4 3 5 2 5 3 2 2" xfId="37251"/>
    <cellStyle name="常规 4 3 5 2 5 3 3" xfId="27827"/>
    <cellStyle name="常规 4 3 5 2 5 4" xfId="12131"/>
    <cellStyle name="常规 4 3 5 2 5 4 2" xfId="30979"/>
    <cellStyle name="常规 4 3 5 2 5 5" xfId="21555"/>
    <cellStyle name="常规 4 3 5 2 6" xfId="3503"/>
    <cellStyle name="常规 4 3 5 2 6 2" xfId="12923"/>
    <cellStyle name="常规 4 3 5 2 6 2 2" xfId="31771"/>
    <cellStyle name="常规 4 3 5 2 6 3" xfId="22347"/>
    <cellStyle name="常规 4 3 5 2 7" xfId="6631"/>
    <cellStyle name="常规 4 3 5 2 7 2" xfId="16051"/>
    <cellStyle name="常规 4 3 5 2 7 2 2" xfId="34899"/>
    <cellStyle name="常规 4 3 5 2 7 3" xfId="25475"/>
    <cellStyle name="常规 4 3 5 2 8" xfId="9778"/>
    <cellStyle name="常规 4 3 5 2 8 2" xfId="28623"/>
    <cellStyle name="常规 4 3 5 2 9" xfId="19201"/>
    <cellStyle name="常规 4 3 5 3" xfId="750"/>
    <cellStyle name="常规 4 3 5 3 2" xfId="1534"/>
    <cellStyle name="常规 4 3 5 3 2 2" xfId="4670"/>
    <cellStyle name="常规 4 3 5 3 2 2 2" xfId="14090"/>
    <cellStyle name="常规 4 3 5 3 2 2 2 2" xfId="32938"/>
    <cellStyle name="常规 4 3 5 3 2 2 3" xfId="23514"/>
    <cellStyle name="常规 4 3 5 3 2 3" xfId="7806"/>
    <cellStyle name="常规 4 3 5 3 2 3 2" xfId="17226"/>
    <cellStyle name="常规 4 3 5 3 2 3 2 2" xfId="36074"/>
    <cellStyle name="常规 4 3 5 3 2 3 3" xfId="26650"/>
    <cellStyle name="常规 4 3 5 3 2 4" xfId="10954"/>
    <cellStyle name="常规 4 3 5 3 2 4 2" xfId="29802"/>
    <cellStyle name="常规 4 3 5 3 2 5" xfId="20378"/>
    <cellStyle name="常规 4 3 5 3 3" xfId="2318"/>
    <cellStyle name="常规 4 3 5 3 3 2" xfId="5454"/>
    <cellStyle name="常规 4 3 5 3 3 2 2" xfId="14874"/>
    <cellStyle name="常规 4 3 5 3 3 2 2 2" xfId="33722"/>
    <cellStyle name="常规 4 3 5 3 3 2 3" xfId="24298"/>
    <cellStyle name="常规 4 3 5 3 3 3" xfId="8590"/>
    <cellStyle name="常规 4 3 5 3 3 3 2" xfId="18010"/>
    <cellStyle name="常规 4 3 5 3 3 3 2 2" xfId="36858"/>
    <cellStyle name="常规 4 3 5 3 3 3 3" xfId="27434"/>
    <cellStyle name="常规 4 3 5 3 3 4" xfId="11738"/>
    <cellStyle name="常规 4 3 5 3 3 4 2" xfId="30586"/>
    <cellStyle name="常规 4 3 5 3 3 5" xfId="21162"/>
    <cellStyle name="常规 4 3 5 3 4" xfId="3102"/>
    <cellStyle name="常规 4 3 5 3 4 2" xfId="6238"/>
    <cellStyle name="常规 4 3 5 3 4 2 2" xfId="15658"/>
    <cellStyle name="常规 4 3 5 3 4 2 2 2" xfId="34506"/>
    <cellStyle name="常规 4 3 5 3 4 2 3" xfId="25082"/>
    <cellStyle name="常规 4 3 5 3 4 3" xfId="9374"/>
    <cellStyle name="常规 4 3 5 3 4 3 2" xfId="18794"/>
    <cellStyle name="常规 4 3 5 3 4 3 2 2" xfId="37642"/>
    <cellStyle name="常规 4 3 5 3 4 3 3" xfId="28218"/>
    <cellStyle name="常规 4 3 5 3 4 4" xfId="12522"/>
    <cellStyle name="常规 4 3 5 3 4 4 2" xfId="31370"/>
    <cellStyle name="常规 4 3 5 3 4 5" xfId="21946"/>
    <cellStyle name="常规 4 3 5 3 5" xfId="3886"/>
    <cellStyle name="常规 4 3 5 3 5 2" xfId="13306"/>
    <cellStyle name="常规 4 3 5 3 5 2 2" xfId="32154"/>
    <cellStyle name="常规 4 3 5 3 5 3" xfId="22730"/>
    <cellStyle name="常规 4 3 5 3 6" xfId="7022"/>
    <cellStyle name="常规 4 3 5 3 6 2" xfId="16442"/>
    <cellStyle name="常规 4 3 5 3 6 2 2" xfId="35290"/>
    <cellStyle name="常规 4 3 5 3 6 3" xfId="25866"/>
    <cellStyle name="常规 4 3 5 3 7" xfId="10170"/>
    <cellStyle name="常规 4 3 5 3 7 2" xfId="29018"/>
    <cellStyle name="常规 4 3 5 3 8" xfId="19594"/>
    <cellStyle name="常规 4 3 5 4" xfId="1142"/>
    <cellStyle name="常规 4 3 5 4 2" xfId="4278"/>
    <cellStyle name="常规 4 3 5 4 2 2" xfId="13698"/>
    <cellStyle name="常规 4 3 5 4 2 2 2" xfId="32546"/>
    <cellStyle name="常规 4 3 5 4 2 3" xfId="23122"/>
    <cellStyle name="常规 4 3 5 4 3" xfId="7414"/>
    <cellStyle name="常规 4 3 5 4 3 2" xfId="16834"/>
    <cellStyle name="常规 4 3 5 4 3 2 2" xfId="35682"/>
    <cellStyle name="常规 4 3 5 4 3 3" xfId="26258"/>
    <cellStyle name="常规 4 3 5 4 4" xfId="10562"/>
    <cellStyle name="常规 4 3 5 4 4 2" xfId="29410"/>
    <cellStyle name="常规 4 3 5 4 5" xfId="19986"/>
    <cellStyle name="常规 4 3 5 5" xfId="1926"/>
    <cellStyle name="常规 4 3 5 5 2" xfId="5062"/>
    <cellStyle name="常规 4 3 5 5 2 2" xfId="14482"/>
    <cellStyle name="常规 4 3 5 5 2 2 2" xfId="33330"/>
    <cellStyle name="常规 4 3 5 5 2 3" xfId="23906"/>
    <cellStyle name="常规 4 3 5 5 3" xfId="8198"/>
    <cellStyle name="常规 4 3 5 5 3 2" xfId="17618"/>
    <cellStyle name="常规 4 3 5 5 3 2 2" xfId="36466"/>
    <cellStyle name="常规 4 3 5 5 3 3" xfId="27042"/>
    <cellStyle name="常规 4 3 5 5 4" xfId="11346"/>
    <cellStyle name="常规 4 3 5 5 4 2" xfId="30194"/>
    <cellStyle name="常规 4 3 5 5 5" xfId="20770"/>
    <cellStyle name="常规 4 3 5 6" xfId="2710"/>
    <cellStyle name="常规 4 3 5 6 2" xfId="5846"/>
    <cellStyle name="常规 4 3 5 6 2 2" xfId="15266"/>
    <cellStyle name="常规 4 3 5 6 2 2 2" xfId="34114"/>
    <cellStyle name="常规 4 3 5 6 2 3" xfId="24690"/>
    <cellStyle name="常规 4 3 5 6 3" xfId="8982"/>
    <cellStyle name="常规 4 3 5 6 3 2" xfId="18402"/>
    <cellStyle name="常规 4 3 5 6 3 2 2" xfId="37250"/>
    <cellStyle name="常规 4 3 5 6 3 3" xfId="27826"/>
    <cellStyle name="常规 4 3 5 6 4" xfId="12130"/>
    <cellStyle name="常规 4 3 5 6 4 2" xfId="30978"/>
    <cellStyle name="常规 4 3 5 6 5" xfId="21554"/>
    <cellStyle name="常规 4 3 5 7" xfId="3502"/>
    <cellStyle name="常规 4 3 5 7 2" xfId="12922"/>
    <cellStyle name="常规 4 3 5 7 2 2" xfId="31770"/>
    <cellStyle name="常规 4 3 5 7 3" xfId="22346"/>
    <cellStyle name="常规 4 3 5 8" xfId="6630"/>
    <cellStyle name="常规 4 3 5 8 2" xfId="16050"/>
    <cellStyle name="常规 4 3 5 8 2 2" xfId="34898"/>
    <cellStyle name="常规 4 3 5 8 3" xfId="25474"/>
    <cellStyle name="常规 4 3 5 9" xfId="9777"/>
    <cellStyle name="常规 4 3 5 9 2" xfId="28622"/>
    <cellStyle name="常规 4 3 6" xfId="356"/>
    <cellStyle name="常规 4 3 6 2" xfId="752"/>
    <cellStyle name="常规 4 3 6 2 2" xfId="1536"/>
    <cellStyle name="常规 4 3 6 2 2 2" xfId="4672"/>
    <cellStyle name="常规 4 3 6 2 2 2 2" xfId="14092"/>
    <cellStyle name="常规 4 3 6 2 2 2 2 2" xfId="32940"/>
    <cellStyle name="常规 4 3 6 2 2 2 3" xfId="23516"/>
    <cellStyle name="常规 4 3 6 2 2 3" xfId="7808"/>
    <cellStyle name="常规 4 3 6 2 2 3 2" xfId="17228"/>
    <cellStyle name="常规 4 3 6 2 2 3 2 2" xfId="36076"/>
    <cellStyle name="常规 4 3 6 2 2 3 3" xfId="26652"/>
    <cellStyle name="常规 4 3 6 2 2 4" xfId="10956"/>
    <cellStyle name="常规 4 3 6 2 2 4 2" xfId="29804"/>
    <cellStyle name="常规 4 3 6 2 2 5" xfId="20380"/>
    <cellStyle name="常规 4 3 6 2 3" xfId="2320"/>
    <cellStyle name="常规 4 3 6 2 3 2" xfId="5456"/>
    <cellStyle name="常规 4 3 6 2 3 2 2" xfId="14876"/>
    <cellStyle name="常规 4 3 6 2 3 2 2 2" xfId="33724"/>
    <cellStyle name="常规 4 3 6 2 3 2 3" xfId="24300"/>
    <cellStyle name="常规 4 3 6 2 3 3" xfId="8592"/>
    <cellStyle name="常规 4 3 6 2 3 3 2" xfId="18012"/>
    <cellStyle name="常规 4 3 6 2 3 3 2 2" xfId="36860"/>
    <cellStyle name="常规 4 3 6 2 3 3 3" xfId="27436"/>
    <cellStyle name="常规 4 3 6 2 3 4" xfId="11740"/>
    <cellStyle name="常规 4 3 6 2 3 4 2" xfId="30588"/>
    <cellStyle name="常规 4 3 6 2 3 5" xfId="21164"/>
    <cellStyle name="常规 4 3 6 2 4" xfId="3104"/>
    <cellStyle name="常规 4 3 6 2 4 2" xfId="6240"/>
    <cellStyle name="常规 4 3 6 2 4 2 2" xfId="15660"/>
    <cellStyle name="常规 4 3 6 2 4 2 2 2" xfId="34508"/>
    <cellStyle name="常规 4 3 6 2 4 2 3" xfId="25084"/>
    <cellStyle name="常规 4 3 6 2 4 3" xfId="9376"/>
    <cellStyle name="常规 4 3 6 2 4 3 2" xfId="18796"/>
    <cellStyle name="常规 4 3 6 2 4 3 2 2" xfId="37644"/>
    <cellStyle name="常规 4 3 6 2 4 3 3" xfId="28220"/>
    <cellStyle name="常规 4 3 6 2 4 4" xfId="12524"/>
    <cellStyle name="常规 4 3 6 2 4 4 2" xfId="31372"/>
    <cellStyle name="常规 4 3 6 2 4 5" xfId="21948"/>
    <cellStyle name="常规 4 3 6 2 5" xfId="3888"/>
    <cellStyle name="常规 4 3 6 2 5 2" xfId="13308"/>
    <cellStyle name="常规 4 3 6 2 5 2 2" xfId="32156"/>
    <cellStyle name="常规 4 3 6 2 5 3" xfId="22732"/>
    <cellStyle name="常规 4 3 6 2 6" xfId="7024"/>
    <cellStyle name="常规 4 3 6 2 6 2" xfId="16444"/>
    <cellStyle name="常规 4 3 6 2 6 2 2" xfId="35292"/>
    <cellStyle name="常规 4 3 6 2 6 3" xfId="25868"/>
    <cellStyle name="常规 4 3 6 2 7" xfId="10172"/>
    <cellStyle name="常规 4 3 6 2 7 2" xfId="29020"/>
    <cellStyle name="常规 4 3 6 2 8" xfId="19596"/>
    <cellStyle name="常规 4 3 6 3" xfId="1144"/>
    <cellStyle name="常规 4 3 6 3 2" xfId="4280"/>
    <cellStyle name="常规 4 3 6 3 2 2" xfId="13700"/>
    <cellStyle name="常规 4 3 6 3 2 2 2" xfId="32548"/>
    <cellStyle name="常规 4 3 6 3 2 3" xfId="23124"/>
    <cellStyle name="常规 4 3 6 3 3" xfId="7416"/>
    <cellStyle name="常规 4 3 6 3 3 2" xfId="16836"/>
    <cellStyle name="常规 4 3 6 3 3 2 2" xfId="35684"/>
    <cellStyle name="常规 4 3 6 3 3 3" xfId="26260"/>
    <cellStyle name="常规 4 3 6 3 4" xfId="10564"/>
    <cellStyle name="常规 4 3 6 3 4 2" xfId="29412"/>
    <cellStyle name="常规 4 3 6 3 5" xfId="19988"/>
    <cellStyle name="常规 4 3 6 4" xfId="1928"/>
    <cellStyle name="常规 4 3 6 4 2" xfId="5064"/>
    <cellStyle name="常规 4 3 6 4 2 2" xfId="14484"/>
    <cellStyle name="常规 4 3 6 4 2 2 2" xfId="33332"/>
    <cellStyle name="常规 4 3 6 4 2 3" xfId="23908"/>
    <cellStyle name="常规 4 3 6 4 3" xfId="8200"/>
    <cellStyle name="常规 4 3 6 4 3 2" xfId="17620"/>
    <cellStyle name="常规 4 3 6 4 3 2 2" xfId="36468"/>
    <cellStyle name="常规 4 3 6 4 3 3" xfId="27044"/>
    <cellStyle name="常规 4 3 6 4 4" xfId="11348"/>
    <cellStyle name="常规 4 3 6 4 4 2" xfId="30196"/>
    <cellStyle name="常规 4 3 6 4 5" xfId="20772"/>
    <cellStyle name="常规 4 3 6 5" xfId="2712"/>
    <cellStyle name="常规 4 3 6 5 2" xfId="5848"/>
    <cellStyle name="常规 4 3 6 5 2 2" xfId="15268"/>
    <cellStyle name="常规 4 3 6 5 2 2 2" xfId="34116"/>
    <cellStyle name="常规 4 3 6 5 2 3" xfId="24692"/>
    <cellStyle name="常规 4 3 6 5 3" xfId="8984"/>
    <cellStyle name="常规 4 3 6 5 3 2" xfId="18404"/>
    <cellStyle name="常规 4 3 6 5 3 2 2" xfId="37252"/>
    <cellStyle name="常规 4 3 6 5 3 3" xfId="27828"/>
    <cellStyle name="常规 4 3 6 5 4" xfId="12132"/>
    <cellStyle name="常规 4 3 6 5 4 2" xfId="30980"/>
    <cellStyle name="常规 4 3 6 5 5" xfId="21556"/>
    <cellStyle name="常规 4 3 6 6" xfId="3504"/>
    <cellStyle name="常规 4 3 6 6 2" xfId="12924"/>
    <cellStyle name="常规 4 3 6 6 2 2" xfId="31772"/>
    <cellStyle name="常规 4 3 6 6 3" xfId="22348"/>
    <cellStyle name="常规 4 3 6 7" xfId="6632"/>
    <cellStyle name="常规 4 3 6 7 2" xfId="16052"/>
    <cellStyle name="常规 4 3 6 7 2 2" xfId="34900"/>
    <cellStyle name="常规 4 3 6 7 3" xfId="25476"/>
    <cellStyle name="常规 4 3 6 8" xfId="9779"/>
    <cellStyle name="常规 4 3 6 8 2" xfId="28624"/>
    <cellStyle name="常规 4 3 6 9" xfId="19202"/>
    <cellStyle name="常规 4 3 7" xfId="721"/>
    <cellStyle name="常规 4 3 7 2" xfId="1505"/>
    <cellStyle name="常规 4 3 7 2 2" xfId="4641"/>
    <cellStyle name="常规 4 3 7 2 2 2" xfId="14061"/>
    <cellStyle name="常规 4 3 7 2 2 2 2" xfId="32909"/>
    <cellStyle name="常规 4 3 7 2 2 3" xfId="23485"/>
    <cellStyle name="常规 4 3 7 2 3" xfId="7777"/>
    <cellStyle name="常规 4 3 7 2 3 2" xfId="17197"/>
    <cellStyle name="常规 4 3 7 2 3 2 2" xfId="36045"/>
    <cellStyle name="常规 4 3 7 2 3 3" xfId="26621"/>
    <cellStyle name="常规 4 3 7 2 4" xfId="10925"/>
    <cellStyle name="常规 4 3 7 2 4 2" xfId="29773"/>
    <cellStyle name="常规 4 3 7 2 5" xfId="20349"/>
    <cellStyle name="常规 4 3 7 3" xfId="2289"/>
    <cellStyle name="常规 4 3 7 3 2" xfId="5425"/>
    <cellStyle name="常规 4 3 7 3 2 2" xfId="14845"/>
    <cellStyle name="常规 4 3 7 3 2 2 2" xfId="33693"/>
    <cellStyle name="常规 4 3 7 3 2 3" xfId="24269"/>
    <cellStyle name="常规 4 3 7 3 3" xfId="8561"/>
    <cellStyle name="常规 4 3 7 3 3 2" xfId="17981"/>
    <cellStyle name="常规 4 3 7 3 3 2 2" xfId="36829"/>
    <cellStyle name="常规 4 3 7 3 3 3" xfId="27405"/>
    <cellStyle name="常规 4 3 7 3 4" xfId="11709"/>
    <cellStyle name="常规 4 3 7 3 4 2" xfId="30557"/>
    <cellStyle name="常规 4 3 7 3 5" xfId="21133"/>
    <cellStyle name="常规 4 3 7 4" xfId="3073"/>
    <cellStyle name="常规 4 3 7 4 2" xfId="6209"/>
    <cellStyle name="常规 4 3 7 4 2 2" xfId="15629"/>
    <cellStyle name="常规 4 3 7 4 2 2 2" xfId="34477"/>
    <cellStyle name="常规 4 3 7 4 2 3" xfId="25053"/>
    <cellStyle name="常规 4 3 7 4 3" xfId="9345"/>
    <cellStyle name="常规 4 3 7 4 3 2" xfId="18765"/>
    <cellStyle name="常规 4 3 7 4 3 2 2" xfId="37613"/>
    <cellStyle name="常规 4 3 7 4 3 3" xfId="28189"/>
    <cellStyle name="常规 4 3 7 4 4" xfId="12493"/>
    <cellStyle name="常规 4 3 7 4 4 2" xfId="31341"/>
    <cellStyle name="常规 4 3 7 4 5" xfId="21917"/>
    <cellStyle name="常规 4 3 7 5" xfId="3857"/>
    <cellStyle name="常规 4 3 7 5 2" xfId="13277"/>
    <cellStyle name="常规 4 3 7 5 2 2" xfId="32125"/>
    <cellStyle name="常规 4 3 7 5 3" xfId="22701"/>
    <cellStyle name="常规 4 3 7 6" xfId="6993"/>
    <cellStyle name="常规 4 3 7 6 2" xfId="16413"/>
    <cellStyle name="常规 4 3 7 6 2 2" xfId="35261"/>
    <cellStyle name="常规 4 3 7 6 3" xfId="25837"/>
    <cellStyle name="常规 4 3 7 7" xfId="10141"/>
    <cellStyle name="常规 4 3 7 7 2" xfId="28989"/>
    <cellStyle name="常规 4 3 7 8" xfId="19565"/>
    <cellStyle name="常规 4 3 8" xfId="1113"/>
    <cellStyle name="常规 4 3 8 2" xfId="4249"/>
    <cellStyle name="常规 4 3 8 2 2" xfId="13669"/>
    <cellStyle name="常规 4 3 8 2 2 2" xfId="32517"/>
    <cellStyle name="常规 4 3 8 2 3" xfId="23093"/>
    <cellStyle name="常规 4 3 8 3" xfId="7385"/>
    <cellStyle name="常规 4 3 8 3 2" xfId="16805"/>
    <cellStyle name="常规 4 3 8 3 2 2" xfId="35653"/>
    <cellStyle name="常规 4 3 8 3 3" xfId="26229"/>
    <cellStyle name="常规 4 3 8 4" xfId="10533"/>
    <cellStyle name="常规 4 3 8 4 2" xfId="29381"/>
    <cellStyle name="常规 4 3 8 5" xfId="19957"/>
    <cellStyle name="常规 4 3 9" xfId="1897"/>
    <cellStyle name="常规 4 3 9 2" xfId="5033"/>
    <cellStyle name="常规 4 3 9 2 2" xfId="14453"/>
    <cellStyle name="常规 4 3 9 2 2 2" xfId="33301"/>
    <cellStyle name="常规 4 3 9 2 3" xfId="23877"/>
    <cellStyle name="常规 4 3 9 3" xfId="8169"/>
    <cellStyle name="常规 4 3 9 3 2" xfId="17589"/>
    <cellStyle name="常规 4 3 9 3 2 2" xfId="36437"/>
    <cellStyle name="常规 4 3 9 3 3" xfId="27013"/>
    <cellStyle name="常规 4 3 9 4" xfId="11317"/>
    <cellStyle name="常规 4 3 9 4 2" xfId="30165"/>
    <cellStyle name="常规 4 3 9 5" xfId="20741"/>
    <cellStyle name="常规 4 4" xfId="357"/>
    <cellStyle name="常规 4 4 10" xfId="3187"/>
    <cellStyle name="常规 4 4 10 2" xfId="12607"/>
    <cellStyle name="常规 4 4 10 2 2" xfId="31455"/>
    <cellStyle name="常规 4 4 10 3" xfId="22031"/>
    <cellStyle name="常规 4 4 11" xfId="6633"/>
    <cellStyle name="常规 4 4 11 2" xfId="16053"/>
    <cellStyle name="常规 4 4 11 2 2" xfId="34901"/>
    <cellStyle name="常规 4 4 11 3" xfId="25477"/>
    <cellStyle name="常规 4 4 12" xfId="9780"/>
    <cellStyle name="常规 4 4 12 2" xfId="28625"/>
    <cellStyle name="常规 4 4 13" xfId="19203"/>
    <cellStyle name="常规 4 4 2" xfId="358"/>
    <cellStyle name="常规 4 4 2 10" xfId="6634"/>
    <cellStyle name="常规 4 4 2 10 2" xfId="16054"/>
    <cellStyle name="常规 4 4 2 10 2 2" xfId="34902"/>
    <cellStyle name="常规 4 4 2 10 3" xfId="25478"/>
    <cellStyle name="常规 4 4 2 11" xfId="9781"/>
    <cellStyle name="常规 4 4 2 11 2" xfId="28626"/>
    <cellStyle name="常规 4 4 2 12" xfId="19204"/>
    <cellStyle name="常规 4 4 2 2" xfId="359"/>
    <cellStyle name="常规 4 4 2 2 10" xfId="9782"/>
    <cellStyle name="常规 4 4 2 2 10 2" xfId="28627"/>
    <cellStyle name="常规 4 4 2 2 11" xfId="19205"/>
    <cellStyle name="常规 4 4 2 2 2" xfId="360"/>
    <cellStyle name="常规 4 4 2 2 2 10" xfId="19206"/>
    <cellStyle name="常规 4 4 2 2 2 2" xfId="361"/>
    <cellStyle name="常规 4 4 2 2 2 2 2" xfId="757"/>
    <cellStyle name="常规 4 4 2 2 2 2 2 2" xfId="1541"/>
    <cellStyle name="常规 4 4 2 2 2 2 2 2 2" xfId="4677"/>
    <cellStyle name="常规 4 4 2 2 2 2 2 2 2 2" xfId="14097"/>
    <cellStyle name="常规 4 4 2 2 2 2 2 2 2 2 2" xfId="32945"/>
    <cellStyle name="常规 4 4 2 2 2 2 2 2 2 3" xfId="23521"/>
    <cellStyle name="常规 4 4 2 2 2 2 2 2 3" xfId="7813"/>
    <cellStyle name="常规 4 4 2 2 2 2 2 2 3 2" xfId="17233"/>
    <cellStyle name="常规 4 4 2 2 2 2 2 2 3 2 2" xfId="36081"/>
    <cellStyle name="常规 4 4 2 2 2 2 2 2 3 3" xfId="26657"/>
    <cellStyle name="常规 4 4 2 2 2 2 2 2 4" xfId="10961"/>
    <cellStyle name="常规 4 4 2 2 2 2 2 2 4 2" xfId="29809"/>
    <cellStyle name="常规 4 4 2 2 2 2 2 2 5" xfId="20385"/>
    <cellStyle name="常规 4 4 2 2 2 2 2 3" xfId="2325"/>
    <cellStyle name="常规 4 4 2 2 2 2 2 3 2" xfId="5461"/>
    <cellStyle name="常规 4 4 2 2 2 2 2 3 2 2" xfId="14881"/>
    <cellStyle name="常规 4 4 2 2 2 2 2 3 2 2 2" xfId="33729"/>
    <cellStyle name="常规 4 4 2 2 2 2 2 3 2 3" xfId="24305"/>
    <cellStyle name="常规 4 4 2 2 2 2 2 3 3" xfId="8597"/>
    <cellStyle name="常规 4 4 2 2 2 2 2 3 3 2" xfId="18017"/>
    <cellStyle name="常规 4 4 2 2 2 2 2 3 3 2 2" xfId="36865"/>
    <cellStyle name="常规 4 4 2 2 2 2 2 3 3 3" xfId="27441"/>
    <cellStyle name="常规 4 4 2 2 2 2 2 3 4" xfId="11745"/>
    <cellStyle name="常规 4 4 2 2 2 2 2 3 4 2" xfId="30593"/>
    <cellStyle name="常规 4 4 2 2 2 2 2 3 5" xfId="21169"/>
    <cellStyle name="常规 4 4 2 2 2 2 2 4" xfId="3109"/>
    <cellStyle name="常规 4 4 2 2 2 2 2 4 2" xfId="6245"/>
    <cellStyle name="常规 4 4 2 2 2 2 2 4 2 2" xfId="15665"/>
    <cellStyle name="常规 4 4 2 2 2 2 2 4 2 2 2" xfId="34513"/>
    <cellStyle name="常规 4 4 2 2 2 2 2 4 2 3" xfId="25089"/>
    <cellStyle name="常规 4 4 2 2 2 2 2 4 3" xfId="9381"/>
    <cellStyle name="常规 4 4 2 2 2 2 2 4 3 2" xfId="18801"/>
    <cellStyle name="常规 4 4 2 2 2 2 2 4 3 2 2" xfId="37649"/>
    <cellStyle name="常规 4 4 2 2 2 2 2 4 3 3" xfId="28225"/>
    <cellStyle name="常规 4 4 2 2 2 2 2 4 4" xfId="12529"/>
    <cellStyle name="常规 4 4 2 2 2 2 2 4 4 2" xfId="31377"/>
    <cellStyle name="常规 4 4 2 2 2 2 2 4 5" xfId="21953"/>
    <cellStyle name="常规 4 4 2 2 2 2 2 5" xfId="3893"/>
    <cellStyle name="常规 4 4 2 2 2 2 2 5 2" xfId="13313"/>
    <cellStyle name="常规 4 4 2 2 2 2 2 5 2 2" xfId="32161"/>
    <cellStyle name="常规 4 4 2 2 2 2 2 5 3" xfId="22737"/>
    <cellStyle name="常规 4 4 2 2 2 2 2 6" xfId="7029"/>
    <cellStyle name="常规 4 4 2 2 2 2 2 6 2" xfId="16449"/>
    <cellStyle name="常规 4 4 2 2 2 2 2 6 2 2" xfId="35297"/>
    <cellStyle name="常规 4 4 2 2 2 2 2 6 3" xfId="25873"/>
    <cellStyle name="常规 4 4 2 2 2 2 2 7" xfId="10177"/>
    <cellStyle name="常规 4 4 2 2 2 2 2 7 2" xfId="29025"/>
    <cellStyle name="常规 4 4 2 2 2 2 2 8" xfId="19601"/>
    <cellStyle name="常规 4 4 2 2 2 2 3" xfId="1149"/>
    <cellStyle name="常规 4 4 2 2 2 2 3 2" xfId="4285"/>
    <cellStyle name="常规 4 4 2 2 2 2 3 2 2" xfId="13705"/>
    <cellStyle name="常规 4 4 2 2 2 2 3 2 2 2" xfId="32553"/>
    <cellStyle name="常规 4 4 2 2 2 2 3 2 3" xfId="23129"/>
    <cellStyle name="常规 4 4 2 2 2 2 3 3" xfId="7421"/>
    <cellStyle name="常规 4 4 2 2 2 2 3 3 2" xfId="16841"/>
    <cellStyle name="常规 4 4 2 2 2 2 3 3 2 2" xfId="35689"/>
    <cellStyle name="常规 4 4 2 2 2 2 3 3 3" xfId="26265"/>
    <cellStyle name="常规 4 4 2 2 2 2 3 4" xfId="10569"/>
    <cellStyle name="常规 4 4 2 2 2 2 3 4 2" xfId="29417"/>
    <cellStyle name="常规 4 4 2 2 2 2 3 5" xfId="19993"/>
    <cellStyle name="常规 4 4 2 2 2 2 4" xfId="1933"/>
    <cellStyle name="常规 4 4 2 2 2 2 4 2" xfId="5069"/>
    <cellStyle name="常规 4 4 2 2 2 2 4 2 2" xfId="14489"/>
    <cellStyle name="常规 4 4 2 2 2 2 4 2 2 2" xfId="33337"/>
    <cellStyle name="常规 4 4 2 2 2 2 4 2 3" xfId="23913"/>
    <cellStyle name="常规 4 4 2 2 2 2 4 3" xfId="8205"/>
    <cellStyle name="常规 4 4 2 2 2 2 4 3 2" xfId="17625"/>
    <cellStyle name="常规 4 4 2 2 2 2 4 3 2 2" xfId="36473"/>
    <cellStyle name="常规 4 4 2 2 2 2 4 3 3" xfId="27049"/>
    <cellStyle name="常规 4 4 2 2 2 2 4 4" xfId="11353"/>
    <cellStyle name="常规 4 4 2 2 2 2 4 4 2" xfId="30201"/>
    <cellStyle name="常规 4 4 2 2 2 2 4 5" xfId="20777"/>
    <cellStyle name="常规 4 4 2 2 2 2 5" xfId="2717"/>
    <cellStyle name="常规 4 4 2 2 2 2 5 2" xfId="5853"/>
    <cellStyle name="常规 4 4 2 2 2 2 5 2 2" xfId="15273"/>
    <cellStyle name="常规 4 4 2 2 2 2 5 2 2 2" xfId="34121"/>
    <cellStyle name="常规 4 4 2 2 2 2 5 2 3" xfId="24697"/>
    <cellStyle name="常规 4 4 2 2 2 2 5 3" xfId="8989"/>
    <cellStyle name="常规 4 4 2 2 2 2 5 3 2" xfId="18409"/>
    <cellStyle name="常规 4 4 2 2 2 2 5 3 2 2" xfId="37257"/>
    <cellStyle name="常规 4 4 2 2 2 2 5 3 3" xfId="27833"/>
    <cellStyle name="常规 4 4 2 2 2 2 5 4" xfId="12137"/>
    <cellStyle name="常规 4 4 2 2 2 2 5 4 2" xfId="30985"/>
    <cellStyle name="常规 4 4 2 2 2 2 5 5" xfId="21561"/>
    <cellStyle name="常规 4 4 2 2 2 2 6" xfId="3506"/>
    <cellStyle name="常规 4 4 2 2 2 2 6 2" xfId="12926"/>
    <cellStyle name="常规 4 4 2 2 2 2 6 2 2" xfId="31774"/>
    <cellStyle name="常规 4 4 2 2 2 2 6 3" xfId="22350"/>
    <cellStyle name="常规 4 4 2 2 2 2 7" xfId="6637"/>
    <cellStyle name="常规 4 4 2 2 2 2 7 2" xfId="16057"/>
    <cellStyle name="常规 4 4 2 2 2 2 7 2 2" xfId="34905"/>
    <cellStyle name="常规 4 4 2 2 2 2 7 3" xfId="25481"/>
    <cellStyle name="常规 4 4 2 2 2 2 8" xfId="9784"/>
    <cellStyle name="常规 4 4 2 2 2 2 8 2" xfId="28629"/>
    <cellStyle name="常规 4 4 2 2 2 2 9" xfId="19207"/>
    <cellStyle name="常规 4 4 2 2 2 3" xfId="756"/>
    <cellStyle name="常规 4 4 2 2 2 3 2" xfId="1540"/>
    <cellStyle name="常规 4 4 2 2 2 3 2 2" xfId="4676"/>
    <cellStyle name="常规 4 4 2 2 2 3 2 2 2" xfId="14096"/>
    <cellStyle name="常规 4 4 2 2 2 3 2 2 2 2" xfId="32944"/>
    <cellStyle name="常规 4 4 2 2 2 3 2 2 3" xfId="23520"/>
    <cellStyle name="常规 4 4 2 2 2 3 2 3" xfId="7812"/>
    <cellStyle name="常规 4 4 2 2 2 3 2 3 2" xfId="17232"/>
    <cellStyle name="常规 4 4 2 2 2 3 2 3 2 2" xfId="36080"/>
    <cellStyle name="常规 4 4 2 2 2 3 2 3 3" xfId="26656"/>
    <cellStyle name="常规 4 4 2 2 2 3 2 4" xfId="10960"/>
    <cellStyle name="常规 4 4 2 2 2 3 2 4 2" xfId="29808"/>
    <cellStyle name="常规 4 4 2 2 2 3 2 5" xfId="20384"/>
    <cellStyle name="常规 4 4 2 2 2 3 3" xfId="2324"/>
    <cellStyle name="常规 4 4 2 2 2 3 3 2" xfId="5460"/>
    <cellStyle name="常规 4 4 2 2 2 3 3 2 2" xfId="14880"/>
    <cellStyle name="常规 4 4 2 2 2 3 3 2 2 2" xfId="33728"/>
    <cellStyle name="常规 4 4 2 2 2 3 3 2 3" xfId="24304"/>
    <cellStyle name="常规 4 4 2 2 2 3 3 3" xfId="8596"/>
    <cellStyle name="常规 4 4 2 2 2 3 3 3 2" xfId="18016"/>
    <cellStyle name="常规 4 4 2 2 2 3 3 3 2 2" xfId="36864"/>
    <cellStyle name="常规 4 4 2 2 2 3 3 3 3" xfId="27440"/>
    <cellStyle name="常规 4 4 2 2 2 3 3 4" xfId="11744"/>
    <cellStyle name="常规 4 4 2 2 2 3 3 4 2" xfId="30592"/>
    <cellStyle name="常规 4 4 2 2 2 3 3 5" xfId="21168"/>
    <cellStyle name="常规 4 4 2 2 2 3 4" xfId="3108"/>
    <cellStyle name="常规 4 4 2 2 2 3 4 2" xfId="6244"/>
    <cellStyle name="常规 4 4 2 2 2 3 4 2 2" xfId="15664"/>
    <cellStyle name="常规 4 4 2 2 2 3 4 2 2 2" xfId="34512"/>
    <cellStyle name="常规 4 4 2 2 2 3 4 2 3" xfId="25088"/>
    <cellStyle name="常规 4 4 2 2 2 3 4 3" xfId="9380"/>
    <cellStyle name="常规 4 4 2 2 2 3 4 3 2" xfId="18800"/>
    <cellStyle name="常规 4 4 2 2 2 3 4 3 2 2" xfId="37648"/>
    <cellStyle name="常规 4 4 2 2 2 3 4 3 3" xfId="28224"/>
    <cellStyle name="常规 4 4 2 2 2 3 4 4" xfId="12528"/>
    <cellStyle name="常规 4 4 2 2 2 3 4 4 2" xfId="31376"/>
    <cellStyle name="常规 4 4 2 2 2 3 4 5" xfId="21952"/>
    <cellStyle name="常规 4 4 2 2 2 3 5" xfId="3892"/>
    <cellStyle name="常规 4 4 2 2 2 3 5 2" xfId="13312"/>
    <cellStyle name="常规 4 4 2 2 2 3 5 2 2" xfId="32160"/>
    <cellStyle name="常规 4 4 2 2 2 3 5 3" xfId="22736"/>
    <cellStyle name="常规 4 4 2 2 2 3 6" xfId="7028"/>
    <cellStyle name="常规 4 4 2 2 2 3 6 2" xfId="16448"/>
    <cellStyle name="常规 4 4 2 2 2 3 6 2 2" xfId="35296"/>
    <cellStyle name="常规 4 4 2 2 2 3 6 3" xfId="25872"/>
    <cellStyle name="常规 4 4 2 2 2 3 7" xfId="10176"/>
    <cellStyle name="常规 4 4 2 2 2 3 7 2" xfId="29024"/>
    <cellStyle name="常规 4 4 2 2 2 3 8" xfId="19600"/>
    <cellStyle name="常规 4 4 2 2 2 4" xfId="1148"/>
    <cellStyle name="常规 4 4 2 2 2 4 2" xfId="4284"/>
    <cellStyle name="常规 4 4 2 2 2 4 2 2" xfId="13704"/>
    <cellStyle name="常规 4 4 2 2 2 4 2 2 2" xfId="32552"/>
    <cellStyle name="常规 4 4 2 2 2 4 2 3" xfId="23128"/>
    <cellStyle name="常规 4 4 2 2 2 4 3" xfId="7420"/>
    <cellStyle name="常规 4 4 2 2 2 4 3 2" xfId="16840"/>
    <cellStyle name="常规 4 4 2 2 2 4 3 2 2" xfId="35688"/>
    <cellStyle name="常规 4 4 2 2 2 4 3 3" xfId="26264"/>
    <cellStyle name="常规 4 4 2 2 2 4 4" xfId="10568"/>
    <cellStyle name="常规 4 4 2 2 2 4 4 2" xfId="29416"/>
    <cellStyle name="常规 4 4 2 2 2 4 5" xfId="19992"/>
    <cellStyle name="常规 4 4 2 2 2 5" xfId="1932"/>
    <cellStyle name="常规 4 4 2 2 2 5 2" xfId="5068"/>
    <cellStyle name="常规 4 4 2 2 2 5 2 2" xfId="14488"/>
    <cellStyle name="常规 4 4 2 2 2 5 2 2 2" xfId="33336"/>
    <cellStyle name="常规 4 4 2 2 2 5 2 3" xfId="23912"/>
    <cellStyle name="常规 4 4 2 2 2 5 3" xfId="8204"/>
    <cellStyle name="常规 4 4 2 2 2 5 3 2" xfId="17624"/>
    <cellStyle name="常规 4 4 2 2 2 5 3 2 2" xfId="36472"/>
    <cellStyle name="常规 4 4 2 2 2 5 3 3" xfId="27048"/>
    <cellStyle name="常规 4 4 2 2 2 5 4" xfId="11352"/>
    <cellStyle name="常规 4 4 2 2 2 5 4 2" xfId="30200"/>
    <cellStyle name="常规 4 4 2 2 2 5 5" xfId="20776"/>
    <cellStyle name="常规 4 4 2 2 2 6" xfId="2716"/>
    <cellStyle name="常规 4 4 2 2 2 6 2" xfId="5852"/>
    <cellStyle name="常规 4 4 2 2 2 6 2 2" xfId="15272"/>
    <cellStyle name="常规 4 4 2 2 2 6 2 2 2" xfId="34120"/>
    <cellStyle name="常规 4 4 2 2 2 6 2 3" xfId="24696"/>
    <cellStyle name="常规 4 4 2 2 2 6 3" xfId="8988"/>
    <cellStyle name="常规 4 4 2 2 2 6 3 2" xfId="18408"/>
    <cellStyle name="常规 4 4 2 2 2 6 3 2 2" xfId="37256"/>
    <cellStyle name="常规 4 4 2 2 2 6 3 3" xfId="27832"/>
    <cellStyle name="常规 4 4 2 2 2 6 4" xfId="12136"/>
    <cellStyle name="常规 4 4 2 2 2 6 4 2" xfId="30984"/>
    <cellStyle name="常规 4 4 2 2 2 6 5" xfId="21560"/>
    <cellStyle name="常规 4 4 2 2 2 7" xfId="3505"/>
    <cellStyle name="常规 4 4 2 2 2 7 2" xfId="12925"/>
    <cellStyle name="常规 4 4 2 2 2 7 2 2" xfId="31773"/>
    <cellStyle name="常规 4 4 2 2 2 7 3" xfId="22349"/>
    <cellStyle name="常规 4 4 2 2 2 8" xfId="6636"/>
    <cellStyle name="常规 4 4 2 2 2 8 2" xfId="16056"/>
    <cellStyle name="常规 4 4 2 2 2 8 2 2" xfId="34904"/>
    <cellStyle name="常规 4 4 2 2 2 8 3" xfId="25480"/>
    <cellStyle name="常规 4 4 2 2 2 9" xfId="9783"/>
    <cellStyle name="常规 4 4 2 2 2 9 2" xfId="28628"/>
    <cellStyle name="常规 4 4 2 2 3" xfId="362"/>
    <cellStyle name="常规 4 4 2 2 3 2" xfId="758"/>
    <cellStyle name="常规 4 4 2 2 3 2 2" xfId="1542"/>
    <cellStyle name="常规 4 4 2 2 3 2 2 2" xfId="4678"/>
    <cellStyle name="常规 4 4 2 2 3 2 2 2 2" xfId="14098"/>
    <cellStyle name="常规 4 4 2 2 3 2 2 2 2 2" xfId="32946"/>
    <cellStyle name="常规 4 4 2 2 3 2 2 2 3" xfId="23522"/>
    <cellStyle name="常规 4 4 2 2 3 2 2 3" xfId="7814"/>
    <cellStyle name="常规 4 4 2 2 3 2 2 3 2" xfId="17234"/>
    <cellStyle name="常规 4 4 2 2 3 2 2 3 2 2" xfId="36082"/>
    <cellStyle name="常规 4 4 2 2 3 2 2 3 3" xfId="26658"/>
    <cellStyle name="常规 4 4 2 2 3 2 2 4" xfId="10962"/>
    <cellStyle name="常规 4 4 2 2 3 2 2 4 2" xfId="29810"/>
    <cellStyle name="常规 4 4 2 2 3 2 2 5" xfId="20386"/>
    <cellStyle name="常规 4 4 2 2 3 2 3" xfId="2326"/>
    <cellStyle name="常规 4 4 2 2 3 2 3 2" xfId="5462"/>
    <cellStyle name="常规 4 4 2 2 3 2 3 2 2" xfId="14882"/>
    <cellStyle name="常规 4 4 2 2 3 2 3 2 2 2" xfId="33730"/>
    <cellStyle name="常规 4 4 2 2 3 2 3 2 3" xfId="24306"/>
    <cellStyle name="常规 4 4 2 2 3 2 3 3" xfId="8598"/>
    <cellStyle name="常规 4 4 2 2 3 2 3 3 2" xfId="18018"/>
    <cellStyle name="常规 4 4 2 2 3 2 3 3 2 2" xfId="36866"/>
    <cellStyle name="常规 4 4 2 2 3 2 3 3 3" xfId="27442"/>
    <cellStyle name="常规 4 4 2 2 3 2 3 4" xfId="11746"/>
    <cellStyle name="常规 4 4 2 2 3 2 3 4 2" xfId="30594"/>
    <cellStyle name="常规 4 4 2 2 3 2 3 5" xfId="21170"/>
    <cellStyle name="常规 4 4 2 2 3 2 4" xfId="3110"/>
    <cellStyle name="常规 4 4 2 2 3 2 4 2" xfId="6246"/>
    <cellStyle name="常规 4 4 2 2 3 2 4 2 2" xfId="15666"/>
    <cellStyle name="常规 4 4 2 2 3 2 4 2 2 2" xfId="34514"/>
    <cellStyle name="常规 4 4 2 2 3 2 4 2 3" xfId="25090"/>
    <cellStyle name="常规 4 4 2 2 3 2 4 3" xfId="9382"/>
    <cellStyle name="常规 4 4 2 2 3 2 4 3 2" xfId="18802"/>
    <cellStyle name="常规 4 4 2 2 3 2 4 3 2 2" xfId="37650"/>
    <cellStyle name="常规 4 4 2 2 3 2 4 3 3" xfId="28226"/>
    <cellStyle name="常规 4 4 2 2 3 2 4 4" xfId="12530"/>
    <cellStyle name="常规 4 4 2 2 3 2 4 4 2" xfId="31378"/>
    <cellStyle name="常规 4 4 2 2 3 2 4 5" xfId="21954"/>
    <cellStyle name="常规 4 4 2 2 3 2 5" xfId="3894"/>
    <cellStyle name="常规 4 4 2 2 3 2 5 2" xfId="13314"/>
    <cellStyle name="常规 4 4 2 2 3 2 5 2 2" xfId="32162"/>
    <cellStyle name="常规 4 4 2 2 3 2 5 3" xfId="22738"/>
    <cellStyle name="常规 4 4 2 2 3 2 6" xfId="7030"/>
    <cellStyle name="常规 4 4 2 2 3 2 6 2" xfId="16450"/>
    <cellStyle name="常规 4 4 2 2 3 2 6 2 2" xfId="35298"/>
    <cellStyle name="常规 4 4 2 2 3 2 6 3" xfId="25874"/>
    <cellStyle name="常规 4 4 2 2 3 2 7" xfId="10178"/>
    <cellStyle name="常规 4 4 2 2 3 2 7 2" xfId="29026"/>
    <cellStyle name="常规 4 4 2 2 3 2 8" xfId="19602"/>
    <cellStyle name="常规 4 4 2 2 3 3" xfId="1150"/>
    <cellStyle name="常规 4 4 2 2 3 3 2" xfId="4286"/>
    <cellStyle name="常规 4 4 2 2 3 3 2 2" xfId="13706"/>
    <cellStyle name="常规 4 4 2 2 3 3 2 2 2" xfId="32554"/>
    <cellStyle name="常规 4 4 2 2 3 3 2 3" xfId="23130"/>
    <cellStyle name="常规 4 4 2 2 3 3 3" xfId="7422"/>
    <cellStyle name="常规 4 4 2 2 3 3 3 2" xfId="16842"/>
    <cellStyle name="常规 4 4 2 2 3 3 3 2 2" xfId="35690"/>
    <cellStyle name="常规 4 4 2 2 3 3 3 3" xfId="26266"/>
    <cellStyle name="常规 4 4 2 2 3 3 4" xfId="10570"/>
    <cellStyle name="常规 4 4 2 2 3 3 4 2" xfId="29418"/>
    <cellStyle name="常规 4 4 2 2 3 3 5" xfId="19994"/>
    <cellStyle name="常规 4 4 2 2 3 4" xfId="1934"/>
    <cellStyle name="常规 4 4 2 2 3 4 2" xfId="5070"/>
    <cellStyle name="常规 4 4 2 2 3 4 2 2" xfId="14490"/>
    <cellStyle name="常规 4 4 2 2 3 4 2 2 2" xfId="33338"/>
    <cellStyle name="常规 4 4 2 2 3 4 2 3" xfId="23914"/>
    <cellStyle name="常规 4 4 2 2 3 4 3" xfId="8206"/>
    <cellStyle name="常规 4 4 2 2 3 4 3 2" xfId="17626"/>
    <cellStyle name="常规 4 4 2 2 3 4 3 2 2" xfId="36474"/>
    <cellStyle name="常规 4 4 2 2 3 4 3 3" xfId="27050"/>
    <cellStyle name="常规 4 4 2 2 3 4 4" xfId="11354"/>
    <cellStyle name="常规 4 4 2 2 3 4 4 2" xfId="30202"/>
    <cellStyle name="常规 4 4 2 2 3 4 5" xfId="20778"/>
    <cellStyle name="常规 4 4 2 2 3 5" xfId="2718"/>
    <cellStyle name="常规 4 4 2 2 3 5 2" xfId="5854"/>
    <cellStyle name="常规 4 4 2 2 3 5 2 2" xfId="15274"/>
    <cellStyle name="常规 4 4 2 2 3 5 2 2 2" xfId="34122"/>
    <cellStyle name="常规 4 4 2 2 3 5 2 3" xfId="24698"/>
    <cellStyle name="常规 4 4 2 2 3 5 3" xfId="8990"/>
    <cellStyle name="常规 4 4 2 2 3 5 3 2" xfId="18410"/>
    <cellStyle name="常规 4 4 2 2 3 5 3 2 2" xfId="37258"/>
    <cellStyle name="常规 4 4 2 2 3 5 3 3" xfId="27834"/>
    <cellStyle name="常规 4 4 2 2 3 5 4" xfId="12138"/>
    <cellStyle name="常规 4 4 2 2 3 5 4 2" xfId="30986"/>
    <cellStyle name="常规 4 4 2 2 3 5 5" xfId="21562"/>
    <cellStyle name="常规 4 4 2 2 3 6" xfId="3507"/>
    <cellStyle name="常规 4 4 2 2 3 6 2" xfId="12927"/>
    <cellStyle name="常规 4 4 2 2 3 6 2 2" xfId="31775"/>
    <cellStyle name="常规 4 4 2 2 3 6 3" xfId="22351"/>
    <cellStyle name="常规 4 4 2 2 3 7" xfId="6638"/>
    <cellStyle name="常规 4 4 2 2 3 7 2" xfId="16058"/>
    <cellStyle name="常规 4 4 2 2 3 7 2 2" xfId="34906"/>
    <cellStyle name="常规 4 4 2 2 3 7 3" xfId="25482"/>
    <cellStyle name="常规 4 4 2 2 3 8" xfId="9785"/>
    <cellStyle name="常规 4 4 2 2 3 8 2" xfId="28630"/>
    <cellStyle name="常规 4 4 2 2 3 9" xfId="19208"/>
    <cellStyle name="常规 4 4 2 2 4" xfId="755"/>
    <cellStyle name="常规 4 4 2 2 4 2" xfId="1539"/>
    <cellStyle name="常规 4 4 2 2 4 2 2" xfId="4675"/>
    <cellStyle name="常规 4 4 2 2 4 2 2 2" xfId="14095"/>
    <cellStyle name="常规 4 4 2 2 4 2 2 2 2" xfId="32943"/>
    <cellStyle name="常规 4 4 2 2 4 2 2 3" xfId="23519"/>
    <cellStyle name="常规 4 4 2 2 4 2 3" xfId="7811"/>
    <cellStyle name="常规 4 4 2 2 4 2 3 2" xfId="17231"/>
    <cellStyle name="常规 4 4 2 2 4 2 3 2 2" xfId="36079"/>
    <cellStyle name="常规 4 4 2 2 4 2 3 3" xfId="26655"/>
    <cellStyle name="常规 4 4 2 2 4 2 4" xfId="10959"/>
    <cellStyle name="常规 4 4 2 2 4 2 4 2" xfId="29807"/>
    <cellStyle name="常规 4 4 2 2 4 2 5" xfId="20383"/>
    <cellStyle name="常规 4 4 2 2 4 3" xfId="2323"/>
    <cellStyle name="常规 4 4 2 2 4 3 2" xfId="5459"/>
    <cellStyle name="常规 4 4 2 2 4 3 2 2" xfId="14879"/>
    <cellStyle name="常规 4 4 2 2 4 3 2 2 2" xfId="33727"/>
    <cellStyle name="常规 4 4 2 2 4 3 2 3" xfId="24303"/>
    <cellStyle name="常规 4 4 2 2 4 3 3" xfId="8595"/>
    <cellStyle name="常规 4 4 2 2 4 3 3 2" xfId="18015"/>
    <cellStyle name="常规 4 4 2 2 4 3 3 2 2" xfId="36863"/>
    <cellStyle name="常规 4 4 2 2 4 3 3 3" xfId="27439"/>
    <cellStyle name="常规 4 4 2 2 4 3 4" xfId="11743"/>
    <cellStyle name="常规 4 4 2 2 4 3 4 2" xfId="30591"/>
    <cellStyle name="常规 4 4 2 2 4 3 5" xfId="21167"/>
    <cellStyle name="常规 4 4 2 2 4 4" xfId="3107"/>
    <cellStyle name="常规 4 4 2 2 4 4 2" xfId="6243"/>
    <cellStyle name="常规 4 4 2 2 4 4 2 2" xfId="15663"/>
    <cellStyle name="常规 4 4 2 2 4 4 2 2 2" xfId="34511"/>
    <cellStyle name="常规 4 4 2 2 4 4 2 3" xfId="25087"/>
    <cellStyle name="常规 4 4 2 2 4 4 3" xfId="9379"/>
    <cellStyle name="常规 4 4 2 2 4 4 3 2" xfId="18799"/>
    <cellStyle name="常规 4 4 2 2 4 4 3 2 2" xfId="37647"/>
    <cellStyle name="常规 4 4 2 2 4 4 3 3" xfId="28223"/>
    <cellStyle name="常规 4 4 2 2 4 4 4" xfId="12527"/>
    <cellStyle name="常规 4 4 2 2 4 4 4 2" xfId="31375"/>
    <cellStyle name="常规 4 4 2 2 4 4 5" xfId="21951"/>
    <cellStyle name="常规 4 4 2 2 4 5" xfId="3891"/>
    <cellStyle name="常规 4 4 2 2 4 5 2" xfId="13311"/>
    <cellStyle name="常规 4 4 2 2 4 5 2 2" xfId="32159"/>
    <cellStyle name="常规 4 4 2 2 4 5 3" xfId="22735"/>
    <cellStyle name="常规 4 4 2 2 4 6" xfId="7027"/>
    <cellStyle name="常规 4 4 2 2 4 6 2" xfId="16447"/>
    <cellStyle name="常规 4 4 2 2 4 6 2 2" xfId="35295"/>
    <cellStyle name="常规 4 4 2 2 4 6 3" xfId="25871"/>
    <cellStyle name="常规 4 4 2 2 4 7" xfId="10175"/>
    <cellStyle name="常规 4 4 2 2 4 7 2" xfId="29023"/>
    <cellStyle name="常规 4 4 2 2 4 8" xfId="19599"/>
    <cellStyle name="常规 4 4 2 2 5" xfId="1147"/>
    <cellStyle name="常规 4 4 2 2 5 2" xfId="4283"/>
    <cellStyle name="常规 4 4 2 2 5 2 2" xfId="13703"/>
    <cellStyle name="常规 4 4 2 2 5 2 2 2" xfId="32551"/>
    <cellStyle name="常规 4 4 2 2 5 2 3" xfId="23127"/>
    <cellStyle name="常规 4 4 2 2 5 3" xfId="7419"/>
    <cellStyle name="常规 4 4 2 2 5 3 2" xfId="16839"/>
    <cellStyle name="常规 4 4 2 2 5 3 2 2" xfId="35687"/>
    <cellStyle name="常规 4 4 2 2 5 3 3" xfId="26263"/>
    <cellStyle name="常规 4 4 2 2 5 4" xfId="10567"/>
    <cellStyle name="常规 4 4 2 2 5 4 2" xfId="29415"/>
    <cellStyle name="常规 4 4 2 2 5 5" xfId="19991"/>
    <cellStyle name="常规 4 4 2 2 6" xfId="1931"/>
    <cellStyle name="常规 4 4 2 2 6 2" xfId="5067"/>
    <cellStyle name="常规 4 4 2 2 6 2 2" xfId="14487"/>
    <cellStyle name="常规 4 4 2 2 6 2 2 2" xfId="33335"/>
    <cellStyle name="常规 4 4 2 2 6 2 3" xfId="23911"/>
    <cellStyle name="常规 4 4 2 2 6 3" xfId="8203"/>
    <cellStyle name="常规 4 4 2 2 6 3 2" xfId="17623"/>
    <cellStyle name="常规 4 4 2 2 6 3 2 2" xfId="36471"/>
    <cellStyle name="常规 4 4 2 2 6 3 3" xfId="27047"/>
    <cellStyle name="常规 4 4 2 2 6 4" xfId="11351"/>
    <cellStyle name="常规 4 4 2 2 6 4 2" xfId="30199"/>
    <cellStyle name="常规 4 4 2 2 6 5" xfId="20775"/>
    <cellStyle name="常规 4 4 2 2 7" xfId="2715"/>
    <cellStyle name="常规 4 4 2 2 7 2" xfId="5851"/>
    <cellStyle name="常规 4 4 2 2 7 2 2" xfId="15271"/>
    <cellStyle name="常规 4 4 2 2 7 2 2 2" xfId="34119"/>
    <cellStyle name="常规 4 4 2 2 7 2 3" xfId="24695"/>
    <cellStyle name="常规 4 4 2 2 7 3" xfId="8987"/>
    <cellStyle name="常规 4 4 2 2 7 3 2" xfId="18407"/>
    <cellStyle name="常规 4 4 2 2 7 3 2 2" xfId="37255"/>
    <cellStyle name="常规 4 4 2 2 7 3 3" xfId="27831"/>
    <cellStyle name="常规 4 4 2 2 7 4" xfId="12135"/>
    <cellStyle name="常规 4 4 2 2 7 4 2" xfId="30983"/>
    <cellStyle name="常规 4 4 2 2 7 5" xfId="21559"/>
    <cellStyle name="常规 4 4 2 2 8" xfId="3237"/>
    <cellStyle name="常规 4 4 2 2 8 2" xfId="12657"/>
    <cellStyle name="常规 4 4 2 2 8 2 2" xfId="31505"/>
    <cellStyle name="常规 4 4 2 2 8 3" xfId="22081"/>
    <cellStyle name="常规 4 4 2 2 9" xfId="6635"/>
    <cellStyle name="常规 4 4 2 2 9 2" xfId="16055"/>
    <cellStyle name="常规 4 4 2 2 9 2 2" xfId="34903"/>
    <cellStyle name="常规 4 4 2 2 9 3" xfId="25479"/>
    <cellStyle name="常规 4 4 2 3" xfId="363"/>
    <cellStyle name="常规 4 4 2 3 10" xfId="19209"/>
    <cellStyle name="常规 4 4 2 3 2" xfId="364"/>
    <cellStyle name="常规 4 4 2 3 2 2" xfId="760"/>
    <cellStyle name="常规 4 4 2 3 2 2 2" xfId="1544"/>
    <cellStyle name="常规 4 4 2 3 2 2 2 2" xfId="4680"/>
    <cellStyle name="常规 4 4 2 3 2 2 2 2 2" xfId="14100"/>
    <cellStyle name="常规 4 4 2 3 2 2 2 2 2 2" xfId="32948"/>
    <cellStyle name="常规 4 4 2 3 2 2 2 2 3" xfId="23524"/>
    <cellStyle name="常规 4 4 2 3 2 2 2 3" xfId="7816"/>
    <cellStyle name="常规 4 4 2 3 2 2 2 3 2" xfId="17236"/>
    <cellStyle name="常规 4 4 2 3 2 2 2 3 2 2" xfId="36084"/>
    <cellStyle name="常规 4 4 2 3 2 2 2 3 3" xfId="26660"/>
    <cellStyle name="常规 4 4 2 3 2 2 2 4" xfId="10964"/>
    <cellStyle name="常规 4 4 2 3 2 2 2 4 2" xfId="29812"/>
    <cellStyle name="常规 4 4 2 3 2 2 2 5" xfId="20388"/>
    <cellStyle name="常规 4 4 2 3 2 2 3" xfId="2328"/>
    <cellStyle name="常规 4 4 2 3 2 2 3 2" xfId="5464"/>
    <cellStyle name="常规 4 4 2 3 2 2 3 2 2" xfId="14884"/>
    <cellStyle name="常规 4 4 2 3 2 2 3 2 2 2" xfId="33732"/>
    <cellStyle name="常规 4 4 2 3 2 2 3 2 3" xfId="24308"/>
    <cellStyle name="常规 4 4 2 3 2 2 3 3" xfId="8600"/>
    <cellStyle name="常规 4 4 2 3 2 2 3 3 2" xfId="18020"/>
    <cellStyle name="常规 4 4 2 3 2 2 3 3 2 2" xfId="36868"/>
    <cellStyle name="常规 4 4 2 3 2 2 3 3 3" xfId="27444"/>
    <cellStyle name="常规 4 4 2 3 2 2 3 4" xfId="11748"/>
    <cellStyle name="常规 4 4 2 3 2 2 3 4 2" xfId="30596"/>
    <cellStyle name="常规 4 4 2 3 2 2 3 5" xfId="21172"/>
    <cellStyle name="常规 4 4 2 3 2 2 4" xfId="3112"/>
    <cellStyle name="常规 4 4 2 3 2 2 4 2" xfId="6248"/>
    <cellStyle name="常规 4 4 2 3 2 2 4 2 2" xfId="15668"/>
    <cellStyle name="常规 4 4 2 3 2 2 4 2 2 2" xfId="34516"/>
    <cellStyle name="常规 4 4 2 3 2 2 4 2 3" xfId="25092"/>
    <cellStyle name="常规 4 4 2 3 2 2 4 3" xfId="9384"/>
    <cellStyle name="常规 4 4 2 3 2 2 4 3 2" xfId="18804"/>
    <cellStyle name="常规 4 4 2 3 2 2 4 3 2 2" xfId="37652"/>
    <cellStyle name="常规 4 4 2 3 2 2 4 3 3" xfId="28228"/>
    <cellStyle name="常规 4 4 2 3 2 2 4 4" xfId="12532"/>
    <cellStyle name="常规 4 4 2 3 2 2 4 4 2" xfId="31380"/>
    <cellStyle name="常规 4 4 2 3 2 2 4 5" xfId="21956"/>
    <cellStyle name="常规 4 4 2 3 2 2 5" xfId="3896"/>
    <cellStyle name="常规 4 4 2 3 2 2 5 2" xfId="13316"/>
    <cellStyle name="常规 4 4 2 3 2 2 5 2 2" xfId="32164"/>
    <cellStyle name="常规 4 4 2 3 2 2 5 3" xfId="22740"/>
    <cellStyle name="常规 4 4 2 3 2 2 6" xfId="7032"/>
    <cellStyle name="常规 4 4 2 3 2 2 6 2" xfId="16452"/>
    <cellStyle name="常规 4 4 2 3 2 2 6 2 2" xfId="35300"/>
    <cellStyle name="常规 4 4 2 3 2 2 6 3" xfId="25876"/>
    <cellStyle name="常规 4 4 2 3 2 2 7" xfId="10180"/>
    <cellStyle name="常规 4 4 2 3 2 2 7 2" xfId="29028"/>
    <cellStyle name="常规 4 4 2 3 2 2 8" xfId="19604"/>
    <cellStyle name="常规 4 4 2 3 2 3" xfId="1152"/>
    <cellStyle name="常规 4 4 2 3 2 3 2" xfId="4288"/>
    <cellStyle name="常规 4 4 2 3 2 3 2 2" xfId="13708"/>
    <cellStyle name="常规 4 4 2 3 2 3 2 2 2" xfId="32556"/>
    <cellStyle name="常规 4 4 2 3 2 3 2 3" xfId="23132"/>
    <cellStyle name="常规 4 4 2 3 2 3 3" xfId="7424"/>
    <cellStyle name="常规 4 4 2 3 2 3 3 2" xfId="16844"/>
    <cellStyle name="常规 4 4 2 3 2 3 3 2 2" xfId="35692"/>
    <cellStyle name="常规 4 4 2 3 2 3 3 3" xfId="26268"/>
    <cellStyle name="常规 4 4 2 3 2 3 4" xfId="10572"/>
    <cellStyle name="常规 4 4 2 3 2 3 4 2" xfId="29420"/>
    <cellStyle name="常规 4 4 2 3 2 3 5" xfId="19996"/>
    <cellStyle name="常规 4 4 2 3 2 4" xfId="1936"/>
    <cellStyle name="常规 4 4 2 3 2 4 2" xfId="5072"/>
    <cellStyle name="常规 4 4 2 3 2 4 2 2" xfId="14492"/>
    <cellStyle name="常规 4 4 2 3 2 4 2 2 2" xfId="33340"/>
    <cellStyle name="常规 4 4 2 3 2 4 2 3" xfId="23916"/>
    <cellStyle name="常规 4 4 2 3 2 4 3" xfId="8208"/>
    <cellStyle name="常规 4 4 2 3 2 4 3 2" xfId="17628"/>
    <cellStyle name="常规 4 4 2 3 2 4 3 2 2" xfId="36476"/>
    <cellStyle name="常规 4 4 2 3 2 4 3 3" xfId="27052"/>
    <cellStyle name="常规 4 4 2 3 2 4 4" xfId="11356"/>
    <cellStyle name="常规 4 4 2 3 2 4 4 2" xfId="30204"/>
    <cellStyle name="常规 4 4 2 3 2 4 5" xfId="20780"/>
    <cellStyle name="常规 4 4 2 3 2 5" xfId="2720"/>
    <cellStyle name="常规 4 4 2 3 2 5 2" xfId="5856"/>
    <cellStyle name="常规 4 4 2 3 2 5 2 2" xfId="15276"/>
    <cellStyle name="常规 4 4 2 3 2 5 2 2 2" xfId="34124"/>
    <cellStyle name="常规 4 4 2 3 2 5 2 3" xfId="24700"/>
    <cellStyle name="常规 4 4 2 3 2 5 3" xfId="8992"/>
    <cellStyle name="常规 4 4 2 3 2 5 3 2" xfId="18412"/>
    <cellStyle name="常规 4 4 2 3 2 5 3 2 2" xfId="37260"/>
    <cellStyle name="常规 4 4 2 3 2 5 3 3" xfId="27836"/>
    <cellStyle name="常规 4 4 2 3 2 5 4" xfId="12140"/>
    <cellStyle name="常规 4 4 2 3 2 5 4 2" xfId="30988"/>
    <cellStyle name="常规 4 4 2 3 2 5 5" xfId="21564"/>
    <cellStyle name="常规 4 4 2 3 2 6" xfId="3509"/>
    <cellStyle name="常规 4 4 2 3 2 6 2" xfId="12929"/>
    <cellStyle name="常规 4 4 2 3 2 6 2 2" xfId="31777"/>
    <cellStyle name="常规 4 4 2 3 2 6 3" xfId="22353"/>
    <cellStyle name="常规 4 4 2 3 2 7" xfId="6640"/>
    <cellStyle name="常规 4 4 2 3 2 7 2" xfId="16060"/>
    <cellStyle name="常规 4 4 2 3 2 7 2 2" xfId="34908"/>
    <cellStyle name="常规 4 4 2 3 2 7 3" xfId="25484"/>
    <cellStyle name="常规 4 4 2 3 2 8" xfId="9787"/>
    <cellStyle name="常规 4 4 2 3 2 8 2" xfId="28632"/>
    <cellStyle name="常规 4 4 2 3 2 9" xfId="19210"/>
    <cellStyle name="常规 4 4 2 3 3" xfId="759"/>
    <cellStyle name="常规 4 4 2 3 3 2" xfId="1543"/>
    <cellStyle name="常规 4 4 2 3 3 2 2" xfId="4679"/>
    <cellStyle name="常规 4 4 2 3 3 2 2 2" xfId="14099"/>
    <cellStyle name="常规 4 4 2 3 3 2 2 2 2" xfId="32947"/>
    <cellStyle name="常规 4 4 2 3 3 2 2 3" xfId="23523"/>
    <cellStyle name="常规 4 4 2 3 3 2 3" xfId="7815"/>
    <cellStyle name="常规 4 4 2 3 3 2 3 2" xfId="17235"/>
    <cellStyle name="常规 4 4 2 3 3 2 3 2 2" xfId="36083"/>
    <cellStyle name="常规 4 4 2 3 3 2 3 3" xfId="26659"/>
    <cellStyle name="常规 4 4 2 3 3 2 4" xfId="10963"/>
    <cellStyle name="常规 4 4 2 3 3 2 4 2" xfId="29811"/>
    <cellStyle name="常规 4 4 2 3 3 2 5" xfId="20387"/>
    <cellStyle name="常规 4 4 2 3 3 3" xfId="2327"/>
    <cellStyle name="常规 4 4 2 3 3 3 2" xfId="5463"/>
    <cellStyle name="常规 4 4 2 3 3 3 2 2" xfId="14883"/>
    <cellStyle name="常规 4 4 2 3 3 3 2 2 2" xfId="33731"/>
    <cellStyle name="常规 4 4 2 3 3 3 2 3" xfId="24307"/>
    <cellStyle name="常规 4 4 2 3 3 3 3" xfId="8599"/>
    <cellStyle name="常规 4 4 2 3 3 3 3 2" xfId="18019"/>
    <cellStyle name="常规 4 4 2 3 3 3 3 2 2" xfId="36867"/>
    <cellStyle name="常规 4 4 2 3 3 3 3 3" xfId="27443"/>
    <cellStyle name="常规 4 4 2 3 3 3 4" xfId="11747"/>
    <cellStyle name="常规 4 4 2 3 3 3 4 2" xfId="30595"/>
    <cellStyle name="常规 4 4 2 3 3 3 5" xfId="21171"/>
    <cellStyle name="常规 4 4 2 3 3 4" xfId="3111"/>
    <cellStyle name="常规 4 4 2 3 3 4 2" xfId="6247"/>
    <cellStyle name="常规 4 4 2 3 3 4 2 2" xfId="15667"/>
    <cellStyle name="常规 4 4 2 3 3 4 2 2 2" xfId="34515"/>
    <cellStyle name="常规 4 4 2 3 3 4 2 3" xfId="25091"/>
    <cellStyle name="常规 4 4 2 3 3 4 3" xfId="9383"/>
    <cellStyle name="常规 4 4 2 3 3 4 3 2" xfId="18803"/>
    <cellStyle name="常规 4 4 2 3 3 4 3 2 2" xfId="37651"/>
    <cellStyle name="常规 4 4 2 3 3 4 3 3" xfId="28227"/>
    <cellStyle name="常规 4 4 2 3 3 4 4" xfId="12531"/>
    <cellStyle name="常规 4 4 2 3 3 4 4 2" xfId="31379"/>
    <cellStyle name="常规 4 4 2 3 3 4 5" xfId="21955"/>
    <cellStyle name="常规 4 4 2 3 3 5" xfId="3895"/>
    <cellStyle name="常规 4 4 2 3 3 5 2" xfId="13315"/>
    <cellStyle name="常规 4 4 2 3 3 5 2 2" xfId="32163"/>
    <cellStyle name="常规 4 4 2 3 3 5 3" xfId="22739"/>
    <cellStyle name="常规 4 4 2 3 3 6" xfId="7031"/>
    <cellStyle name="常规 4 4 2 3 3 6 2" xfId="16451"/>
    <cellStyle name="常规 4 4 2 3 3 6 2 2" xfId="35299"/>
    <cellStyle name="常规 4 4 2 3 3 6 3" xfId="25875"/>
    <cellStyle name="常规 4 4 2 3 3 7" xfId="10179"/>
    <cellStyle name="常规 4 4 2 3 3 7 2" xfId="29027"/>
    <cellStyle name="常规 4 4 2 3 3 8" xfId="19603"/>
    <cellStyle name="常规 4 4 2 3 4" xfId="1151"/>
    <cellStyle name="常规 4 4 2 3 4 2" xfId="4287"/>
    <cellStyle name="常规 4 4 2 3 4 2 2" xfId="13707"/>
    <cellStyle name="常规 4 4 2 3 4 2 2 2" xfId="32555"/>
    <cellStyle name="常规 4 4 2 3 4 2 3" xfId="23131"/>
    <cellStyle name="常规 4 4 2 3 4 3" xfId="7423"/>
    <cellStyle name="常规 4 4 2 3 4 3 2" xfId="16843"/>
    <cellStyle name="常规 4 4 2 3 4 3 2 2" xfId="35691"/>
    <cellStyle name="常规 4 4 2 3 4 3 3" xfId="26267"/>
    <cellStyle name="常规 4 4 2 3 4 4" xfId="10571"/>
    <cellStyle name="常规 4 4 2 3 4 4 2" xfId="29419"/>
    <cellStyle name="常规 4 4 2 3 4 5" xfId="19995"/>
    <cellStyle name="常规 4 4 2 3 5" xfId="1935"/>
    <cellStyle name="常规 4 4 2 3 5 2" xfId="5071"/>
    <cellStyle name="常规 4 4 2 3 5 2 2" xfId="14491"/>
    <cellStyle name="常规 4 4 2 3 5 2 2 2" xfId="33339"/>
    <cellStyle name="常规 4 4 2 3 5 2 3" xfId="23915"/>
    <cellStyle name="常规 4 4 2 3 5 3" xfId="8207"/>
    <cellStyle name="常规 4 4 2 3 5 3 2" xfId="17627"/>
    <cellStyle name="常规 4 4 2 3 5 3 2 2" xfId="36475"/>
    <cellStyle name="常规 4 4 2 3 5 3 3" xfId="27051"/>
    <cellStyle name="常规 4 4 2 3 5 4" xfId="11355"/>
    <cellStyle name="常规 4 4 2 3 5 4 2" xfId="30203"/>
    <cellStyle name="常规 4 4 2 3 5 5" xfId="20779"/>
    <cellStyle name="常规 4 4 2 3 6" xfId="2719"/>
    <cellStyle name="常规 4 4 2 3 6 2" xfId="5855"/>
    <cellStyle name="常规 4 4 2 3 6 2 2" xfId="15275"/>
    <cellStyle name="常规 4 4 2 3 6 2 2 2" xfId="34123"/>
    <cellStyle name="常规 4 4 2 3 6 2 3" xfId="24699"/>
    <cellStyle name="常规 4 4 2 3 6 3" xfId="8991"/>
    <cellStyle name="常规 4 4 2 3 6 3 2" xfId="18411"/>
    <cellStyle name="常规 4 4 2 3 6 3 2 2" xfId="37259"/>
    <cellStyle name="常规 4 4 2 3 6 3 3" xfId="27835"/>
    <cellStyle name="常规 4 4 2 3 6 4" xfId="12139"/>
    <cellStyle name="常规 4 4 2 3 6 4 2" xfId="30987"/>
    <cellStyle name="常规 4 4 2 3 6 5" xfId="21563"/>
    <cellStyle name="常规 4 4 2 3 7" xfId="3508"/>
    <cellStyle name="常规 4 4 2 3 7 2" xfId="12928"/>
    <cellStyle name="常规 4 4 2 3 7 2 2" xfId="31776"/>
    <cellStyle name="常规 4 4 2 3 7 3" xfId="22352"/>
    <cellStyle name="常规 4 4 2 3 8" xfId="6639"/>
    <cellStyle name="常规 4 4 2 3 8 2" xfId="16059"/>
    <cellStyle name="常规 4 4 2 3 8 2 2" xfId="34907"/>
    <cellStyle name="常规 4 4 2 3 8 3" xfId="25483"/>
    <cellStyle name="常规 4 4 2 3 9" xfId="9786"/>
    <cellStyle name="常规 4 4 2 3 9 2" xfId="28631"/>
    <cellStyle name="常规 4 4 2 4" xfId="365"/>
    <cellStyle name="常规 4 4 2 4 2" xfId="761"/>
    <cellStyle name="常规 4 4 2 4 2 2" xfId="1545"/>
    <cellStyle name="常规 4 4 2 4 2 2 2" xfId="4681"/>
    <cellStyle name="常规 4 4 2 4 2 2 2 2" xfId="14101"/>
    <cellStyle name="常规 4 4 2 4 2 2 2 2 2" xfId="32949"/>
    <cellStyle name="常规 4 4 2 4 2 2 2 3" xfId="23525"/>
    <cellStyle name="常规 4 4 2 4 2 2 3" xfId="7817"/>
    <cellStyle name="常规 4 4 2 4 2 2 3 2" xfId="17237"/>
    <cellStyle name="常规 4 4 2 4 2 2 3 2 2" xfId="36085"/>
    <cellStyle name="常规 4 4 2 4 2 2 3 3" xfId="26661"/>
    <cellStyle name="常规 4 4 2 4 2 2 4" xfId="10965"/>
    <cellStyle name="常规 4 4 2 4 2 2 4 2" xfId="29813"/>
    <cellStyle name="常规 4 4 2 4 2 2 5" xfId="20389"/>
    <cellStyle name="常规 4 4 2 4 2 3" xfId="2329"/>
    <cellStyle name="常规 4 4 2 4 2 3 2" xfId="5465"/>
    <cellStyle name="常规 4 4 2 4 2 3 2 2" xfId="14885"/>
    <cellStyle name="常规 4 4 2 4 2 3 2 2 2" xfId="33733"/>
    <cellStyle name="常规 4 4 2 4 2 3 2 3" xfId="24309"/>
    <cellStyle name="常规 4 4 2 4 2 3 3" xfId="8601"/>
    <cellStyle name="常规 4 4 2 4 2 3 3 2" xfId="18021"/>
    <cellStyle name="常规 4 4 2 4 2 3 3 2 2" xfId="36869"/>
    <cellStyle name="常规 4 4 2 4 2 3 3 3" xfId="27445"/>
    <cellStyle name="常规 4 4 2 4 2 3 4" xfId="11749"/>
    <cellStyle name="常规 4 4 2 4 2 3 4 2" xfId="30597"/>
    <cellStyle name="常规 4 4 2 4 2 3 5" xfId="21173"/>
    <cellStyle name="常规 4 4 2 4 2 4" xfId="3113"/>
    <cellStyle name="常规 4 4 2 4 2 4 2" xfId="6249"/>
    <cellStyle name="常规 4 4 2 4 2 4 2 2" xfId="15669"/>
    <cellStyle name="常规 4 4 2 4 2 4 2 2 2" xfId="34517"/>
    <cellStyle name="常规 4 4 2 4 2 4 2 3" xfId="25093"/>
    <cellStyle name="常规 4 4 2 4 2 4 3" xfId="9385"/>
    <cellStyle name="常规 4 4 2 4 2 4 3 2" xfId="18805"/>
    <cellStyle name="常规 4 4 2 4 2 4 3 2 2" xfId="37653"/>
    <cellStyle name="常规 4 4 2 4 2 4 3 3" xfId="28229"/>
    <cellStyle name="常规 4 4 2 4 2 4 4" xfId="12533"/>
    <cellStyle name="常规 4 4 2 4 2 4 4 2" xfId="31381"/>
    <cellStyle name="常规 4 4 2 4 2 4 5" xfId="21957"/>
    <cellStyle name="常规 4 4 2 4 2 5" xfId="3897"/>
    <cellStyle name="常规 4 4 2 4 2 5 2" xfId="13317"/>
    <cellStyle name="常规 4 4 2 4 2 5 2 2" xfId="32165"/>
    <cellStyle name="常规 4 4 2 4 2 5 3" xfId="22741"/>
    <cellStyle name="常规 4 4 2 4 2 6" xfId="7033"/>
    <cellStyle name="常规 4 4 2 4 2 6 2" xfId="16453"/>
    <cellStyle name="常规 4 4 2 4 2 6 2 2" xfId="35301"/>
    <cellStyle name="常规 4 4 2 4 2 6 3" xfId="25877"/>
    <cellStyle name="常规 4 4 2 4 2 7" xfId="10181"/>
    <cellStyle name="常规 4 4 2 4 2 7 2" xfId="29029"/>
    <cellStyle name="常规 4 4 2 4 2 8" xfId="19605"/>
    <cellStyle name="常规 4 4 2 4 3" xfId="1153"/>
    <cellStyle name="常规 4 4 2 4 3 2" xfId="4289"/>
    <cellStyle name="常规 4 4 2 4 3 2 2" xfId="13709"/>
    <cellStyle name="常规 4 4 2 4 3 2 2 2" xfId="32557"/>
    <cellStyle name="常规 4 4 2 4 3 2 3" xfId="23133"/>
    <cellStyle name="常规 4 4 2 4 3 3" xfId="7425"/>
    <cellStyle name="常规 4 4 2 4 3 3 2" xfId="16845"/>
    <cellStyle name="常规 4 4 2 4 3 3 2 2" xfId="35693"/>
    <cellStyle name="常规 4 4 2 4 3 3 3" xfId="26269"/>
    <cellStyle name="常规 4 4 2 4 3 4" xfId="10573"/>
    <cellStyle name="常规 4 4 2 4 3 4 2" xfId="29421"/>
    <cellStyle name="常规 4 4 2 4 3 5" xfId="19997"/>
    <cellStyle name="常规 4 4 2 4 4" xfId="1937"/>
    <cellStyle name="常规 4 4 2 4 4 2" xfId="5073"/>
    <cellStyle name="常规 4 4 2 4 4 2 2" xfId="14493"/>
    <cellStyle name="常规 4 4 2 4 4 2 2 2" xfId="33341"/>
    <cellStyle name="常规 4 4 2 4 4 2 3" xfId="23917"/>
    <cellStyle name="常规 4 4 2 4 4 3" xfId="8209"/>
    <cellStyle name="常规 4 4 2 4 4 3 2" xfId="17629"/>
    <cellStyle name="常规 4 4 2 4 4 3 2 2" xfId="36477"/>
    <cellStyle name="常规 4 4 2 4 4 3 3" xfId="27053"/>
    <cellStyle name="常规 4 4 2 4 4 4" xfId="11357"/>
    <cellStyle name="常规 4 4 2 4 4 4 2" xfId="30205"/>
    <cellStyle name="常规 4 4 2 4 4 5" xfId="20781"/>
    <cellStyle name="常规 4 4 2 4 5" xfId="2721"/>
    <cellStyle name="常规 4 4 2 4 5 2" xfId="5857"/>
    <cellStyle name="常规 4 4 2 4 5 2 2" xfId="15277"/>
    <cellStyle name="常规 4 4 2 4 5 2 2 2" xfId="34125"/>
    <cellStyle name="常规 4 4 2 4 5 2 3" xfId="24701"/>
    <cellStyle name="常规 4 4 2 4 5 3" xfId="8993"/>
    <cellStyle name="常规 4 4 2 4 5 3 2" xfId="18413"/>
    <cellStyle name="常规 4 4 2 4 5 3 2 2" xfId="37261"/>
    <cellStyle name="常规 4 4 2 4 5 3 3" xfId="27837"/>
    <cellStyle name="常规 4 4 2 4 5 4" xfId="12141"/>
    <cellStyle name="常规 4 4 2 4 5 4 2" xfId="30989"/>
    <cellStyle name="常规 4 4 2 4 5 5" xfId="21565"/>
    <cellStyle name="常规 4 4 2 4 6" xfId="3510"/>
    <cellStyle name="常规 4 4 2 4 6 2" xfId="12930"/>
    <cellStyle name="常规 4 4 2 4 6 2 2" xfId="31778"/>
    <cellStyle name="常规 4 4 2 4 6 3" xfId="22354"/>
    <cellStyle name="常规 4 4 2 4 7" xfId="6641"/>
    <cellStyle name="常规 4 4 2 4 7 2" xfId="16061"/>
    <cellStyle name="常规 4 4 2 4 7 2 2" xfId="34909"/>
    <cellStyle name="常规 4 4 2 4 7 3" xfId="25485"/>
    <cellStyle name="常规 4 4 2 4 8" xfId="9788"/>
    <cellStyle name="常规 4 4 2 4 8 2" xfId="28633"/>
    <cellStyle name="常规 4 4 2 4 9" xfId="19211"/>
    <cellStyle name="常规 4 4 2 5" xfId="754"/>
    <cellStyle name="常规 4 4 2 5 2" xfId="1538"/>
    <cellStyle name="常规 4 4 2 5 2 2" xfId="4674"/>
    <cellStyle name="常规 4 4 2 5 2 2 2" xfId="14094"/>
    <cellStyle name="常规 4 4 2 5 2 2 2 2" xfId="32942"/>
    <cellStyle name="常规 4 4 2 5 2 2 3" xfId="23518"/>
    <cellStyle name="常规 4 4 2 5 2 3" xfId="7810"/>
    <cellStyle name="常规 4 4 2 5 2 3 2" xfId="17230"/>
    <cellStyle name="常规 4 4 2 5 2 3 2 2" xfId="36078"/>
    <cellStyle name="常规 4 4 2 5 2 3 3" xfId="26654"/>
    <cellStyle name="常规 4 4 2 5 2 4" xfId="10958"/>
    <cellStyle name="常规 4 4 2 5 2 4 2" xfId="29806"/>
    <cellStyle name="常规 4 4 2 5 2 5" xfId="20382"/>
    <cellStyle name="常规 4 4 2 5 3" xfId="2322"/>
    <cellStyle name="常规 4 4 2 5 3 2" xfId="5458"/>
    <cellStyle name="常规 4 4 2 5 3 2 2" xfId="14878"/>
    <cellStyle name="常规 4 4 2 5 3 2 2 2" xfId="33726"/>
    <cellStyle name="常规 4 4 2 5 3 2 3" xfId="24302"/>
    <cellStyle name="常规 4 4 2 5 3 3" xfId="8594"/>
    <cellStyle name="常规 4 4 2 5 3 3 2" xfId="18014"/>
    <cellStyle name="常规 4 4 2 5 3 3 2 2" xfId="36862"/>
    <cellStyle name="常规 4 4 2 5 3 3 3" xfId="27438"/>
    <cellStyle name="常规 4 4 2 5 3 4" xfId="11742"/>
    <cellStyle name="常规 4 4 2 5 3 4 2" xfId="30590"/>
    <cellStyle name="常规 4 4 2 5 3 5" xfId="21166"/>
    <cellStyle name="常规 4 4 2 5 4" xfId="3106"/>
    <cellStyle name="常规 4 4 2 5 4 2" xfId="6242"/>
    <cellStyle name="常规 4 4 2 5 4 2 2" xfId="15662"/>
    <cellStyle name="常规 4 4 2 5 4 2 2 2" xfId="34510"/>
    <cellStyle name="常规 4 4 2 5 4 2 3" xfId="25086"/>
    <cellStyle name="常规 4 4 2 5 4 3" xfId="9378"/>
    <cellStyle name="常规 4 4 2 5 4 3 2" xfId="18798"/>
    <cellStyle name="常规 4 4 2 5 4 3 2 2" xfId="37646"/>
    <cellStyle name="常规 4 4 2 5 4 3 3" xfId="28222"/>
    <cellStyle name="常规 4 4 2 5 4 4" xfId="12526"/>
    <cellStyle name="常规 4 4 2 5 4 4 2" xfId="31374"/>
    <cellStyle name="常规 4 4 2 5 4 5" xfId="21950"/>
    <cellStyle name="常规 4 4 2 5 5" xfId="3890"/>
    <cellStyle name="常规 4 4 2 5 5 2" xfId="13310"/>
    <cellStyle name="常规 4 4 2 5 5 2 2" xfId="32158"/>
    <cellStyle name="常规 4 4 2 5 5 3" xfId="22734"/>
    <cellStyle name="常规 4 4 2 5 6" xfId="7026"/>
    <cellStyle name="常规 4 4 2 5 6 2" xfId="16446"/>
    <cellStyle name="常规 4 4 2 5 6 2 2" xfId="35294"/>
    <cellStyle name="常规 4 4 2 5 6 3" xfId="25870"/>
    <cellStyle name="常规 4 4 2 5 7" xfId="10174"/>
    <cellStyle name="常规 4 4 2 5 7 2" xfId="29022"/>
    <cellStyle name="常规 4 4 2 5 8" xfId="19598"/>
    <cellStyle name="常规 4 4 2 6" xfId="1146"/>
    <cellStyle name="常规 4 4 2 6 2" xfId="4282"/>
    <cellStyle name="常规 4 4 2 6 2 2" xfId="13702"/>
    <cellStyle name="常规 4 4 2 6 2 2 2" xfId="32550"/>
    <cellStyle name="常规 4 4 2 6 2 3" xfId="23126"/>
    <cellStyle name="常规 4 4 2 6 3" xfId="7418"/>
    <cellStyle name="常规 4 4 2 6 3 2" xfId="16838"/>
    <cellStyle name="常规 4 4 2 6 3 2 2" xfId="35686"/>
    <cellStyle name="常规 4 4 2 6 3 3" xfId="26262"/>
    <cellStyle name="常规 4 4 2 6 4" xfId="10566"/>
    <cellStyle name="常规 4 4 2 6 4 2" xfId="29414"/>
    <cellStyle name="常规 4 4 2 6 5" xfId="19990"/>
    <cellStyle name="常规 4 4 2 7" xfId="1930"/>
    <cellStyle name="常规 4 4 2 7 2" xfId="5066"/>
    <cellStyle name="常规 4 4 2 7 2 2" xfId="14486"/>
    <cellStyle name="常规 4 4 2 7 2 2 2" xfId="33334"/>
    <cellStyle name="常规 4 4 2 7 2 3" xfId="23910"/>
    <cellStyle name="常规 4 4 2 7 3" xfId="8202"/>
    <cellStyle name="常规 4 4 2 7 3 2" xfId="17622"/>
    <cellStyle name="常规 4 4 2 7 3 2 2" xfId="36470"/>
    <cellStyle name="常规 4 4 2 7 3 3" xfId="27046"/>
    <cellStyle name="常规 4 4 2 7 4" xfId="11350"/>
    <cellStyle name="常规 4 4 2 7 4 2" xfId="30198"/>
    <cellStyle name="常规 4 4 2 7 5" xfId="20774"/>
    <cellStyle name="常规 4 4 2 8" xfId="2714"/>
    <cellStyle name="常规 4 4 2 8 2" xfId="5850"/>
    <cellStyle name="常规 4 4 2 8 2 2" xfId="15270"/>
    <cellStyle name="常规 4 4 2 8 2 2 2" xfId="34118"/>
    <cellStyle name="常规 4 4 2 8 2 3" xfId="24694"/>
    <cellStyle name="常规 4 4 2 8 3" xfId="8986"/>
    <cellStyle name="常规 4 4 2 8 3 2" xfId="18406"/>
    <cellStyle name="常规 4 4 2 8 3 2 2" xfId="37254"/>
    <cellStyle name="常规 4 4 2 8 3 3" xfId="27830"/>
    <cellStyle name="常规 4 4 2 8 4" xfId="12134"/>
    <cellStyle name="常规 4 4 2 8 4 2" xfId="30982"/>
    <cellStyle name="常规 4 4 2 8 5" xfId="21558"/>
    <cellStyle name="常规 4 4 2 9" xfId="3188"/>
    <cellStyle name="常规 4 4 2 9 2" xfId="12608"/>
    <cellStyle name="常规 4 4 2 9 2 2" xfId="31456"/>
    <cellStyle name="常规 4 4 2 9 3" xfId="22032"/>
    <cellStyle name="常规 4 4 3" xfId="366"/>
    <cellStyle name="常规 4 4 3 10" xfId="9789"/>
    <cellStyle name="常规 4 4 3 10 2" xfId="28634"/>
    <cellStyle name="常规 4 4 3 11" xfId="19212"/>
    <cellStyle name="常规 4 4 3 2" xfId="367"/>
    <cellStyle name="常规 4 4 3 2 10" xfId="19213"/>
    <cellStyle name="常规 4 4 3 2 2" xfId="368"/>
    <cellStyle name="常规 4 4 3 2 2 2" xfId="764"/>
    <cellStyle name="常规 4 4 3 2 2 2 2" xfId="1548"/>
    <cellStyle name="常规 4 4 3 2 2 2 2 2" xfId="4684"/>
    <cellStyle name="常规 4 4 3 2 2 2 2 2 2" xfId="14104"/>
    <cellStyle name="常规 4 4 3 2 2 2 2 2 2 2" xfId="32952"/>
    <cellStyle name="常规 4 4 3 2 2 2 2 2 3" xfId="23528"/>
    <cellStyle name="常规 4 4 3 2 2 2 2 3" xfId="7820"/>
    <cellStyle name="常规 4 4 3 2 2 2 2 3 2" xfId="17240"/>
    <cellStyle name="常规 4 4 3 2 2 2 2 3 2 2" xfId="36088"/>
    <cellStyle name="常规 4 4 3 2 2 2 2 3 3" xfId="26664"/>
    <cellStyle name="常规 4 4 3 2 2 2 2 4" xfId="10968"/>
    <cellStyle name="常规 4 4 3 2 2 2 2 4 2" xfId="29816"/>
    <cellStyle name="常规 4 4 3 2 2 2 2 5" xfId="20392"/>
    <cellStyle name="常规 4 4 3 2 2 2 3" xfId="2332"/>
    <cellStyle name="常规 4 4 3 2 2 2 3 2" xfId="5468"/>
    <cellStyle name="常规 4 4 3 2 2 2 3 2 2" xfId="14888"/>
    <cellStyle name="常规 4 4 3 2 2 2 3 2 2 2" xfId="33736"/>
    <cellStyle name="常规 4 4 3 2 2 2 3 2 3" xfId="24312"/>
    <cellStyle name="常规 4 4 3 2 2 2 3 3" xfId="8604"/>
    <cellStyle name="常规 4 4 3 2 2 2 3 3 2" xfId="18024"/>
    <cellStyle name="常规 4 4 3 2 2 2 3 3 2 2" xfId="36872"/>
    <cellStyle name="常规 4 4 3 2 2 2 3 3 3" xfId="27448"/>
    <cellStyle name="常规 4 4 3 2 2 2 3 4" xfId="11752"/>
    <cellStyle name="常规 4 4 3 2 2 2 3 4 2" xfId="30600"/>
    <cellStyle name="常规 4 4 3 2 2 2 3 5" xfId="21176"/>
    <cellStyle name="常规 4 4 3 2 2 2 4" xfId="3116"/>
    <cellStyle name="常规 4 4 3 2 2 2 4 2" xfId="6252"/>
    <cellStyle name="常规 4 4 3 2 2 2 4 2 2" xfId="15672"/>
    <cellStyle name="常规 4 4 3 2 2 2 4 2 2 2" xfId="34520"/>
    <cellStyle name="常规 4 4 3 2 2 2 4 2 3" xfId="25096"/>
    <cellStyle name="常规 4 4 3 2 2 2 4 3" xfId="9388"/>
    <cellStyle name="常规 4 4 3 2 2 2 4 3 2" xfId="18808"/>
    <cellStyle name="常规 4 4 3 2 2 2 4 3 2 2" xfId="37656"/>
    <cellStyle name="常规 4 4 3 2 2 2 4 3 3" xfId="28232"/>
    <cellStyle name="常规 4 4 3 2 2 2 4 4" xfId="12536"/>
    <cellStyle name="常规 4 4 3 2 2 2 4 4 2" xfId="31384"/>
    <cellStyle name="常规 4 4 3 2 2 2 4 5" xfId="21960"/>
    <cellStyle name="常规 4 4 3 2 2 2 5" xfId="3900"/>
    <cellStyle name="常规 4 4 3 2 2 2 5 2" xfId="13320"/>
    <cellStyle name="常规 4 4 3 2 2 2 5 2 2" xfId="32168"/>
    <cellStyle name="常规 4 4 3 2 2 2 5 3" xfId="22744"/>
    <cellStyle name="常规 4 4 3 2 2 2 6" xfId="7036"/>
    <cellStyle name="常规 4 4 3 2 2 2 6 2" xfId="16456"/>
    <cellStyle name="常规 4 4 3 2 2 2 6 2 2" xfId="35304"/>
    <cellStyle name="常规 4 4 3 2 2 2 6 3" xfId="25880"/>
    <cellStyle name="常规 4 4 3 2 2 2 7" xfId="10184"/>
    <cellStyle name="常规 4 4 3 2 2 2 7 2" xfId="29032"/>
    <cellStyle name="常规 4 4 3 2 2 2 8" xfId="19608"/>
    <cellStyle name="常规 4 4 3 2 2 3" xfId="1156"/>
    <cellStyle name="常规 4 4 3 2 2 3 2" xfId="4292"/>
    <cellStyle name="常规 4 4 3 2 2 3 2 2" xfId="13712"/>
    <cellStyle name="常规 4 4 3 2 2 3 2 2 2" xfId="32560"/>
    <cellStyle name="常规 4 4 3 2 2 3 2 3" xfId="23136"/>
    <cellStyle name="常规 4 4 3 2 2 3 3" xfId="7428"/>
    <cellStyle name="常规 4 4 3 2 2 3 3 2" xfId="16848"/>
    <cellStyle name="常规 4 4 3 2 2 3 3 2 2" xfId="35696"/>
    <cellStyle name="常规 4 4 3 2 2 3 3 3" xfId="26272"/>
    <cellStyle name="常规 4 4 3 2 2 3 4" xfId="10576"/>
    <cellStyle name="常规 4 4 3 2 2 3 4 2" xfId="29424"/>
    <cellStyle name="常规 4 4 3 2 2 3 5" xfId="20000"/>
    <cellStyle name="常规 4 4 3 2 2 4" xfId="1940"/>
    <cellStyle name="常规 4 4 3 2 2 4 2" xfId="5076"/>
    <cellStyle name="常规 4 4 3 2 2 4 2 2" xfId="14496"/>
    <cellStyle name="常规 4 4 3 2 2 4 2 2 2" xfId="33344"/>
    <cellStyle name="常规 4 4 3 2 2 4 2 3" xfId="23920"/>
    <cellStyle name="常规 4 4 3 2 2 4 3" xfId="8212"/>
    <cellStyle name="常规 4 4 3 2 2 4 3 2" xfId="17632"/>
    <cellStyle name="常规 4 4 3 2 2 4 3 2 2" xfId="36480"/>
    <cellStyle name="常规 4 4 3 2 2 4 3 3" xfId="27056"/>
    <cellStyle name="常规 4 4 3 2 2 4 4" xfId="11360"/>
    <cellStyle name="常规 4 4 3 2 2 4 4 2" xfId="30208"/>
    <cellStyle name="常规 4 4 3 2 2 4 5" xfId="20784"/>
    <cellStyle name="常规 4 4 3 2 2 5" xfId="2724"/>
    <cellStyle name="常规 4 4 3 2 2 5 2" xfId="5860"/>
    <cellStyle name="常规 4 4 3 2 2 5 2 2" xfId="15280"/>
    <cellStyle name="常规 4 4 3 2 2 5 2 2 2" xfId="34128"/>
    <cellStyle name="常规 4 4 3 2 2 5 2 3" xfId="24704"/>
    <cellStyle name="常规 4 4 3 2 2 5 3" xfId="8996"/>
    <cellStyle name="常规 4 4 3 2 2 5 3 2" xfId="18416"/>
    <cellStyle name="常规 4 4 3 2 2 5 3 2 2" xfId="37264"/>
    <cellStyle name="常规 4 4 3 2 2 5 3 3" xfId="27840"/>
    <cellStyle name="常规 4 4 3 2 2 5 4" xfId="12144"/>
    <cellStyle name="常规 4 4 3 2 2 5 4 2" xfId="30992"/>
    <cellStyle name="常规 4 4 3 2 2 5 5" xfId="21568"/>
    <cellStyle name="常规 4 4 3 2 2 6" xfId="3512"/>
    <cellStyle name="常规 4 4 3 2 2 6 2" xfId="12932"/>
    <cellStyle name="常规 4 4 3 2 2 6 2 2" xfId="31780"/>
    <cellStyle name="常规 4 4 3 2 2 6 3" xfId="22356"/>
    <cellStyle name="常规 4 4 3 2 2 7" xfId="6644"/>
    <cellStyle name="常规 4 4 3 2 2 7 2" xfId="16064"/>
    <cellStyle name="常规 4 4 3 2 2 7 2 2" xfId="34912"/>
    <cellStyle name="常规 4 4 3 2 2 7 3" xfId="25488"/>
    <cellStyle name="常规 4 4 3 2 2 8" xfId="9791"/>
    <cellStyle name="常规 4 4 3 2 2 8 2" xfId="28636"/>
    <cellStyle name="常规 4 4 3 2 2 9" xfId="19214"/>
    <cellStyle name="常规 4 4 3 2 3" xfId="763"/>
    <cellStyle name="常规 4 4 3 2 3 2" xfId="1547"/>
    <cellStyle name="常规 4 4 3 2 3 2 2" xfId="4683"/>
    <cellStyle name="常规 4 4 3 2 3 2 2 2" xfId="14103"/>
    <cellStyle name="常规 4 4 3 2 3 2 2 2 2" xfId="32951"/>
    <cellStyle name="常规 4 4 3 2 3 2 2 3" xfId="23527"/>
    <cellStyle name="常规 4 4 3 2 3 2 3" xfId="7819"/>
    <cellStyle name="常规 4 4 3 2 3 2 3 2" xfId="17239"/>
    <cellStyle name="常规 4 4 3 2 3 2 3 2 2" xfId="36087"/>
    <cellStyle name="常规 4 4 3 2 3 2 3 3" xfId="26663"/>
    <cellStyle name="常规 4 4 3 2 3 2 4" xfId="10967"/>
    <cellStyle name="常规 4 4 3 2 3 2 4 2" xfId="29815"/>
    <cellStyle name="常规 4 4 3 2 3 2 5" xfId="20391"/>
    <cellStyle name="常规 4 4 3 2 3 3" xfId="2331"/>
    <cellStyle name="常规 4 4 3 2 3 3 2" xfId="5467"/>
    <cellStyle name="常规 4 4 3 2 3 3 2 2" xfId="14887"/>
    <cellStyle name="常规 4 4 3 2 3 3 2 2 2" xfId="33735"/>
    <cellStyle name="常规 4 4 3 2 3 3 2 3" xfId="24311"/>
    <cellStyle name="常规 4 4 3 2 3 3 3" xfId="8603"/>
    <cellStyle name="常规 4 4 3 2 3 3 3 2" xfId="18023"/>
    <cellStyle name="常规 4 4 3 2 3 3 3 2 2" xfId="36871"/>
    <cellStyle name="常规 4 4 3 2 3 3 3 3" xfId="27447"/>
    <cellStyle name="常规 4 4 3 2 3 3 4" xfId="11751"/>
    <cellStyle name="常规 4 4 3 2 3 3 4 2" xfId="30599"/>
    <cellStyle name="常规 4 4 3 2 3 3 5" xfId="21175"/>
    <cellStyle name="常规 4 4 3 2 3 4" xfId="3115"/>
    <cellStyle name="常规 4 4 3 2 3 4 2" xfId="6251"/>
    <cellStyle name="常规 4 4 3 2 3 4 2 2" xfId="15671"/>
    <cellStyle name="常规 4 4 3 2 3 4 2 2 2" xfId="34519"/>
    <cellStyle name="常规 4 4 3 2 3 4 2 3" xfId="25095"/>
    <cellStyle name="常规 4 4 3 2 3 4 3" xfId="9387"/>
    <cellStyle name="常规 4 4 3 2 3 4 3 2" xfId="18807"/>
    <cellStyle name="常规 4 4 3 2 3 4 3 2 2" xfId="37655"/>
    <cellStyle name="常规 4 4 3 2 3 4 3 3" xfId="28231"/>
    <cellStyle name="常规 4 4 3 2 3 4 4" xfId="12535"/>
    <cellStyle name="常规 4 4 3 2 3 4 4 2" xfId="31383"/>
    <cellStyle name="常规 4 4 3 2 3 4 5" xfId="21959"/>
    <cellStyle name="常规 4 4 3 2 3 5" xfId="3899"/>
    <cellStyle name="常规 4 4 3 2 3 5 2" xfId="13319"/>
    <cellStyle name="常规 4 4 3 2 3 5 2 2" xfId="32167"/>
    <cellStyle name="常规 4 4 3 2 3 5 3" xfId="22743"/>
    <cellStyle name="常规 4 4 3 2 3 6" xfId="7035"/>
    <cellStyle name="常规 4 4 3 2 3 6 2" xfId="16455"/>
    <cellStyle name="常规 4 4 3 2 3 6 2 2" xfId="35303"/>
    <cellStyle name="常规 4 4 3 2 3 6 3" xfId="25879"/>
    <cellStyle name="常规 4 4 3 2 3 7" xfId="10183"/>
    <cellStyle name="常规 4 4 3 2 3 7 2" xfId="29031"/>
    <cellStyle name="常规 4 4 3 2 3 8" xfId="19607"/>
    <cellStyle name="常规 4 4 3 2 4" xfId="1155"/>
    <cellStyle name="常规 4 4 3 2 4 2" xfId="4291"/>
    <cellStyle name="常规 4 4 3 2 4 2 2" xfId="13711"/>
    <cellStyle name="常规 4 4 3 2 4 2 2 2" xfId="32559"/>
    <cellStyle name="常规 4 4 3 2 4 2 3" xfId="23135"/>
    <cellStyle name="常规 4 4 3 2 4 3" xfId="7427"/>
    <cellStyle name="常规 4 4 3 2 4 3 2" xfId="16847"/>
    <cellStyle name="常规 4 4 3 2 4 3 2 2" xfId="35695"/>
    <cellStyle name="常规 4 4 3 2 4 3 3" xfId="26271"/>
    <cellStyle name="常规 4 4 3 2 4 4" xfId="10575"/>
    <cellStyle name="常规 4 4 3 2 4 4 2" xfId="29423"/>
    <cellStyle name="常规 4 4 3 2 4 5" xfId="19999"/>
    <cellStyle name="常规 4 4 3 2 5" xfId="1939"/>
    <cellStyle name="常规 4 4 3 2 5 2" xfId="5075"/>
    <cellStyle name="常规 4 4 3 2 5 2 2" xfId="14495"/>
    <cellStyle name="常规 4 4 3 2 5 2 2 2" xfId="33343"/>
    <cellStyle name="常规 4 4 3 2 5 2 3" xfId="23919"/>
    <cellStyle name="常规 4 4 3 2 5 3" xfId="8211"/>
    <cellStyle name="常规 4 4 3 2 5 3 2" xfId="17631"/>
    <cellStyle name="常规 4 4 3 2 5 3 2 2" xfId="36479"/>
    <cellStyle name="常规 4 4 3 2 5 3 3" xfId="27055"/>
    <cellStyle name="常规 4 4 3 2 5 4" xfId="11359"/>
    <cellStyle name="常规 4 4 3 2 5 4 2" xfId="30207"/>
    <cellStyle name="常规 4 4 3 2 5 5" xfId="20783"/>
    <cellStyle name="常规 4 4 3 2 6" xfId="2723"/>
    <cellStyle name="常规 4 4 3 2 6 2" xfId="5859"/>
    <cellStyle name="常规 4 4 3 2 6 2 2" xfId="15279"/>
    <cellStyle name="常规 4 4 3 2 6 2 2 2" xfId="34127"/>
    <cellStyle name="常规 4 4 3 2 6 2 3" xfId="24703"/>
    <cellStyle name="常规 4 4 3 2 6 3" xfId="8995"/>
    <cellStyle name="常规 4 4 3 2 6 3 2" xfId="18415"/>
    <cellStyle name="常规 4 4 3 2 6 3 2 2" xfId="37263"/>
    <cellStyle name="常规 4 4 3 2 6 3 3" xfId="27839"/>
    <cellStyle name="常规 4 4 3 2 6 4" xfId="12143"/>
    <cellStyle name="常规 4 4 3 2 6 4 2" xfId="30991"/>
    <cellStyle name="常规 4 4 3 2 6 5" xfId="21567"/>
    <cellStyle name="常规 4 4 3 2 7" xfId="3511"/>
    <cellStyle name="常规 4 4 3 2 7 2" xfId="12931"/>
    <cellStyle name="常规 4 4 3 2 7 2 2" xfId="31779"/>
    <cellStyle name="常规 4 4 3 2 7 3" xfId="22355"/>
    <cellStyle name="常规 4 4 3 2 8" xfId="6643"/>
    <cellStyle name="常规 4 4 3 2 8 2" xfId="16063"/>
    <cellStyle name="常规 4 4 3 2 8 2 2" xfId="34911"/>
    <cellStyle name="常规 4 4 3 2 8 3" xfId="25487"/>
    <cellStyle name="常规 4 4 3 2 9" xfId="9790"/>
    <cellStyle name="常规 4 4 3 2 9 2" xfId="28635"/>
    <cellStyle name="常规 4 4 3 3" xfId="369"/>
    <cellStyle name="常规 4 4 3 3 2" xfId="765"/>
    <cellStyle name="常规 4 4 3 3 2 2" xfId="1549"/>
    <cellStyle name="常规 4 4 3 3 2 2 2" xfId="4685"/>
    <cellStyle name="常规 4 4 3 3 2 2 2 2" xfId="14105"/>
    <cellStyle name="常规 4 4 3 3 2 2 2 2 2" xfId="32953"/>
    <cellStyle name="常规 4 4 3 3 2 2 2 3" xfId="23529"/>
    <cellStyle name="常规 4 4 3 3 2 2 3" xfId="7821"/>
    <cellStyle name="常规 4 4 3 3 2 2 3 2" xfId="17241"/>
    <cellStyle name="常规 4 4 3 3 2 2 3 2 2" xfId="36089"/>
    <cellStyle name="常规 4 4 3 3 2 2 3 3" xfId="26665"/>
    <cellStyle name="常规 4 4 3 3 2 2 4" xfId="10969"/>
    <cellStyle name="常规 4 4 3 3 2 2 4 2" xfId="29817"/>
    <cellStyle name="常规 4 4 3 3 2 2 5" xfId="20393"/>
    <cellStyle name="常规 4 4 3 3 2 3" xfId="2333"/>
    <cellStyle name="常规 4 4 3 3 2 3 2" xfId="5469"/>
    <cellStyle name="常规 4 4 3 3 2 3 2 2" xfId="14889"/>
    <cellStyle name="常规 4 4 3 3 2 3 2 2 2" xfId="33737"/>
    <cellStyle name="常规 4 4 3 3 2 3 2 3" xfId="24313"/>
    <cellStyle name="常规 4 4 3 3 2 3 3" xfId="8605"/>
    <cellStyle name="常规 4 4 3 3 2 3 3 2" xfId="18025"/>
    <cellStyle name="常规 4 4 3 3 2 3 3 2 2" xfId="36873"/>
    <cellStyle name="常规 4 4 3 3 2 3 3 3" xfId="27449"/>
    <cellStyle name="常规 4 4 3 3 2 3 4" xfId="11753"/>
    <cellStyle name="常规 4 4 3 3 2 3 4 2" xfId="30601"/>
    <cellStyle name="常规 4 4 3 3 2 3 5" xfId="21177"/>
    <cellStyle name="常规 4 4 3 3 2 4" xfId="3117"/>
    <cellStyle name="常规 4 4 3 3 2 4 2" xfId="6253"/>
    <cellStyle name="常规 4 4 3 3 2 4 2 2" xfId="15673"/>
    <cellStyle name="常规 4 4 3 3 2 4 2 2 2" xfId="34521"/>
    <cellStyle name="常规 4 4 3 3 2 4 2 3" xfId="25097"/>
    <cellStyle name="常规 4 4 3 3 2 4 3" xfId="9389"/>
    <cellStyle name="常规 4 4 3 3 2 4 3 2" xfId="18809"/>
    <cellStyle name="常规 4 4 3 3 2 4 3 2 2" xfId="37657"/>
    <cellStyle name="常规 4 4 3 3 2 4 3 3" xfId="28233"/>
    <cellStyle name="常规 4 4 3 3 2 4 4" xfId="12537"/>
    <cellStyle name="常规 4 4 3 3 2 4 4 2" xfId="31385"/>
    <cellStyle name="常规 4 4 3 3 2 4 5" xfId="21961"/>
    <cellStyle name="常规 4 4 3 3 2 5" xfId="3901"/>
    <cellStyle name="常规 4 4 3 3 2 5 2" xfId="13321"/>
    <cellStyle name="常规 4 4 3 3 2 5 2 2" xfId="32169"/>
    <cellStyle name="常规 4 4 3 3 2 5 3" xfId="22745"/>
    <cellStyle name="常规 4 4 3 3 2 6" xfId="7037"/>
    <cellStyle name="常规 4 4 3 3 2 6 2" xfId="16457"/>
    <cellStyle name="常规 4 4 3 3 2 6 2 2" xfId="35305"/>
    <cellStyle name="常规 4 4 3 3 2 6 3" xfId="25881"/>
    <cellStyle name="常规 4 4 3 3 2 7" xfId="10185"/>
    <cellStyle name="常规 4 4 3 3 2 7 2" xfId="29033"/>
    <cellStyle name="常规 4 4 3 3 2 8" xfId="19609"/>
    <cellStyle name="常规 4 4 3 3 3" xfId="1157"/>
    <cellStyle name="常规 4 4 3 3 3 2" xfId="4293"/>
    <cellStyle name="常规 4 4 3 3 3 2 2" xfId="13713"/>
    <cellStyle name="常规 4 4 3 3 3 2 2 2" xfId="32561"/>
    <cellStyle name="常规 4 4 3 3 3 2 3" xfId="23137"/>
    <cellStyle name="常规 4 4 3 3 3 3" xfId="7429"/>
    <cellStyle name="常规 4 4 3 3 3 3 2" xfId="16849"/>
    <cellStyle name="常规 4 4 3 3 3 3 2 2" xfId="35697"/>
    <cellStyle name="常规 4 4 3 3 3 3 3" xfId="26273"/>
    <cellStyle name="常规 4 4 3 3 3 4" xfId="10577"/>
    <cellStyle name="常规 4 4 3 3 3 4 2" xfId="29425"/>
    <cellStyle name="常规 4 4 3 3 3 5" xfId="20001"/>
    <cellStyle name="常规 4 4 3 3 4" xfId="1941"/>
    <cellStyle name="常规 4 4 3 3 4 2" xfId="5077"/>
    <cellStyle name="常规 4 4 3 3 4 2 2" xfId="14497"/>
    <cellStyle name="常规 4 4 3 3 4 2 2 2" xfId="33345"/>
    <cellStyle name="常规 4 4 3 3 4 2 3" xfId="23921"/>
    <cellStyle name="常规 4 4 3 3 4 3" xfId="8213"/>
    <cellStyle name="常规 4 4 3 3 4 3 2" xfId="17633"/>
    <cellStyle name="常规 4 4 3 3 4 3 2 2" xfId="36481"/>
    <cellStyle name="常规 4 4 3 3 4 3 3" xfId="27057"/>
    <cellStyle name="常规 4 4 3 3 4 4" xfId="11361"/>
    <cellStyle name="常规 4 4 3 3 4 4 2" xfId="30209"/>
    <cellStyle name="常规 4 4 3 3 4 5" xfId="20785"/>
    <cellStyle name="常规 4 4 3 3 5" xfId="2725"/>
    <cellStyle name="常规 4 4 3 3 5 2" xfId="5861"/>
    <cellStyle name="常规 4 4 3 3 5 2 2" xfId="15281"/>
    <cellStyle name="常规 4 4 3 3 5 2 2 2" xfId="34129"/>
    <cellStyle name="常规 4 4 3 3 5 2 3" xfId="24705"/>
    <cellStyle name="常规 4 4 3 3 5 3" xfId="8997"/>
    <cellStyle name="常规 4 4 3 3 5 3 2" xfId="18417"/>
    <cellStyle name="常规 4 4 3 3 5 3 2 2" xfId="37265"/>
    <cellStyle name="常规 4 4 3 3 5 3 3" xfId="27841"/>
    <cellStyle name="常规 4 4 3 3 5 4" xfId="12145"/>
    <cellStyle name="常规 4 4 3 3 5 4 2" xfId="30993"/>
    <cellStyle name="常规 4 4 3 3 5 5" xfId="21569"/>
    <cellStyle name="常规 4 4 3 3 6" xfId="3513"/>
    <cellStyle name="常规 4 4 3 3 6 2" xfId="12933"/>
    <cellStyle name="常规 4 4 3 3 6 2 2" xfId="31781"/>
    <cellStyle name="常规 4 4 3 3 6 3" xfId="22357"/>
    <cellStyle name="常规 4 4 3 3 7" xfId="6645"/>
    <cellStyle name="常规 4 4 3 3 7 2" xfId="16065"/>
    <cellStyle name="常规 4 4 3 3 7 2 2" xfId="34913"/>
    <cellStyle name="常规 4 4 3 3 7 3" xfId="25489"/>
    <cellStyle name="常规 4 4 3 3 8" xfId="9792"/>
    <cellStyle name="常规 4 4 3 3 8 2" xfId="28637"/>
    <cellStyle name="常规 4 4 3 3 9" xfId="19215"/>
    <cellStyle name="常规 4 4 3 4" xfId="762"/>
    <cellStyle name="常规 4 4 3 4 2" xfId="1546"/>
    <cellStyle name="常规 4 4 3 4 2 2" xfId="4682"/>
    <cellStyle name="常规 4 4 3 4 2 2 2" xfId="14102"/>
    <cellStyle name="常规 4 4 3 4 2 2 2 2" xfId="32950"/>
    <cellStyle name="常规 4 4 3 4 2 2 3" xfId="23526"/>
    <cellStyle name="常规 4 4 3 4 2 3" xfId="7818"/>
    <cellStyle name="常规 4 4 3 4 2 3 2" xfId="17238"/>
    <cellStyle name="常规 4 4 3 4 2 3 2 2" xfId="36086"/>
    <cellStyle name="常规 4 4 3 4 2 3 3" xfId="26662"/>
    <cellStyle name="常规 4 4 3 4 2 4" xfId="10966"/>
    <cellStyle name="常规 4 4 3 4 2 4 2" xfId="29814"/>
    <cellStyle name="常规 4 4 3 4 2 5" xfId="20390"/>
    <cellStyle name="常规 4 4 3 4 3" xfId="2330"/>
    <cellStyle name="常规 4 4 3 4 3 2" xfId="5466"/>
    <cellStyle name="常规 4 4 3 4 3 2 2" xfId="14886"/>
    <cellStyle name="常规 4 4 3 4 3 2 2 2" xfId="33734"/>
    <cellStyle name="常规 4 4 3 4 3 2 3" xfId="24310"/>
    <cellStyle name="常规 4 4 3 4 3 3" xfId="8602"/>
    <cellStyle name="常规 4 4 3 4 3 3 2" xfId="18022"/>
    <cellStyle name="常规 4 4 3 4 3 3 2 2" xfId="36870"/>
    <cellStyle name="常规 4 4 3 4 3 3 3" xfId="27446"/>
    <cellStyle name="常规 4 4 3 4 3 4" xfId="11750"/>
    <cellStyle name="常规 4 4 3 4 3 4 2" xfId="30598"/>
    <cellStyle name="常规 4 4 3 4 3 5" xfId="21174"/>
    <cellStyle name="常规 4 4 3 4 4" xfId="3114"/>
    <cellStyle name="常规 4 4 3 4 4 2" xfId="6250"/>
    <cellStyle name="常规 4 4 3 4 4 2 2" xfId="15670"/>
    <cellStyle name="常规 4 4 3 4 4 2 2 2" xfId="34518"/>
    <cellStyle name="常规 4 4 3 4 4 2 3" xfId="25094"/>
    <cellStyle name="常规 4 4 3 4 4 3" xfId="9386"/>
    <cellStyle name="常规 4 4 3 4 4 3 2" xfId="18806"/>
    <cellStyle name="常规 4 4 3 4 4 3 2 2" xfId="37654"/>
    <cellStyle name="常规 4 4 3 4 4 3 3" xfId="28230"/>
    <cellStyle name="常规 4 4 3 4 4 4" xfId="12534"/>
    <cellStyle name="常规 4 4 3 4 4 4 2" xfId="31382"/>
    <cellStyle name="常规 4 4 3 4 4 5" xfId="21958"/>
    <cellStyle name="常规 4 4 3 4 5" xfId="3898"/>
    <cellStyle name="常规 4 4 3 4 5 2" xfId="13318"/>
    <cellStyle name="常规 4 4 3 4 5 2 2" xfId="32166"/>
    <cellStyle name="常规 4 4 3 4 5 3" xfId="22742"/>
    <cellStyle name="常规 4 4 3 4 6" xfId="7034"/>
    <cellStyle name="常规 4 4 3 4 6 2" xfId="16454"/>
    <cellStyle name="常规 4 4 3 4 6 2 2" xfId="35302"/>
    <cellStyle name="常规 4 4 3 4 6 3" xfId="25878"/>
    <cellStyle name="常规 4 4 3 4 7" xfId="10182"/>
    <cellStyle name="常规 4 4 3 4 7 2" xfId="29030"/>
    <cellStyle name="常规 4 4 3 4 8" xfId="19606"/>
    <cellStyle name="常规 4 4 3 5" xfId="1154"/>
    <cellStyle name="常规 4 4 3 5 2" xfId="4290"/>
    <cellStyle name="常规 4 4 3 5 2 2" xfId="13710"/>
    <cellStyle name="常规 4 4 3 5 2 2 2" xfId="32558"/>
    <cellStyle name="常规 4 4 3 5 2 3" xfId="23134"/>
    <cellStyle name="常规 4 4 3 5 3" xfId="7426"/>
    <cellStyle name="常规 4 4 3 5 3 2" xfId="16846"/>
    <cellStyle name="常规 4 4 3 5 3 2 2" xfId="35694"/>
    <cellStyle name="常规 4 4 3 5 3 3" xfId="26270"/>
    <cellStyle name="常规 4 4 3 5 4" xfId="10574"/>
    <cellStyle name="常规 4 4 3 5 4 2" xfId="29422"/>
    <cellStyle name="常规 4 4 3 5 5" xfId="19998"/>
    <cellStyle name="常规 4 4 3 6" xfId="1938"/>
    <cellStyle name="常规 4 4 3 6 2" xfId="5074"/>
    <cellStyle name="常规 4 4 3 6 2 2" xfId="14494"/>
    <cellStyle name="常规 4 4 3 6 2 2 2" xfId="33342"/>
    <cellStyle name="常规 4 4 3 6 2 3" xfId="23918"/>
    <cellStyle name="常规 4 4 3 6 3" xfId="8210"/>
    <cellStyle name="常规 4 4 3 6 3 2" xfId="17630"/>
    <cellStyle name="常规 4 4 3 6 3 2 2" xfId="36478"/>
    <cellStyle name="常规 4 4 3 6 3 3" xfId="27054"/>
    <cellStyle name="常规 4 4 3 6 4" xfId="11358"/>
    <cellStyle name="常规 4 4 3 6 4 2" xfId="30206"/>
    <cellStyle name="常规 4 4 3 6 5" xfId="20782"/>
    <cellStyle name="常规 4 4 3 7" xfId="2722"/>
    <cellStyle name="常规 4 4 3 7 2" xfId="5858"/>
    <cellStyle name="常规 4 4 3 7 2 2" xfId="15278"/>
    <cellStyle name="常规 4 4 3 7 2 2 2" xfId="34126"/>
    <cellStyle name="常规 4 4 3 7 2 3" xfId="24702"/>
    <cellStyle name="常规 4 4 3 7 3" xfId="8994"/>
    <cellStyle name="常规 4 4 3 7 3 2" xfId="18414"/>
    <cellStyle name="常规 4 4 3 7 3 2 2" xfId="37262"/>
    <cellStyle name="常规 4 4 3 7 3 3" xfId="27838"/>
    <cellStyle name="常规 4 4 3 7 4" xfId="12142"/>
    <cellStyle name="常规 4 4 3 7 4 2" xfId="30990"/>
    <cellStyle name="常规 4 4 3 7 5" xfId="21566"/>
    <cellStyle name="常规 4 4 3 8" xfId="3236"/>
    <cellStyle name="常规 4 4 3 8 2" xfId="12656"/>
    <cellStyle name="常规 4 4 3 8 2 2" xfId="31504"/>
    <cellStyle name="常规 4 4 3 8 3" xfId="22080"/>
    <cellStyle name="常规 4 4 3 9" xfId="6642"/>
    <cellStyle name="常规 4 4 3 9 2" xfId="16062"/>
    <cellStyle name="常规 4 4 3 9 2 2" xfId="34910"/>
    <cellStyle name="常规 4 4 3 9 3" xfId="25486"/>
    <cellStyle name="常规 4 4 4" xfId="370"/>
    <cellStyle name="常规 4 4 4 10" xfId="19216"/>
    <cellStyle name="常规 4 4 4 2" xfId="371"/>
    <cellStyle name="常规 4 4 4 2 2" xfId="767"/>
    <cellStyle name="常规 4 4 4 2 2 2" xfId="1551"/>
    <cellStyle name="常规 4 4 4 2 2 2 2" xfId="4687"/>
    <cellStyle name="常规 4 4 4 2 2 2 2 2" xfId="14107"/>
    <cellStyle name="常规 4 4 4 2 2 2 2 2 2" xfId="32955"/>
    <cellStyle name="常规 4 4 4 2 2 2 2 3" xfId="23531"/>
    <cellStyle name="常规 4 4 4 2 2 2 3" xfId="7823"/>
    <cellStyle name="常规 4 4 4 2 2 2 3 2" xfId="17243"/>
    <cellStyle name="常规 4 4 4 2 2 2 3 2 2" xfId="36091"/>
    <cellStyle name="常规 4 4 4 2 2 2 3 3" xfId="26667"/>
    <cellStyle name="常规 4 4 4 2 2 2 4" xfId="10971"/>
    <cellStyle name="常规 4 4 4 2 2 2 4 2" xfId="29819"/>
    <cellStyle name="常规 4 4 4 2 2 2 5" xfId="20395"/>
    <cellStyle name="常规 4 4 4 2 2 3" xfId="2335"/>
    <cellStyle name="常规 4 4 4 2 2 3 2" xfId="5471"/>
    <cellStyle name="常规 4 4 4 2 2 3 2 2" xfId="14891"/>
    <cellStyle name="常规 4 4 4 2 2 3 2 2 2" xfId="33739"/>
    <cellStyle name="常规 4 4 4 2 2 3 2 3" xfId="24315"/>
    <cellStyle name="常规 4 4 4 2 2 3 3" xfId="8607"/>
    <cellStyle name="常规 4 4 4 2 2 3 3 2" xfId="18027"/>
    <cellStyle name="常规 4 4 4 2 2 3 3 2 2" xfId="36875"/>
    <cellStyle name="常规 4 4 4 2 2 3 3 3" xfId="27451"/>
    <cellStyle name="常规 4 4 4 2 2 3 4" xfId="11755"/>
    <cellStyle name="常规 4 4 4 2 2 3 4 2" xfId="30603"/>
    <cellStyle name="常规 4 4 4 2 2 3 5" xfId="21179"/>
    <cellStyle name="常规 4 4 4 2 2 4" xfId="3119"/>
    <cellStyle name="常规 4 4 4 2 2 4 2" xfId="6255"/>
    <cellStyle name="常规 4 4 4 2 2 4 2 2" xfId="15675"/>
    <cellStyle name="常规 4 4 4 2 2 4 2 2 2" xfId="34523"/>
    <cellStyle name="常规 4 4 4 2 2 4 2 3" xfId="25099"/>
    <cellStyle name="常规 4 4 4 2 2 4 3" xfId="9391"/>
    <cellStyle name="常规 4 4 4 2 2 4 3 2" xfId="18811"/>
    <cellStyle name="常规 4 4 4 2 2 4 3 2 2" xfId="37659"/>
    <cellStyle name="常规 4 4 4 2 2 4 3 3" xfId="28235"/>
    <cellStyle name="常规 4 4 4 2 2 4 4" xfId="12539"/>
    <cellStyle name="常规 4 4 4 2 2 4 4 2" xfId="31387"/>
    <cellStyle name="常规 4 4 4 2 2 4 5" xfId="21963"/>
    <cellStyle name="常规 4 4 4 2 2 5" xfId="3903"/>
    <cellStyle name="常规 4 4 4 2 2 5 2" xfId="13323"/>
    <cellStyle name="常规 4 4 4 2 2 5 2 2" xfId="32171"/>
    <cellStyle name="常规 4 4 4 2 2 5 3" xfId="22747"/>
    <cellStyle name="常规 4 4 4 2 2 6" xfId="7039"/>
    <cellStyle name="常规 4 4 4 2 2 6 2" xfId="16459"/>
    <cellStyle name="常规 4 4 4 2 2 6 2 2" xfId="35307"/>
    <cellStyle name="常规 4 4 4 2 2 6 3" xfId="25883"/>
    <cellStyle name="常规 4 4 4 2 2 7" xfId="10187"/>
    <cellStyle name="常规 4 4 4 2 2 7 2" xfId="29035"/>
    <cellStyle name="常规 4 4 4 2 2 8" xfId="19611"/>
    <cellStyle name="常规 4 4 4 2 3" xfId="1159"/>
    <cellStyle name="常规 4 4 4 2 3 2" xfId="4295"/>
    <cellStyle name="常规 4 4 4 2 3 2 2" xfId="13715"/>
    <cellStyle name="常规 4 4 4 2 3 2 2 2" xfId="32563"/>
    <cellStyle name="常规 4 4 4 2 3 2 3" xfId="23139"/>
    <cellStyle name="常规 4 4 4 2 3 3" xfId="7431"/>
    <cellStyle name="常规 4 4 4 2 3 3 2" xfId="16851"/>
    <cellStyle name="常规 4 4 4 2 3 3 2 2" xfId="35699"/>
    <cellStyle name="常规 4 4 4 2 3 3 3" xfId="26275"/>
    <cellStyle name="常规 4 4 4 2 3 4" xfId="10579"/>
    <cellStyle name="常规 4 4 4 2 3 4 2" xfId="29427"/>
    <cellStyle name="常规 4 4 4 2 3 5" xfId="20003"/>
    <cellStyle name="常规 4 4 4 2 4" xfId="1943"/>
    <cellStyle name="常规 4 4 4 2 4 2" xfId="5079"/>
    <cellStyle name="常规 4 4 4 2 4 2 2" xfId="14499"/>
    <cellStyle name="常规 4 4 4 2 4 2 2 2" xfId="33347"/>
    <cellStyle name="常规 4 4 4 2 4 2 3" xfId="23923"/>
    <cellStyle name="常规 4 4 4 2 4 3" xfId="8215"/>
    <cellStyle name="常规 4 4 4 2 4 3 2" xfId="17635"/>
    <cellStyle name="常规 4 4 4 2 4 3 2 2" xfId="36483"/>
    <cellStyle name="常规 4 4 4 2 4 3 3" xfId="27059"/>
    <cellStyle name="常规 4 4 4 2 4 4" xfId="11363"/>
    <cellStyle name="常规 4 4 4 2 4 4 2" xfId="30211"/>
    <cellStyle name="常规 4 4 4 2 4 5" xfId="20787"/>
    <cellStyle name="常规 4 4 4 2 5" xfId="2727"/>
    <cellStyle name="常规 4 4 4 2 5 2" xfId="5863"/>
    <cellStyle name="常规 4 4 4 2 5 2 2" xfId="15283"/>
    <cellStyle name="常规 4 4 4 2 5 2 2 2" xfId="34131"/>
    <cellStyle name="常规 4 4 4 2 5 2 3" xfId="24707"/>
    <cellStyle name="常规 4 4 4 2 5 3" xfId="8999"/>
    <cellStyle name="常规 4 4 4 2 5 3 2" xfId="18419"/>
    <cellStyle name="常规 4 4 4 2 5 3 2 2" xfId="37267"/>
    <cellStyle name="常规 4 4 4 2 5 3 3" xfId="27843"/>
    <cellStyle name="常规 4 4 4 2 5 4" xfId="12147"/>
    <cellStyle name="常规 4 4 4 2 5 4 2" xfId="30995"/>
    <cellStyle name="常规 4 4 4 2 5 5" xfId="21571"/>
    <cellStyle name="常规 4 4 4 2 6" xfId="3515"/>
    <cellStyle name="常规 4 4 4 2 6 2" xfId="12935"/>
    <cellStyle name="常规 4 4 4 2 6 2 2" xfId="31783"/>
    <cellStyle name="常规 4 4 4 2 6 3" xfId="22359"/>
    <cellStyle name="常规 4 4 4 2 7" xfId="6647"/>
    <cellStyle name="常规 4 4 4 2 7 2" xfId="16067"/>
    <cellStyle name="常规 4 4 4 2 7 2 2" xfId="34915"/>
    <cellStyle name="常规 4 4 4 2 7 3" xfId="25491"/>
    <cellStyle name="常规 4 4 4 2 8" xfId="9794"/>
    <cellStyle name="常规 4 4 4 2 8 2" xfId="28639"/>
    <cellStyle name="常规 4 4 4 2 9" xfId="19217"/>
    <cellStyle name="常规 4 4 4 3" xfId="766"/>
    <cellStyle name="常规 4 4 4 3 2" xfId="1550"/>
    <cellStyle name="常规 4 4 4 3 2 2" xfId="4686"/>
    <cellStyle name="常规 4 4 4 3 2 2 2" xfId="14106"/>
    <cellStyle name="常规 4 4 4 3 2 2 2 2" xfId="32954"/>
    <cellStyle name="常规 4 4 4 3 2 2 3" xfId="23530"/>
    <cellStyle name="常规 4 4 4 3 2 3" xfId="7822"/>
    <cellStyle name="常规 4 4 4 3 2 3 2" xfId="17242"/>
    <cellStyle name="常规 4 4 4 3 2 3 2 2" xfId="36090"/>
    <cellStyle name="常规 4 4 4 3 2 3 3" xfId="26666"/>
    <cellStyle name="常规 4 4 4 3 2 4" xfId="10970"/>
    <cellStyle name="常规 4 4 4 3 2 4 2" xfId="29818"/>
    <cellStyle name="常规 4 4 4 3 2 5" xfId="20394"/>
    <cellStyle name="常规 4 4 4 3 3" xfId="2334"/>
    <cellStyle name="常规 4 4 4 3 3 2" xfId="5470"/>
    <cellStyle name="常规 4 4 4 3 3 2 2" xfId="14890"/>
    <cellStyle name="常规 4 4 4 3 3 2 2 2" xfId="33738"/>
    <cellStyle name="常规 4 4 4 3 3 2 3" xfId="24314"/>
    <cellStyle name="常规 4 4 4 3 3 3" xfId="8606"/>
    <cellStyle name="常规 4 4 4 3 3 3 2" xfId="18026"/>
    <cellStyle name="常规 4 4 4 3 3 3 2 2" xfId="36874"/>
    <cellStyle name="常规 4 4 4 3 3 3 3" xfId="27450"/>
    <cellStyle name="常规 4 4 4 3 3 4" xfId="11754"/>
    <cellStyle name="常规 4 4 4 3 3 4 2" xfId="30602"/>
    <cellStyle name="常规 4 4 4 3 3 5" xfId="21178"/>
    <cellStyle name="常规 4 4 4 3 4" xfId="3118"/>
    <cellStyle name="常规 4 4 4 3 4 2" xfId="6254"/>
    <cellStyle name="常规 4 4 4 3 4 2 2" xfId="15674"/>
    <cellStyle name="常规 4 4 4 3 4 2 2 2" xfId="34522"/>
    <cellStyle name="常规 4 4 4 3 4 2 3" xfId="25098"/>
    <cellStyle name="常规 4 4 4 3 4 3" xfId="9390"/>
    <cellStyle name="常规 4 4 4 3 4 3 2" xfId="18810"/>
    <cellStyle name="常规 4 4 4 3 4 3 2 2" xfId="37658"/>
    <cellStyle name="常规 4 4 4 3 4 3 3" xfId="28234"/>
    <cellStyle name="常规 4 4 4 3 4 4" xfId="12538"/>
    <cellStyle name="常规 4 4 4 3 4 4 2" xfId="31386"/>
    <cellStyle name="常规 4 4 4 3 4 5" xfId="21962"/>
    <cellStyle name="常规 4 4 4 3 5" xfId="3902"/>
    <cellStyle name="常规 4 4 4 3 5 2" xfId="13322"/>
    <cellStyle name="常规 4 4 4 3 5 2 2" xfId="32170"/>
    <cellStyle name="常规 4 4 4 3 5 3" xfId="22746"/>
    <cellStyle name="常规 4 4 4 3 6" xfId="7038"/>
    <cellStyle name="常规 4 4 4 3 6 2" xfId="16458"/>
    <cellStyle name="常规 4 4 4 3 6 2 2" xfId="35306"/>
    <cellStyle name="常规 4 4 4 3 6 3" xfId="25882"/>
    <cellStyle name="常规 4 4 4 3 7" xfId="10186"/>
    <cellStyle name="常规 4 4 4 3 7 2" xfId="29034"/>
    <cellStyle name="常规 4 4 4 3 8" xfId="19610"/>
    <cellStyle name="常规 4 4 4 4" xfId="1158"/>
    <cellStyle name="常规 4 4 4 4 2" xfId="4294"/>
    <cellStyle name="常规 4 4 4 4 2 2" xfId="13714"/>
    <cellStyle name="常规 4 4 4 4 2 2 2" xfId="32562"/>
    <cellStyle name="常规 4 4 4 4 2 3" xfId="23138"/>
    <cellStyle name="常规 4 4 4 4 3" xfId="7430"/>
    <cellStyle name="常规 4 4 4 4 3 2" xfId="16850"/>
    <cellStyle name="常规 4 4 4 4 3 2 2" xfId="35698"/>
    <cellStyle name="常规 4 4 4 4 3 3" xfId="26274"/>
    <cellStyle name="常规 4 4 4 4 4" xfId="10578"/>
    <cellStyle name="常规 4 4 4 4 4 2" xfId="29426"/>
    <cellStyle name="常规 4 4 4 4 5" xfId="20002"/>
    <cellStyle name="常规 4 4 4 5" xfId="1942"/>
    <cellStyle name="常规 4 4 4 5 2" xfId="5078"/>
    <cellStyle name="常规 4 4 4 5 2 2" xfId="14498"/>
    <cellStyle name="常规 4 4 4 5 2 2 2" xfId="33346"/>
    <cellStyle name="常规 4 4 4 5 2 3" xfId="23922"/>
    <cellStyle name="常规 4 4 4 5 3" xfId="8214"/>
    <cellStyle name="常规 4 4 4 5 3 2" xfId="17634"/>
    <cellStyle name="常规 4 4 4 5 3 2 2" xfId="36482"/>
    <cellStyle name="常规 4 4 4 5 3 3" xfId="27058"/>
    <cellStyle name="常规 4 4 4 5 4" xfId="11362"/>
    <cellStyle name="常规 4 4 4 5 4 2" xfId="30210"/>
    <cellStyle name="常规 4 4 4 5 5" xfId="20786"/>
    <cellStyle name="常规 4 4 4 6" xfId="2726"/>
    <cellStyle name="常规 4 4 4 6 2" xfId="5862"/>
    <cellStyle name="常规 4 4 4 6 2 2" xfId="15282"/>
    <cellStyle name="常规 4 4 4 6 2 2 2" xfId="34130"/>
    <cellStyle name="常规 4 4 4 6 2 3" xfId="24706"/>
    <cellStyle name="常规 4 4 4 6 3" xfId="8998"/>
    <cellStyle name="常规 4 4 4 6 3 2" xfId="18418"/>
    <cellStyle name="常规 4 4 4 6 3 2 2" xfId="37266"/>
    <cellStyle name="常规 4 4 4 6 3 3" xfId="27842"/>
    <cellStyle name="常规 4 4 4 6 4" xfId="12146"/>
    <cellStyle name="常规 4 4 4 6 4 2" xfId="30994"/>
    <cellStyle name="常规 4 4 4 6 5" xfId="21570"/>
    <cellStyle name="常规 4 4 4 7" xfId="3514"/>
    <cellStyle name="常规 4 4 4 7 2" xfId="12934"/>
    <cellStyle name="常规 4 4 4 7 2 2" xfId="31782"/>
    <cellStyle name="常规 4 4 4 7 3" xfId="22358"/>
    <cellStyle name="常规 4 4 4 8" xfId="6646"/>
    <cellStyle name="常规 4 4 4 8 2" xfId="16066"/>
    <cellStyle name="常规 4 4 4 8 2 2" xfId="34914"/>
    <cellStyle name="常规 4 4 4 8 3" xfId="25490"/>
    <cellStyle name="常规 4 4 4 9" xfId="9793"/>
    <cellStyle name="常规 4 4 4 9 2" xfId="28638"/>
    <cellStyle name="常规 4 4 5" xfId="372"/>
    <cellStyle name="常规 4 4 5 2" xfId="768"/>
    <cellStyle name="常规 4 4 5 2 2" xfId="1552"/>
    <cellStyle name="常规 4 4 5 2 2 2" xfId="4688"/>
    <cellStyle name="常规 4 4 5 2 2 2 2" xfId="14108"/>
    <cellStyle name="常规 4 4 5 2 2 2 2 2" xfId="32956"/>
    <cellStyle name="常规 4 4 5 2 2 2 3" xfId="23532"/>
    <cellStyle name="常规 4 4 5 2 2 3" xfId="7824"/>
    <cellStyle name="常规 4 4 5 2 2 3 2" xfId="17244"/>
    <cellStyle name="常规 4 4 5 2 2 3 2 2" xfId="36092"/>
    <cellStyle name="常规 4 4 5 2 2 3 3" xfId="26668"/>
    <cellStyle name="常规 4 4 5 2 2 4" xfId="10972"/>
    <cellStyle name="常规 4 4 5 2 2 4 2" xfId="29820"/>
    <cellStyle name="常规 4 4 5 2 2 5" xfId="20396"/>
    <cellStyle name="常规 4 4 5 2 3" xfId="2336"/>
    <cellStyle name="常规 4 4 5 2 3 2" xfId="5472"/>
    <cellStyle name="常规 4 4 5 2 3 2 2" xfId="14892"/>
    <cellStyle name="常规 4 4 5 2 3 2 2 2" xfId="33740"/>
    <cellStyle name="常规 4 4 5 2 3 2 3" xfId="24316"/>
    <cellStyle name="常规 4 4 5 2 3 3" xfId="8608"/>
    <cellStyle name="常规 4 4 5 2 3 3 2" xfId="18028"/>
    <cellStyle name="常规 4 4 5 2 3 3 2 2" xfId="36876"/>
    <cellStyle name="常规 4 4 5 2 3 3 3" xfId="27452"/>
    <cellStyle name="常规 4 4 5 2 3 4" xfId="11756"/>
    <cellStyle name="常规 4 4 5 2 3 4 2" xfId="30604"/>
    <cellStyle name="常规 4 4 5 2 3 5" xfId="21180"/>
    <cellStyle name="常规 4 4 5 2 4" xfId="3120"/>
    <cellStyle name="常规 4 4 5 2 4 2" xfId="6256"/>
    <cellStyle name="常规 4 4 5 2 4 2 2" xfId="15676"/>
    <cellStyle name="常规 4 4 5 2 4 2 2 2" xfId="34524"/>
    <cellStyle name="常规 4 4 5 2 4 2 3" xfId="25100"/>
    <cellStyle name="常规 4 4 5 2 4 3" xfId="9392"/>
    <cellStyle name="常规 4 4 5 2 4 3 2" xfId="18812"/>
    <cellStyle name="常规 4 4 5 2 4 3 2 2" xfId="37660"/>
    <cellStyle name="常规 4 4 5 2 4 3 3" xfId="28236"/>
    <cellStyle name="常规 4 4 5 2 4 4" xfId="12540"/>
    <cellStyle name="常规 4 4 5 2 4 4 2" xfId="31388"/>
    <cellStyle name="常规 4 4 5 2 4 5" xfId="21964"/>
    <cellStyle name="常规 4 4 5 2 5" xfId="3904"/>
    <cellStyle name="常规 4 4 5 2 5 2" xfId="13324"/>
    <cellStyle name="常规 4 4 5 2 5 2 2" xfId="32172"/>
    <cellStyle name="常规 4 4 5 2 5 3" xfId="22748"/>
    <cellStyle name="常规 4 4 5 2 6" xfId="7040"/>
    <cellStyle name="常规 4 4 5 2 6 2" xfId="16460"/>
    <cellStyle name="常规 4 4 5 2 6 2 2" xfId="35308"/>
    <cellStyle name="常规 4 4 5 2 6 3" xfId="25884"/>
    <cellStyle name="常规 4 4 5 2 7" xfId="10188"/>
    <cellStyle name="常规 4 4 5 2 7 2" xfId="29036"/>
    <cellStyle name="常规 4 4 5 2 8" xfId="19612"/>
    <cellStyle name="常规 4 4 5 3" xfId="1160"/>
    <cellStyle name="常规 4 4 5 3 2" xfId="4296"/>
    <cellStyle name="常规 4 4 5 3 2 2" xfId="13716"/>
    <cellStyle name="常规 4 4 5 3 2 2 2" xfId="32564"/>
    <cellStyle name="常规 4 4 5 3 2 3" xfId="23140"/>
    <cellStyle name="常规 4 4 5 3 3" xfId="7432"/>
    <cellStyle name="常规 4 4 5 3 3 2" xfId="16852"/>
    <cellStyle name="常规 4 4 5 3 3 2 2" xfId="35700"/>
    <cellStyle name="常规 4 4 5 3 3 3" xfId="26276"/>
    <cellStyle name="常规 4 4 5 3 4" xfId="10580"/>
    <cellStyle name="常规 4 4 5 3 4 2" xfId="29428"/>
    <cellStyle name="常规 4 4 5 3 5" xfId="20004"/>
    <cellStyle name="常规 4 4 5 4" xfId="1944"/>
    <cellStyle name="常规 4 4 5 4 2" xfId="5080"/>
    <cellStyle name="常规 4 4 5 4 2 2" xfId="14500"/>
    <cellStyle name="常规 4 4 5 4 2 2 2" xfId="33348"/>
    <cellStyle name="常规 4 4 5 4 2 3" xfId="23924"/>
    <cellStyle name="常规 4 4 5 4 3" xfId="8216"/>
    <cellStyle name="常规 4 4 5 4 3 2" xfId="17636"/>
    <cellStyle name="常规 4 4 5 4 3 2 2" xfId="36484"/>
    <cellStyle name="常规 4 4 5 4 3 3" xfId="27060"/>
    <cellStyle name="常规 4 4 5 4 4" xfId="11364"/>
    <cellStyle name="常规 4 4 5 4 4 2" xfId="30212"/>
    <cellStyle name="常规 4 4 5 4 5" xfId="20788"/>
    <cellStyle name="常规 4 4 5 5" xfId="2728"/>
    <cellStyle name="常规 4 4 5 5 2" xfId="5864"/>
    <cellStyle name="常规 4 4 5 5 2 2" xfId="15284"/>
    <cellStyle name="常规 4 4 5 5 2 2 2" xfId="34132"/>
    <cellStyle name="常规 4 4 5 5 2 3" xfId="24708"/>
    <cellStyle name="常规 4 4 5 5 3" xfId="9000"/>
    <cellStyle name="常规 4 4 5 5 3 2" xfId="18420"/>
    <cellStyle name="常规 4 4 5 5 3 2 2" xfId="37268"/>
    <cellStyle name="常规 4 4 5 5 3 3" xfId="27844"/>
    <cellStyle name="常规 4 4 5 5 4" xfId="12148"/>
    <cellStyle name="常规 4 4 5 5 4 2" xfId="30996"/>
    <cellStyle name="常规 4 4 5 5 5" xfId="21572"/>
    <cellStyle name="常规 4 4 5 6" xfId="3516"/>
    <cellStyle name="常规 4 4 5 6 2" xfId="12936"/>
    <cellStyle name="常规 4 4 5 6 2 2" xfId="31784"/>
    <cellStyle name="常规 4 4 5 6 3" xfId="22360"/>
    <cellStyle name="常规 4 4 5 7" xfId="6648"/>
    <cellStyle name="常规 4 4 5 7 2" xfId="16068"/>
    <cellStyle name="常规 4 4 5 7 2 2" xfId="34916"/>
    <cellStyle name="常规 4 4 5 7 3" xfId="25492"/>
    <cellStyle name="常规 4 4 5 8" xfId="9795"/>
    <cellStyle name="常规 4 4 5 8 2" xfId="28640"/>
    <cellStyle name="常规 4 4 5 9" xfId="19218"/>
    <cellStyle name="常规 4 4 6" xfId="753"/>
    <cellStyle name="常规 4 4 6 2" xfId="1537"/>
    <cellStyle name="常规 4 4 6 2 2" xfId="4673"/>
    <cellStyle name="常规 4 4 6 2 2 2" xfId="14093"/>
    <cellStyle name="常规 4 4 6 2 2 2 2" xfId="32941"/>
    <cellStyle name="常规 4 4 6 2 2 3" xfId="23517"/>
    <cellStyle name="常规 4 4 6 2 3" xfId="7809"/>
    <cellStyle name="常规 4 4 6 2 3 2" xfId="17229"/>
    <cellStyle name="常规 4 4 6 2 3 2 2" xfId="36077"/>
    <cellStyle name="常规 4 4 6 2 3 3" xfId="26653"/>
    <cellStyle name="常规 4 4 6 2 4" xfId="10957"/>
    <cellStyle name="常规 4 4 6 2 4 2" xfId="29805"/>
    <cellStyle name="常规 4 4 6 2 5" xfId="20381"/>
    <cellStyle name="常规 4 4 6 3" xfId="2321"/>
    <cellStyle name="常规 4 4 6 3 2" xfId="5457"/>
    <cellStyle name="常规 4 4 6 3 2 2" xfId="14877"/>
    <cellStyle name="常规 4 4 6 3 2 2 2" xfId="33725"/>
    <cellStyle name="常规 4 4 6 3 2 3" xfId="24301"/>
    <cellStyle name="常规 4 4 6 3 3" xfId="8593"/>
    <cellStyle name="常规 4 4 6 3 3 2" xfId="18013"/>
    <cellStyle name="常规 4 4 6 3 3 2 2" xfId="36861"/>
    <cellStyle name="常规 4 4 6 3 3 3" xfId="27437"/>
    <cellStyle name="常规 4 4 6 3 4" xfId="11741"/>
    <cellStyle name="常规 4 4 6 3 4 2" xfId="30589"/>
    <cellStyle name="常规 4 4 6 3 5" xfId="21165"/>
    <cellStyle name="常规 4 4 6 4" xfId="3105"/>
    <cellStyle name="常规 4 4 6 4 2" xfId="6241"/>
    <cellStyle name="常规 4 4 6 4 2 2" xfId="15661"/>
    <cellStyle name="常规 4 4 6 4 2 2 2" xfId="34509"/>
    <cellStyle name="常规 4 4 6 4 2 3" xfId="25085"/>
    <cellStyle name="常规 4 4 6 4 3" xfId="9377"/>
    <cellStyle name="常规 4 4 6 4 3 2" xfId="18797"/>
    <cellStyle name="常规 4 4 6 4 3 2 2" xfId="37645"/>
    <cellStyle name="常规 4 4 6 4 3 3" xfId="28221"/>
    <cellStyle name="常规 4 4 6 4 4" xfId="12525"/>
    <cellStyle name="常规 4 4 6 4 4 2" xfId="31373"/>
    <cellStyle name="常规 4 4 6 4 5" xfId="21949"/>
    <cellStyle name="常规 4 4 6 5" xfId="3889"/>
    <cellStyle name="常规 4 4 6 5 2" xfId="13309"/>
    <cellStyle name="常规 4 4 6 5 2 2" xfId="32157"/>
    <cellStyle name="常规 4 4 6 5 3" xfId="22733"/>
    <cellStyle name="常规 4 4 6 6" xfId="7025"/>
    <cellStyle name="常规 4 4 6 6 2" xfId="16445"/>
    <cellStyle name="常规 4 4 6 6 2 2" xfId="35293"/>
    <cellStyle name="常规 4 4 6 6 3" xfId="25869"/>
    <cellStyle name="常规 4 4 6 7" xfId="10173"/>
    <cellStyle name="常规 4 4 6 7 2" xfId="29021"/>
    <cellStyle name="常规 4 4 6 8" xfId="19597"/>
    <cellStyle name="常规 4 4 7" xfId="1145"/>
    <cellStyle name="常规 4 4 7 2" xfId="4281"/>
    <cellStyle name="常规 4 4 7 2 2" xfId="13701"/>
    <cellStyle name="常规 4 4 7 2 2 2" xfId="32549"/>
    <cellStyle name="常规 4 4 7 2 3" xfId="23125"/>
    <cellStyle name="常规 4 4 7 3" xfId="7417"/>
    <cellStyle name="常规 4 4 7 3 2" xfId="16837"/>
    <cellStyle name="常规 4 4 7 3 2 2" xfId="35685"/>
    <cellStyle name="常规 4 4 7 3 3" xfId="26261"/>
    <cellStyle name="常规 4 4 7 4" xfId="10565"/>
    <cellStyle name="常规 4 4 7 4 2" xfId="29413"/>
    <cellStyle name="常规 4 4 7 5" xfId="19989"/>
    <cellStyle name="常规 4 4 8" xfId="1929"/>
    <cellStyle name="常规 4 4 8 2" xfId="5065"/>
    <cellStyle name="常规 4 4 8 2 2" xfId="14485"/>
    <cellStyle name="常规 4 4 8 2 2 2" xfId="33333"/>
    <cellStyle name="常规 4 4 8 2 3" xfId="23909"/>
    <cellStyle name="常规 4 4 8 3" xfId="8201"/>
    <cellStyle name="常规 4 4 8 3 2" xfId="17621"/>
    <cellStyle name="常规 4 4 8 3 2 2" xfId="36469"/>
    <cellStyle name="常规 4 4 8 3 3" xfId="27045"/>
    <cellStyle name="常规 4 4 8 4" xfId="11349"/>
    <cellStyle name="常规 4 4 8 4 2" xfId="30197"/>
    <cellStyle name="常规 4 4 8 5" xfId="20773"/>
    <cellStyle name="常规 4 4 9" xfId="2713"/>
    <cellStyle name="常规 4 4 9 2" xfId="5849"/>
    <cellStyle name="常规 4 4 9 2 2" xfId="15269"/>
    <cellStyle name="常规 4 4 9 2 2 2" xfId="34117"/>
    <cellStyle name="常规 4 4 9 2 3" xfId="24693"/>
    <cellStyle name="常规 4 4 9 3" xfId="8985"/>
    <cellStyle name="常规 4 4 9 3 2" xfId="18405"/>
    <cellStyle name="常规 4 4 9 3 2 2" xfId="37253"/>
    <cellStyle name="常规 4 4 9 3 3" xfId="27829"/>
    <cellStyle name="常规 4 4 9 4" xfId="12133"/>
    <cellStyle name="常规 4 4 9 4 2" xfId="30981"/>
    <cellStyle name="常规 4 4 9 5" xfId="21557"/>
    <cellStyle name="常规 4 5" xfId="373"/>
    <cellStyle name="常规 4 5 10" xfId="6649"/>
    <cellStyle name="常规 4 5 10 2" xfId="16069"/>
    <cellStyle name="常规 4 5 10 2 2" xfId="34917"/>
    <cellStyle name="常规 4 5 10 3" xfId="25493"/>
    <cellStyle name="常规 4 5 11" xfId="9796"/>
    <cellStyle name="常规 4 5 11 2" xfId="28641"/>
    <cellStyle name="常规 4 5 12" xfId="19219"/>
    <cellStyle name="常规 4 5 2" xfId="374"/>
    <cellStyle name="常规 4 5 2 10" xfId="9797"/>
    <cellStyle name="常规 4 5 2 10 2" xfId="28642"/>
    <cellStyle name="常规 4 5 2 11" xfId="19220"/>
    <cellStyle name="常规 4 5 2 2" xfId="375"/>
    <cellStyle name="常规 4 5 2 2 10" xfId="19221"/>
    <cellStyle name="常规 4 5 2 2 2" xfId="376"/>
    <cellStyle name="常规 4 5 2 2 2 2" xfId="772"/>
    <cellStyle name="常规 4 5 2 2 2 2 2" xfId="1556"/>
    <cellStyle name="常规 4 5 2 2 2 2 2 2" xfId="4692"/>
    <cellStyle name="常规 4 5 2 2 2 2 2 2 2" xfId="14112"/>
    <cellStyle name="常规 4 5 2 2 2 2 2 2 2 2" xfId="32960"/>
    <cellStyle name="常规 4 5 2 2 2 2 2 2 3" xfId="23536"/>
    <cellStyle name="常规 4 5 2 2 2 2 2 3" xfId="7828"/>
    <cellStyle name="常规 4 5 2 2 2 2 2 3 2" xfId="17248"/>
    <cellStyle name="常规 4 5 2 2 2 2 2 3 2 2" xfId="36096"/>
    <cellStyle name="常规 4 5 2 2 2 2 2 3 3" xfId="26672"/>
    <cellStyle name="常规 4 5 2 2 2 2 2 4" xfId="10976"/>
    <cellStyle name="常规 4 5 2 2 2 2 2 4 2" xfId="29824"/>
    <cellStyle name="常规 4 5 2 2 2 2 2 5" xfId="20400"/>
    <cellStyle name="常规 4 5 2 2 2 2 3" xfId="2340"/>
    <cellStyle name="常规 4 5 2 2 2 2 3 2" xfId="5476"/>
    <cellStyle name="常规 4 5 2 2 2 2 3 2 2" xfId="14896"/>
    <cellStyle name="常规 4 5 2 2 2 2 3 2 2 2" xfId="33744"/>
    <cellStyle name="常规 4 5 2 2 2 2 3 2 3" xfId="24320"/>
    <cellStyle name="常规 4 5 2 2 2 2 3 3" xfId="8612"/>
    <cellStyle name="常规 4 5 2 2 2 2 3 3 2" xfId="18032"/>
    <cellStyle name="常规 4 5 2 2 2 2 3 3 2 2" xfId="36880"/>
    <cellStyle name="常规 4 5 2 2 2 2 3 3 3" xfId="27456"/>
    <cellStyle name="常规 4 5 2 2 2 2 3 4" xfId="11760"/>
    <cellStyle name="常规 4 5 2 2 2 2 3 4 2" xfId="30608"/>
    <cellStyle name="常规 4 5 2 2 2 2 3 5" xfId="21184"/>
    <cellStyle name="常规 4 5 2 2 2 2 4" xfId="3124"/>
    <cellStyle name="常规 4 5 2 2 2 2 4 2" xfId="6260"/>
    <cellStyle name="常规 4 5 2 2 2 2 4 2 2" xfId="15680"/>
    <cellStyle name="常规 4 5 2 2 2 2 4 2 2 2" xfId="34528"/>
    <cellStyle name="常规 4 5 2 2 2 2 4 2 3" xfId="25104"/>
    <cellStyle name="常规 4 5 2 2 2 2 4 3" xfId="9396"/>
    <cellStyle name="常规 4 5 2 2 2 2 4 3 2" xfId="18816"/>
    <cellStyle name="常规 4 5 2 2 2 2 4 3 2 2" xfId="37664"/>
    <cellStyle name="常规 4 5 2 2 2 2 4 3 3" xfId="28240"/>
    <cellStyle name="常规 4 5 2 2 2 2 4 4" xfId="12544"/>
    <cellStyle name="常规 4 5 2 2 2 2 4 4 2" xfId="31392"/>
    <cellStyle name="常规 4 5 2 2 2 2 4 5" xfId="21968"/>
    <cellStyle name="常规 4 5 2 2 2 2 5" xfId="3908"/>
    <cellStyle name="常规 4 5 2 2 2 2 5 2" xfId="13328"/>
    <cellStyle name="常规 4 5 2 2 2 2 5 2 2" xfId="32176"/>
    <cellStyle name="常规 4 5 2 2 2 2 5 3" xfId="22752"/>
    <cellStyle name="常规 4 5 2 2 2 2 6" xfId="7044"/>
    <cellStyle name="常规 4 5 2 2 2 2 6 2" xfId="16464"/>
    <cellStyle name="常规 4 5 2 2 2 2 6 2 2" xfId="35312"/>
    <cellStyle name="常规 4 5 2 2 2 2 6 3" xfId="25888"/>
    <cellStyle name="常规 4 5 2 2 2 2 7" xfId="10192"/>
    <cellStyle name="常规 4 5 2 2 2 2 7 2" xfId="29040"/>
    <cellStyle name="常规 4 5 2 2 2 2 8" xfId="19616"/>
    <cellStyle name="常规 4 5 2 2 2 3" xfId="1164"/>
    <cellStyle name="常规 4 5 2 2 2 3 2" xfId="4300"/>
    <cellStyle name="常规 4 5 2 2 2 3 2 2" xfId="13720"/>
    <cellStyle name="常规 4 5 2 2 2 3 2 2 2" xfId="32568"/>
    <cellStyle name="常规 4 5 2 2 2 3 2 3" xfId="23144"/>
    <cellStyle name="常规 4 5 2 2 2 3 3" xfId="7436"/>
    <cellStyle name="常规 4 5 2 2 2 3 3 2" xfId="16856"/>
    <cellStyle name="常规 4 5 2 2 2 3 3 2 2" xfId="35704"/>
    <cellStyle name="常规 4 5 2 2 2 3 3 3" xfId="26280"/>
    <cellStyle name="常规 4 5 2 2 2 3 4" xfId="10584"/>
    <cellStyle name="常规 4 5 2 2 2 3 4 2" xfId="29432"/>
    <cellStyle name="常规 4 5 2 2 2 3 5" xfId="20008"/>
    <cellStyle name="常规 4 5 2 2 2 4" xfId="1948"/>
    <cellStyle name="常规 4 5 2 2 2 4 2" xfId="5084"/>
    <cellStyle name="常规 4 5 2 2 2 4 2 2" xfId="14504"/>
    <cellStyle name="常规 4 5 2 2 2 4 2 2 2" xfId="33352"/>
    <cellStyle name="常规 4 5 2 2 2 4 2 3" xfId="23928"/>
    <cellStyle name="常规 4 5 2 2 2 4 3" xfId="8220"/>
    <cellStyle name="常规 4 5 2 2 2 4 3 2" xfId="17640"/>
    <cellStyle name="常规 4 5 2 2 2 4 3 2 2" xfId="36488"/>
    <cellStyle name="常规 4 5 2 2 2 4 3 3" xfId="27064"/>
    <cellStyle name="常规 4 5 2 2 2 4 4" xfId="11368"/>
    <cellStyle name="常规 4 5 2 2 2 4 4 2" xfId="30216"/>
    <cellStyle name="常规 4 5 2 2 2 4 5" xfId="20792"/>
    <cellStyle name="常规 4 5 2 2 2 5" xfId="2732"/>
    <cellStyle name="常规 4 5 2 2 2 5 2" xfId="5868"/>
    <cellStyle name="常规 4 5 2 2 2 5 2 2" xfId="15288"/>
    <cellStyle name="常规 4 5 2 2 2 5 2 2 2" xfId="34136"/>
    <cellStyle name="常规 4 5 2 2 2 5 2 3" xfId="24712"/>
    <cellStyle name="常规 4 5 2 2 2 5 3" xfId="9004"/>
    <cellStyle name="常规 4 5 2 2 2 5 3 2" xfId="18424"/>
    <cellStyle name="常规 4 5 2 2 2 5 3 2 2" xfId="37272"/>
    <cellStyle name="常规 4 5 2 2 2 5 3 3" xfId="27848"/>
    <cellStyle name="常规 4 5 2 2 2 5 4" xfId="12152"/>
    <cellStyle name="常规 4 5 2 2 2 5 4 2" xfId="31000"/>
    <cellStyle name="常规 4 5 2 2 2 5 5" xfId="21576"/>
    <cellStyle name="常规 4 5 2 2 2 6" xfId="3518"/>
    <cellStyle name="常规 4 5 2 2 2 6 2" xfId="12938"/>
    <cellStyle name="常规 4 5 2 2 2 6 2 2" xfId="31786"/>
    <cellStyle name="常规 4 5 2 2 2 6 3" xfId="22362"/>
    <cellStyle name="常规 4 5 2 2 2 7" xfId="6652"/>
    <cellStyle name="常规 4 5 2 2 2 7 2" xfId="16072"/>
    <cellStyle name="常规 4 5 2 2 2 7 2 2" xfId="34920"/>
    <cellStyle name="常规 4 5 2 2 2 7 3" xfId="25496"/>
    <cellStyle name="常规 4 5 2 2 2 8" xfId="9799"/>
    <cellStyle name="常规 4 5 2 2 2 8 2" xfId="28644"/>
    <cellStyle name="常规 4 5 2 2 2 9" xfId="19222"/>
    <cellStyle name="常规 4 5 2 2 3" xfId="771"/>
    <cellStyle name="常规 4 5 2 2 3 2" xfId="1555"/>
    <cellStyle name="常规 4 5 2 2 3 2 2" xfId="4691"/>
    <cellStyle name="常规 4 5 2 2 3 2 2 2" xfId="14111"/>
    <cellStyle name="常规 4 5 2 2 3 2 2 2 2" xfId="32959"/>
    <cellStyle name="常规 4 5 2 2 3 2 2 3" xfId="23535"/>
    <cellStyle name="常规 4 5 2 2 3 2 3" xfId="7827"/>
    <cellStyle name="常规 4 5 2 2 3 2 3 2" xfId="17247"/>
    <cellStyle name="常规 4 5 2 2 3 2 3 2 2" xfId="36095"/>
    <cellStyle name="常规 4 5 2 2 3 2 3 3" xfId="26671"/>
    <cellStyle name="常规 4 5 2 2 3 2 4" xfId="10975"/>
    <cellStyle name="常规 4 5 2 2 3 2 4 2" xfId="29823"/>
    <cellStyle name="常规 4 5 2 2 3 2 5" xfId="20399"/>
    <cellStyle name="常规 4 5 2 2 3 3" xfId="2339"/>
    <cellStyle name="常规 4 5 2 2 3 3 2" xfId="5475"/>
    <cellStyle name="常规 4 5 2 2 3 3 2 2" xfId="14895"/>
    <cellStyle name="常规 4 5 2 2 3 3 2 2 2" xfId="33743"/>
    <cellStyle name="常规 4 5 2 2 3 3 2 3" xfId="24319"/>
    <cellStyle name="常规 4 5 2 2 3 3 3" xfId="8611"/>
    <cellStyle name="常规 4 5 2 2 3 3 3 2" xfId="18031"/>
    <cellStyle name="常规 4 5 2 2 3 3 3 2 2" xfId="36879"/>
    <cellStyle name="常规 4 5 2 2 3 3 3 3" xfId="27455"/>
    <cellStyle name="常规 4 5 2 2 3 3 4" xfId="11759"/>
    <cellStyle name="常规 4 5 2 2 3 3 4 2" xfId="30607"/>
    <cellStyle name="常规 4 5 2 2 3 3 5" xfId="21183"/>
    <cellStyle name="常规 4 5 2 2 3 4" xfId="3123"/>
    <cellStyle name="常规 4 5 2 2 3 4 2" xfId="6259"/>
    <cellStyle name="常规 4 5 2 2 3 4 2 2" xfId="15679"/>
    <cellStyle name="常规 4 5 2 2 3 4 2 2 2" xfId="34527"/>
    <cellStyle name="常规 4 5 2 2 3 4 2 3" xfId="25103"/>
    <cellStyle name="常规 4 5 2 2 3 4 3" xfId="9395"/>
    <cellStyle name="常规 4 5 2 2 3 4 3 2" xfId="18815"/>
    <cellStyle name="常规 4 5 2 2 3 4 3 2 2" xfId="37663"/>
    <cellStyle name="常规 4 5 2 2 3 4 3 3" xfId="28239"/>
    <cellStyle name="常规 4 5 2 2 3 4 4" xfId="12543"/>
    <cellStyle name="常规 4 5 2 2 3 4 4 2" xfId="31391"/>
    <cellStyle name="常规 4 5 2 2 3 4 5" xfId="21967"/>
    <cellStyle name="常规 4 5 2 2 3 5" xfId="3907"/>
    <cellStyle name="常规 4 5 2 2 3 5 2" xfId="13327"/>
    <cellStyle name="常规 4 5 2 2 3 5 2 2" xfId="32175"/>
    <cellStyle name="常规 4 5 2 2 3 5 3" xfId="22751"/>
    <cellStyle name="常规 4 5 2 2 3 6" xfId="7043"/>
    <cellStyle name="常规 4 5 2 2 3 6 2" xfId="16463"/>
    <cellStyle name="常规 4 5 2 2 3 6 2 2" xfId="35311"/>
    <cellStyle name="常规 4 5 2 2 3 6 3" xfId="25887"/>
    <cellStyle name="常规 4 5 2 2 3 7" xfId="10191"/>
    <cellStyle name="常规 4 5 2 2 3 7 2" xfId="29039"/>
    <cellStyle name="常规 4 5 2 2 3 8" xfId="19615"/>
    <cellStyle name="常规 4 5 2 2 4" xfId="1163"/>
    <cellStyle name="常规 4 5 2 2 4 2" xfId="4299"/>
    <cellStyle name="常规 4 5 2 2 4 2 2" xfId="13719"/>
    <cellStyle name="常规 4 5 2 2 4 2 2 2" xfId="32567"/>
    <cellStyle name="常规 4 5 2 2 4 2 3" xfId="23143"/>
    <cellStyle name="常规 4 5 2 2 4 3" xfId="7435"/>
    <cellStyle name="常规 4 5 2 2 4 3 2" xfId="16855"/>
    <cellStyle name="常规 4 5 2 2 4 3 2 2" xfId="35703"/>
    <cellStyle name="常规 4 5 2 2 4 3 3" xfId="26279"/>
    <cellStyle name="常规 4 5 2 2 4 4" xfId="10583"/>
    <cellStyle name="常规 4 5 2 2 4 4 2" xfId="29431"/>
    <cellStyle name="常规 4 5 2 2 4 5" xfId="20007"/>
    <cellStyle name="常规 4 5 2 2 5" xfId="1947"/>
    <cellStyle name="常规 4 5 2 2 5 2" xfId="5083"/>
    <cellStyle name="常规 4 5 2 2 5 2 2" xfId="14503"/>
    <cellStyle name="常规 4 5 2 2 5 2 2 2" xfId="33351"/>
    <cellStyle name="常规 4 5 2 2 5 2 3" xfId="23927"/>
    <cellStyle name="常规 4 5 2 2 5 3" xfId="8219"/>
    <cellStyle name="常规 4 5 2 2 5 3 2" xfId="17639"/>
    <cellStyle name="常规 4 5 2 2 5 3 2 2" xfId="36487"/>
    <cellStyle name="常规 4 5 2 2 5 3 3" xfId="27063"/>
    <cellStyle name="常规 4 5 2 2 5 4" xfId="11367"/>
    <cellStyle name="常规 4 5 2 2 5 4 2" xfId="30215"/>
    <cellStyle name="常规 4 5 2 2 5 5" xfId="20791"/>
    <cellStyle name="常规 4 5 2 2 6" xfId="2731"/>
    <cellStyle name="常规 4 5 2 2 6 2" xfId="5867"/>
    <cellStyle name="常规 4 5 2 2 6 2 2" xfId="15287"/>
    <cellStyle name="常规 4 5 2 2 6 2 2 2" xfId="34135"/>
    <cellStyle name="常规 4 5 2 2 6 2 3" xfId="24711"/>
    <cellStyle name="常规 4 5 2 2 6 3" xfId="9003"/>
    <cellStyle name="常规 4 5 2 2 6 3 2" xfId="18423"/>
    <cellStyle name="常规 4 5 2 2 6 3 2 2" xfId="37271"/>
    <cellStyle name="常规 4 5 2 2 6 3 3" xfId="27847"/>
    <cellStyle name="常规 4 5 2 2 6 4" xfId="12151"/>
    <cellStyle name="常规 4 5 2 2 6 4 2" xfId="30999"/>
    <cellStyle name="常规 4 5 2 2 6 5" xfId="21575"/>
    <cellStyle name="常规 4 5 2 2 7" xfId="3517"/>
    <cellStyle name="常规 4 5 2 2 7 2" xfId="12937"/>
    <cellStyle name="常规 4 5 2 2 7 2 2" xfId="31785"/>
    <cellStyle name="常规 4 5 2 2 7 3" xfId="22361"/>
    <cellStyle name="常规 4 5 2 2 8" xfId="6651"/>
    <cellStyle name="常规 4 5 2 2 8 2" xfId="16071"/>
    <cellStyle name="常规 4 5 2 2 8 2 2" xfId="34919"/>
    <cellStyle name="常规 4 5 2 2 8 3" xfId="25495"/>
    <cellStyle name="常规 4 5 2 2 9" xfId="9798"/>
    <cellStyle name="常规 4 5 2 2 9 2" xfId="28643"/>
    <cellStyle name="常规 4 5 2 3" xfId="377"/>
    <cellStyle name="常规 4 5 2 3 2" xfId="773"/>
    <cellStyle name="常规 4 5 2 3 2 2" xfId="1557"/>
    <cellStyle name="常规 4 5 2 3 2 2 2" xfId="4693"/>
    <cellStyle name="常规 4 5 2 3 2 2 2 2" xfId="14113"/>
    <cellStyle name="常规 4 5 2 3 2 2 2 2 2" xfId="32961"/>
    <cellStyle name="常规 4 5 2 3 2 2 2 3" xfId="23537"/>
    <cellStyle name="常规 4 5 2 3 2 2 3" xfId="7829"/>
    <cellStyle name="常规 4 5 2 3 2 2 3 2" xfId="17249"/>
    <cellStyle name="常规 4 5 2 3 2 2 3 2 2" xfId="36097"/>
    <cellStyle name="常规 4 5 2 3 2 2 3 3" xfId="26673"/>
    <cellStyle name="常规 4 5 2 3 2 2 4" xfId="10977"/>
    <cellStyle name="常规 4 5 2 3 2 2 4 2" xfId="29825"/>
    <cellStyle name="常规 4 5 2 3 2 2 5" xfId="20401"/>
    <cellStyle name="常规 4 5 2 3 2 3" xfId="2341"/>
    <cellStyle name="常规 4 5 2 3 2 3 2" xfId="5477"/>
    <cellStyle name="常规 4 5 2 3 2 3 2 2" xfId="14897"/>
    <cellStyle name="常规 4 5 2 3 2 3 2 2 2" xfId="33745"/>
    <cellStyle name="常规 4 5 2 3 2 3 2 3" xfId="24321"/>
    <cellStyle name="常规 4 5 2 3 2 3 3" xfId="8613"/>
    <cellStyle name="常规 4 5 2 3 2 3 3 2" xfId="18033"/>
    <cellStyle name="常规 4 5 2 3 2 3 3 2 2" xfId="36881"/>
    <cellStyle name="常规 4 5 2 3 2 3 3 3" xfId="27457"/>
    <cellStyle name="常规 4 5 2 3 2 3 4" xfId="11761"/>
    <cellStyle name="常规 4 5 2 3 2 3 4 2" xfId="30609"/>
    <cellStyle name="常规 4 5 2 3 2 3 5" xfId="21185"/>
    <cellStyle name="常规 4 5 2 3 2 4" xfId="3125"/>
    <cellStyle name="常规 4 5 2 3 2 4 2" xfId="6261"/>
    <cellStyle name="常规 4 5 2 3 2 4 2 2" xfId="15681"/>
    <cellStyle name="常规 4 5 2 3 2 4 2 2 2" xfId="34529"/>
    <cellStyle name="常规 4 5 2 3 2 4 2 3" xfId="25105"/>
    <cellStyle name="常规 4 5 2 3 2 4 3" xfId="9397"/>
    <cellStyle name="常规 4 5 2 3 2 4 3 2" xfId="18817"/>
    <cellStyle name="常规 4 5 2 3 2 4 3 2 2" xfId="37665"/>
    <cellStyle name="常规 4 5 2 3 2 4 3 3" xfId="28241"/>
    <cellStyle name="常规 4 5 2 3 2 4 4" xfId="12545"/>
    <cellStyle name="常规 4 5 2 3 2 4 4 2" xfId="31393"/>
    <cellStyle name="常规 4 5 2 3 2 4 5" xfId="21969"/>
    <cellStyle name="常规 4 5 2 3 2 5" xfId="3909"/>
    <cellStyle name="常规 4 5 2 3 2 5 2" xfId="13329"/>
    <cellStyle name="常规 4 5 2 3 2 5 2 2" xfId="32177"/>
    <cellStyle name="常规 4 5 2 3 2 5 3" xfId="22753"/>
    <cellStyle name="常规 4 5 2 3 2 6" xfId="7045"/>
    <cellStyle name="常规 4 5 2 3 2 6 2" xfId="16465"/>
    <cellStyle name="常规 4 5 2 3 2 6 2 2" xfId="35313"/>
    <cellStyle name="常规 4 5 2 3 2 6 3" xfId="25889"/>
    <cellStyle name="常规 4 5 2 3 2 7" xfId="10193"/>
    <cellStyle name="常规 4 5 2 3 2 7 2" xfId="29041"/>
    <cellStyle name="常规 4 5 2 3 2 8" xfId="19617"/>
    <cellStyle name="常规 4 5 2 3 3" xfId="1165"/>
    <cellStyle name="常规 4 5 2 3 3 2" xfId="4301"/>
    <cellStyle name="常规 4 5 2 3 3 2 2" xfId="13721"/>
    <cellStyle name="常规 4 5 2 3 3 2 2 2" xfId="32569"/>
    <cellStyle name="常规 4 5 2 3 3 2 3" xfId="23145"/>
    <cellStyle name="常规 4 5 2 3 3 3" xfId="7437"/>
    <cellStyle name="常规 4 5 2 3 3 3 2" xfId="16857"/>
    <cellStyle name="常规 4 5 2 3 3 3 2 2" xfId="35705"/>
    <cellStyle name="常规 4 5 2 3 3 3 3" xfId="26281"/>
    <cellStyle name="常规 4 5 2 3 3 4" xfId="10585"/>
    <cellStyle name="常规 4 5 2 3 3 4 2" xfId="29433"/>
    <cellStyle name="常规 4 5 2 3 3 5" xfId="20009"/>
    <cellStyle name="常规 4 5 2 3 4" xfId="1949"/>
    <cellStyle name="常规 4 5 2 3 4 2" xfId="5085"/>
    <cellStyle name="常规 4 5 2 3 4 2 2" xfId="14505"/>
    <cellStyle name="常规 4 5 2 3 4 2 2 2" xfId="33353"/>
    <cellStyle name="常规 4 5 2 3 4 2 3" xfId="23929"/>
    <cellStyle name="常规 4 5 2 3 4 3" xfId="8221"/>
    <cellStyle name="常规 4 5 2 3 4 3 2" xfId="17641"/>
    <cellStyle name="常规 4 5 2 3 4 3 2 2" xfId="36489"/>
    <cellStyle name="常规 4 5 2 3 4 3 3" xfId="27065"/>
    <cellStyle name="常规 4 5 2 3 4 4" xfId="11369"/>
    <cellStyle name="常规 4 5 2 3 4 4 2" xfId="30217"/>
    <cellStyle name="常规 4 5 2 3 4 5" xfId="20793"/>
    <cellStyle name="常规 4 5 2 3 5" xfId="2733"/>
    <cellStyle name="常规 4 5 2 3 5 2" xfId="5869"/>
    <cellStyle name="常规 4 5 2 3 5 2 2" xfId="15289"/>
    <cellStyle name="常规 4 5 2 3 5 2 2 2" xfId="34137"/>
    <cellStyle name="常规 4 5 2 3 5 2 3" xfId="24713"/>
    <cellStyle name="常规 4 5 2 3 5 3" xfId="9005"/>
    <cellStyle name="常规 4 5 2 3 5 3 2" xfId="18425"/>
    <cellStyle name="常规 4 5 2 3 5 3 2 2" xfId="37273"/>
    <cellStyle name="常规 4 5 2 3 5 3 3" xfId="27849"/>
    <cellStyle name="常规 4 5 2 3 5 4" xfId="12153"/>
    <cellStyle name="常规 4 5 2 3 5 4 2" xfId="31001"/>
    <cellStyle name="常规 4 5 2 3 5 5" xfId="21577"/>
    <cellStyle name="常规 4 5 2 3 6" xfId="3519"/>
    <cellStyle name="常规 4 5 2 3 6 2" xfId="12939"/>
    <cellStyle name="常规 4 5 2 3 6 2 2" xfId="31787"/>
    <cellStyle name="常规 4 5 2 3 6 3" xfId="22363"/>
    <cellStyle name="常规 4 5 2 3 7" xfId="6653"/>
    <cellStyle name="常规 4 5 2 3 7 2" xfId="16073"/>
    <cellStyle name="常规 4 5 2 3 7 2 2" xfId="34921"/>
    <cellStyle name="常规 4 5 2 3 7 3" xfId="25497"/>
    <cellStyle name="常规 4 5 2 3 8" xfId="9800"/>
    <cellStyle name="常规 4 5 2 3 8 2" xfId="28645"/>
    <cellStyle name="常规 4 5 2 3 9" xfId="19223"/>
    <cellStyle name="常规 4 5 2 4" xfId="770"/>
    <cellStyle name="常规 4 5 2 4 2" xfId="1554"/>
    <cellStyle name="常规 4 5 2 4 2 2" xfId="4690"/>
    <cellStyle name="常规 4 5 2 4 2 2 2" xfId="14110"/>
    <cellStyle name="常规 4 5 2 4 2 2 2 2" xfId="32958"/>
    <cellStyle name="常规 4 5 2 4 2 2 3" xfId="23534"/>
    <cellStyle name="常规 4 5 2 4 2 3" xfId="7826"/>
    <cellStyle name="常规 4 5 2 4 2 3 2" xfId="17246"/>
    <cellStyle name="常规 4 5 2 4 2 3 2 2" xfId="36094"/>
    <cellStyle name="常规 4 5 2 4 2 3 3" xfId="26670"/>
    <cellStyle name="常规 4 5 2 4 2 4" xfId="10974"/>
    <cellStyle name="常规 4 5 2 4 2 4 2" xfId="29822"/>
    <cellStyle name="常规 4 5 2 4 2 5" xfId="20398"/>
    <cellStyle name="常规 4 5 2 4 3" xfId="2338"/>
    <cellStyle name="常规 4 5 2 4 3 2" xfId="5474"/>
    <cellStyle name="常规 4 5 2 4 3 2 2" xfId="14894"/>
    <cellStyle name="常规 4 5 2 4 3 2 2 2" xfId="33742"/>
    <cellStyle name="常规 4 5 2 4 3 2 3" xfId="24318"/>
    <cellStyle name="常规 4 5 2 4 3 3" xfId="8610"/>
    <cellStyle name="常规 4 5 2 4 3 3 2" xfId="18030"/>
    <cellStyle name="常规 4 5 2 4 3 3 2 2" xfId="36878"/>
    <cellStyle name="常规 4 5 2 4 3 3 3" xfId="27454"/>
    <cellStyle name="常规 4 5 2 4 3 4" xfId="11758"/>
    <cellStyle name="常规 4 5 2 4 3 4 2" xfId="30606"/>
    <cellStyle name="常规 4 5 2 4 3 5" xfId="21182"/>
    <cellStyle name="常规 4 5 2 4 4" xfId="3122"/>
    <cellStyle name="常规 4 5 2 4 4 2" xfId="6258"/>
    <cellStyle name="常规 4 5 2 4 4 2 2" xfId="15678"/>
    <cellStyle name="常规 4 5 2 4 4 2 2 2" xfId="34526"/>
    <cellStyle name="常规 4 5 2 4 4 2 3" xfId="25102"/>
    <cellStyle name="常规 4 5 2 4 4 3" xfId="9394"/>
    <cellStyle name="常规 4 5 2 4 4 3 2" xfId="18814"/>
    <cellStyle name="常规 4 5 2 4 4 3 2 2" xfId="37662"/>
    <cellStyle name="常规 4 5 2 4 4 3 3" xfId="28238"/>
    <cellStyle name="常规 4 5 2 4 4 4" xfId="12542"/>
    <cellStyle name="常规 4 5 2 4 4 4 2" xfId="31390"/>
    <cellStyle name="常规 4 5 2 4 4 5" xfId="21966"/>
    <cellStyle name="常规 4 5 2 4 5" xfId="3906"/>
    <cellStyle name="常规 4 5 2 4 5 2" xfId="13326"/>
    <cellStyle name="常规 4 5 2 4 5 2 2" xfId="32174"/>
    <cellStyle name="常规 4 5 2 4 5 3" xfId="22750"/>
    <cellStyle name="常规 4 5 2 4 6" xfId="7042"/>
    <cellStyle name="常规 4 5 2 4 6 2" xfId="16462"/>
    <cellStyle name="常规 4 5 2 4 6 2 2" xfId="35310"/>
    <cellStyle name="常规 4 5 2 4 6 3" xfId="25886"/>
    <cellStyle name="常规 4 5 2 4 7" xfId="10190"/>
    <cellStyle name="常规 4 5 2 4 7 2" xfId="29038"/>
    <cellStyle name="常规 4 5 2 4 8" xfId="19614"/>
    <cellStyle name="常规 4 5 2 5" xfId="1162"/>
    <cellStyle name="常规 4 5 2 5 2" xfId="4298"/>
    <cellStyle name="常规 4 5 2 5 2 2" xfId="13718"/>
    <cellStyle name="常规 4 5 2 5 2 2 2" xfId="32566"/>
    <cellStyle name="常规 4 5 2 5 2 3" xfId="23142"/>
    <cellStyle name="常规 4 5 2 5 3" xfId="7434"/>
    <cellStyle name="常规 4 5 2 5 3 2" xfId="16854"/>
    <cellStyle name="常规 4 5 2 5 3 2 2" xfId="35702"/>
    <cellStyle name="常规 4 5 2 5 3 3" xfId="26278"/>
    <cellStyle name="常规 4 5 2 5 4" xfId="10582"/>
    <cellStyle name="常规 4 5 2 5 4 2" xfId="29430"/>
    <cellStyle name="常规 4 5 2 5 5" xfId="20006"/>
    <cellStyle name="常规 4 5 2 6" xfId="1946"/>
    <cellStyle name="常规 4 5 2 6 2" xfId="5082"/>
    <cellStyle name="常规 4 5 2 6 2 2" xfId="14502"/>
    <cellStyle name="常规 4 5 2 6 2 2 2" xfId="33350"/>
    <cellStyle name="常规 4 5 2 6 2 3" xfId="23926"/>
    <cellStyle name="常规 4 5 2 6 3" xfId="8218"/>
    <cellStyle name="常规 4 5 2 6 3 2" xfId="17638"/>
    <cellStyle name="常规 4 5 2 6 3 2 2" xfId="36486"/>
    <cellStyle name="常规 4 5 2 6 3 3" xfId="27062"/>
    <cellStyle name="常规 4 5 2 6 4" xfId="11366"/>
    <cellStyle name="常规 4 5 2 6 4 2" xfId="30214"/>
    <cellStyle name="常规 4 5 2 6 5" xfId="20790"/>
    <cellStyle name="常规 4 5 2 7" xfId="2730"/>
    <cellStyle name="常规 4 5 2 7 2" xfId="5866"/>
    <cellStyle name="常规 4 5 2 7 2 2" xfId="15286"/>
    <cellStyle name="常规 4 5 2 7 2 2 2" xfId="34134"/>
    <cellStyle name="常规 4 5 2 7 2 3" xfId="24710"/>
    <cellStyle name="常规 4 5 2 7 3" xfId="9002"/>
    <cellStyle name="常规 4 5 2 7 3 2" xfId="18422"/>
    <cellStyle name="常规 4 5 2 7 3 2 2" xfId="37270"/>
    <cellStyle name="常规 4 5 2 7 3 3" xfId="27846"/>
    <cellStyle name="常规 4 5 2 7 4" xfId="12150"/>
    <cellStyle name="常规 4 5 2 7 4 2" xfId="30998"/>
    <cellStyle name="常规 4 5 2 7 5" xfId="21574"/>
    <cellStyle name="常规 4 5 2 8" xfId="3238"/>
    <cellStyle name="常规 4 5 2 8 2" xfId="12658"/>
    <cellStyle name="常规 4 5 2 8 2 2" xfId="31506"/>
    <cellStyle name="常规 4 5 2 8 3" xfId="22082"/>
    <cellStyle name="常规 4 5 2 9" xfId="6650"/>
    <cellStyle name="常规 4 5 2 9 2" xfId="16070"/>
    <cellStyle name="常规 4 5 2 9 2 2" xfId="34918"/>
    <cellStyle name="常规 4 5 2 9 3" xfId="25494"/>
    <cellStyle name="常规 4 5 3" xfId="378"/>
    <cellStyle name="常规 4 5 3 10" xfId="19224"/>
    <cellStyle name="常规 4 5 3 2" xfId="379"/>
    <cellStyle name="常规 4 5 3 2 2" xfId="775"/>
    <cellStyle name="常规 4 5 3 2 2 2" xfId="1559"/>
    <cellStyle name="常规 4 5 3 2 2 2 2" xfId="4695"/>
    <cellStyle name="常规 4 5 3 2 2 2 2 2" xfId="14115"/>
    <cellStyle name="常规 4 5 3 2 2 2 2 2 2" xfId="32963"/>
    <cellStyle name="常规 4 5 3 2 2 2 2 3" xfId="23539"/>
    <cellStyle name="常规 4 5 3 2 2 2 3" xfId="7831"/>
    <cellStyle name="常规 4 5 3 2 2 2 3 2" xfId="17251"/>
    <cellStyle name="常规 4 5 3 2 2 2 3 2 2" xfId="36099"/>
    <cellStyle name="常规 4 5 3 2 2 2 3 3" xfId="26675"/>
    <cellStyle name="常规 4 5 3 2 2 2 4" xfId="10979"/>
    <cellStyle name="常规 4 5 3 2 2 2 4 2" xfId="29827"/>
    <cellStyle name="常规 4 5 3 2 2 2 5" xfId="20403"/>
    <cellStyle name="常规 4 5 3 2 2 3" xfId="2343"/>
    <cellStyle name="常规 4 5 3 2 2 3 2" xfId="5479"/>
    <cellStyle name="常规 4 5 3 2 2 3 2 2" xfId="14899"/>
    <cellStyle name="常规 4 5 3 2 2 3 2 2 2" xfId="33747"/>
    <cellStyle name="常规 4 5 3 2 2 3 2 3" xfId="24323"/>
    <cellStyle name="常规 4 5 3 2 2 3 3" xfId="8615"/>
    <cellStyle name="常规 4 5 3 2 2 3 3 2" xfId="18035"/>
    <cellStyle name="常规 4 5 3 2 2 3 3 2 2" xfId="36883"/>
    <cellStyle name="常规 4 5 3 2 2 3 3 3" xfId="27459"/>
    <cellStyle name="常规 4 5 3 2 2 3 4" xfId="11763"/>
    <cellStyle name="常规 4 5 3 2 2 3 4 2" xfId="30611"/>
    <cellStyle name="常规 4 5 3 2 2 3 5" xfId="21187"/>
    <cellStyle name="常规 4 5 3 2 2 4" xfId="3127"/>
    <cellStyle name="常规 4 5 3 2 2 4 2" xfId="6263"/>
    <cellStyle name="常规 4 5 3 2 2 4 2 2" xfId="15683"/>
    <cellStyle name="常规 4 5 3 2 2 4 2 2 2" xfId="34531"/>
    <cellStyle name="常规 4 5 3 2 2 4 2 3" xfId="25107"/>
    <cellStyle name="常规 4 5 3 2 2 4 3" xfId="9399"/>
    <cellStyle name="常规 4 5 3 2 2 4 3 2" xfId="18819"/>
    <cellStyle name="常规 4 5 3 2 2 4 3 2 2" xfId="37667"/>
    <cellStyle name="常规 4 5 3 2 2 4 3 3" xfId="28243"/>
    <cellStyle name="常规 4 5 3 2 2 4 4" xfId="12547"/>
    <cellStyle name="常规 4 5 3 2 2 4 4 2" xfId="31395"/>
    <cellStyle name="常规 4 5 3 2 2 4 5" xfId="21971"/>
    <cellStyle name="常规 4 5 3 2 2 5" xfId="3911"/>
    <cellStyle name="常规 4 5 3 2 2 5 2" xfId="13331"/>
    <cellStyle name="常规 4 5 3 2 2 5 2 2" xfId="32179"/>
    <cellStyle name="常规 4 5 3 2 2 5 3" xfId="22755"/>
    <cellStyle name="常规 4 5 3 2 2 6" xfId="7047"/>
    <cellStyle name="常规 4 5 3 2 2 6 2" xfId="16467"/>
    <cellStyle name="常规 4 5 3 2 2 6 2 2" xfId="35315"/>
    <cellStyle name="常规 4 5 3 2 2 6 3" xfId="25891"/>
    <cellStyle name="常规 4 5 3 2 2 7" xfId="10195"/>
    <cellStyle name="常规 4 5 3 2 2 7 2" xfId="29043"/>
    <cellStyle name="常规 4 5 3 2 2 8" xfId="19619"/>
    <cellStyle name="常规 4 5 3 2 3" xfId="1167"/>
    <cellStyle name="常规 4 5 3 2 3 2" xfId="4303"/>
    <cellStyle name="常规 4 5 3 2 3 2 2" xfId="13723"/>
    <cellStyle name="常规 4 5 3 2 3 2 2 2" xfId="32571"/>
    <cellStyle name="常规 4 5 3 2 3 2 3" xfId="23147"/>
    <cellStyle name="常规 4 5 3 2 3 3" xfId="7439"/>
    <cellStyle name="常规 4 5 3 2 3 3 2" xfId="16859"/>
    <cellStyle name="常规 4 5 3 2 3 3 2 2" xfId="35707"/>
    <cellStyle name="常规 4 5 3 2 3 3 3" xfId="26283"/>
    <cellStyle name="常规 4 5 3 2 3 4" xfId="10587"/>
    <cellStyle name="常规 4 5 3 2 3 4 2" xfId="29435"/>
    <cellStyle name="常规 4 5 3 2 3 5" xfId="20011"/>
    <cellStyle name="常规 4 5 3 2 4" xfId="1951"/>
    <cellStyle name="常规 4 5 3 2 4 2" xfId="5087"/>
    <cellStyle name="常规 4 5 3 2 4 2 2" xfId="14507"/>
    <cellStyle name="常规 4 5 3 2 4 2 2 2" xfId="33355"/>
    <cellStyle name="常规 4 5 3 2 4 2 3" xfId="23931"/>
    <cellStyle name="常规 4 5 3 2 4 3" xfId="8223"/>
    <cellStyle name="常规 4 5 3 2 4 3 2" xfId="17643"/>
    <cellStyle name="常规 4 5 3 2 4 3 2 2" xfId="36491"/>
    <cellStyle name="常规 4 5 3 2 4 3 3" xfId="27067"/>
    <cellStyle name="常规 4 5 3 2 4 4" xfId="11371"/>
    <cellStyle name="常规 4 5 3 2 4 4 2" xfId="30219"/>
    <cellStyle name="常规 4 5 3 2 4 5" xfId="20795"/>
    <cellStyle name="常规 4 5 3 2 5" xfId="2735"/>
    <cellStyle name="常规 4 5 3 2 5 2" xfId="5871"/>
    <cellStyle name="常规 4 5 3 2 5 2 2" xfId="15291"/>
    <cellStyle name="常规 4 5 3 2 5 2 2 2" xfId="34139"/>
    <cellStyle name="常规 4 5 3 2 5 2 3" xfId="24715"/>
    <cellStyle name="常规 4 5 3 2 5 3" xfId="9007"/>
    <cellStyle name="常规 4 5 3 2 5 3 2" xfId="18427"/>
    <cellStyle name="常规 4 5 3 2 5 3 2 2" xfId="37275"/>
    <cellStyle name="常规 4 5 3 2 5 3 3" xfId="27851"/>
    <cellStyle name="常规 4 5 3 2 5 4" xfId="12155"/>
    <cellStyle name="常规 4 5 3 2 5 4 2" xfId="31003"/>
    <cellStyle name="常规 4 5 3 2 5 5" xfId="21579"/>
    <cellStyle name="常规 4 5 3 2 6" xfId="3521"/>
    <cellStyle name="常规 4 5 3 2 6 2" xfId="12941"/>
    <cellStyle name="常规 4 5 3 2 6 2 2" xfId="31789"/>
    <cellStyle name="常规 4 5 3 2 6 3" xfId="22365"/>
    <cellStyle name="常规 4 5 3 2 7" xfId="6655"/>
    <cellStyle name="常规 4 5 3 2 7 2" xfId="16075"/>
    <cellStyle name="常规 4 5 3 2 7 2 2" xfId="34923"/>
    <cellStyle name="常规 4 5 3 2 7 3" xfId="25499"/>
    <cellStyle name="常规 4 5 3 2 8" xfId="9802"/>
    <cellStyle name="常规 4 5 3 2 8 2" xfId="28647"/>
    <cellStyle name="常规 4 5 3 2 9" xfId="19225"/>
    <cellStyle name="常规 4 5 3 3" xfId="774"/>
    <cellStyle name="常规 4 5 3 3 2" xfId="1558"/>
    <cellStyle name="常规 4 5 3 3 2 2" xfId="4694"/>
    <cellStyle name="常规 4 5 3 3 2 2 2" xfId="14114"/>
    <cellStyle name="常规 4 5 3 3 2 2 2 2" xfId="32962"/>
    <cellStyle name="常规 4 5 3 3 2 2 3" xfId="23538"/>
    <cellStyle name="常规 4 5 3 3 2 3" xfId="7830"/>
    <cellStyle name="常规 4 5 3 3 2 3 2" xfId="17250"/>
    <cellStyle name="常规 4 5 3 3 2 3 2 2" xfId="36098"/>
    <cellStyle name="常规 4 5 3 3 2 3 3" xfId="26674"/>
    <cellStyle name="常规 4 5 3 3 2 4" xfId="10978"/>
    <cellStyle name="常规 4 5 3 3 2 4 2" xfId="29826"/>
    <cellStyle name="常规 4 5 3 3 2 5" xfId="20402"/>
    <cellStyle name="常规 4 5 3 3 3" xfId="2342"/>
    <cellStyle name="常规 4 5 3 3 3 2" xfId="5478"/>
    <cellStyle name="常规 4 5 3 3 3 2 2" xfId="14898"/>
    <cellStyle name="常规 4 5 3 3 3 2 2 2" xfId="33746"/>
    <cellStyle name="常规 4 5 3 3 3 2 3" xfId="24322"/>
    <cellStyle name="常规 4 5 3 3 3 3" xfId="8614"/>
    <cellStyle name="常规 4 5 3 3 3 3 2" xfId="18034"/>
    <cellStyle name="常规 4 5 3 3 3 3 2 2" xfId="36882"/>
    <cellStyle name="常规 4 5 3 3 3 3 3" xfId="27458"/>
    <cellStyle name="常规 4 5 3 3 3 4" xfId="11762"/>
    <cellStyle name="常规 4 5 3 3 3 4 2" xfId="30610"/>
    <cellStyle name="常规 4 5 3 3 3 5" xfId="21186"/>
    <cellStyle name="常规 4 5 3 3 4" xfId="3126"/>
    <cellStyle name="常规 4 5 3 3 4 2" xfId="6262"/>
    <cellStyle name="常规 4 5 3 3 4 2 2" xfId="15682"/>
    <cellStyle name="常规 4 5 3 3 4 2 2 2" xfId="34530"/>
    <cellStyle name="常规 4 5 3 3 4 2 3" xfId="25106"/>
    <cellStyle name="常规 4 5 3 3 4 3" xfId="9398"/>
    <cellStyle name="常规 4 5 3 3 4 3 2" xfId="18818"/>
    <cellStyle name="常规 4 5 3 3 4 3 2 2" xfId="37666"/>
    <cellStyle name="常规 4 5 3 3 4 3 3" xfId="28242"/>
    <cellStyle name="常规 4 5 3 3 4 4" xfId="12546"/>
    <cellStyle name="常规 4 5 3 3 4 4 2" xfId="31394"/>
    <cellStyle name="常规 4 5 3 3 4 5" xfId="21970"/>
    <cellStyle name="常规 4 5 3 3 5" xfId="3910"/>
    <cellStyle name="常规 4 5 3 3 5 2" xfId="13330"/>
    <cellStyle name="常规 4 5 3 3 5 2 2" xfId="32178"/>
    <cellStyle name="常规 4 5 3 3 5 3" xfId="22754"/>
    <cellStyle name="常规 4 5 3 3 6" xfId="7046"/>
    <cellStyle name="常规 4 5 3 3 6 2" xfId="16466"/>
    <cellStyle name="常规 4 5 3 3 6 2 2" xfId="35314"/>
    <cellStyle name="常规 4 5 3 3 6 3" xfId="25890"/>
    <cellStyle name="常规 4 5 3 3 7" xfId="10194"/>
    <cellStyle name="常规 4 5 3 3 7 2" xfId="29042"/>
    <cellStyle name="常规 4 5 3 3 8" xfId="19618"/>
    <cellStyle name="常规 4 5 3 4" xfId="1166"/>
    <cellStyle name="常规 4 5 3 4 2" xfId="4302"/>
    <cellStyle name="常规 4 5 3 4 2 2" xfId="13722"/>
    <cellStyle name="常规 4 5 3 4 2 2 2" xfId="32570"/>
    <cellStyle name="常规 4 5 3 4 2 3" xfId="23146"/>
    <cellStyle name="常规 4 5 3 4 3" xfId="7438"/>
    <cellStyle name="常规 4 5 3 4 3 2" xfId="16858"/>
    <cellStyle name="常规 4 5 3 4 3 2 2" xfId="35706"/>
    <cellStyle name="常规 4 5 3 4 3 3" xfId="26282"/>
    <cellStyle name="常规 4 5 3 4 4" xfId="10586"/>
    <cellStyle name="常规 4 5 3 4 4 2" xfId="29434"/>
    <cellStyle name="常规 4 5 3 4 5" xfId="20010"/>
    <cellStyle name="常规 4 5 3 5" xfId="1950"/>
    <cellStyle name="常规 4 5 3 5 2" xfId="5086"/>
    <cellStyle name="常规 4 5 3 5 2 2" xfId="14506"/>
    <cellStyle name="常规 4 5 3 5 2 2 2" xfId="33354"/>
    <cellStyle name="常规 4 5 3 5 2 3" xfId="23930"/>
    <cellStyle name="常规 4 5 3 5 3" xfId="8222"/>
    <cellStyle name="常规 4 5 3 5 3 2" xfId="17642"/>
    <cellStyle name="常规 4 5 3 5 3 2 2" xfId="36490"/>
    <cellStyle name="常规 4 5 3 5 3 3" xfId="27066"/>
    <cellStyle name="常规 4 5 3 5 4" xfId="11370"/>
    <cellStyle name="常规 4 5 3 5 4 2" xfId="30218"/>
    <cellStyle name="常规 4 5 3 5 5" xfId="20794"/>
    <cellStyle name="常规 4 5 3 6" xfId="2734"/>
    <cellStyle name="常规 4 5 3 6 2" xfId="5870"/>
    <cellStyle name="常规 4 5 3 6 2 2" xfId="15290"/>
    <cellStyle name="常规 4 5 3 6 2 2 2" xfId="34138"/>
    <cellStyle name="常规 4 5 3 6 2 3" xfId="24714"/>
    <cellStyle name="常规 4 5 3 6 3" xfId="9006"/>
    <cellStyle name="常规 4 5 3 6 3 2" xfId="18426"/>
    <cellStyle name="常规 4 5 3 6 3 2 2" xfId="37274"/>
    <cellStyle name="常规 4 5 3 6 3 3" xfId="27850"/>
    <cellStyle name="常规 4 5 3 6 4" xfId="12154"/>
    <cellStyle name="常规 4 5 3 6 4 2" xfId="31002"/>
    <cellStyle name="常规 4 5 3 6 5" xfId="21578"/>
    <cellStyle name="常规 4 5 3 7" xfId="3520"/>
    <cellStyle name="常规 4 5 3 7 2" xfId="12940"/>
    <cellStyle name="常规 4 5 3 7 2 2" xfId="31788"/>
    <cellStyle name="常规 4 5 3 7 3" xfId="22364"/>
    <cellStyle name="常规 4 5 3 8" xfId="6654"/>
    <cellStyle name="常规 4 5 3 8 2" xfId="16074"/>
    <cellStyle name="常规 4 5 3 8 2 2" xfId="34922"/>
    <cellStyle name="常规 4 5 3 8 3" xfId="25498"/>
    <cellStyle name="常规 4 5 3 9" xfId="9801"/>
    <cellStyle name="常规 4 5 3 9 2" xfId="28646"/>
    <cellStyle name="常规 4 5 4" xfId="380"/>
    <cellStyle name="常规 4 5 4 2" xfId="776"/>
    <cellStyle name="常规 4 5 4 2 2" xfId="1560"/>
    <cellStyle name="常规 4 5 4 2 2 2" xfId="4696"/>
    <cellStyle name="常规 4 5 4 2 2 2 2" xfId="14116"/>
    <cellStyle name="常规 4 5 4 2 2 2 2 2" xfId="32964"/>
    <cellStyle name="常规 4 5 4 2 2 2 3" xfId="23540"/>
    <cellStyle name="常规 4 5 4 2 2 3" xfId="7832"/>
    <cellStyle name="常规 4 5 4 2 2 3 2" xfId="17252"/>
    <cellStyle name="常规 4 5 4 2 2 3 2 2" xfId="36100"/>
    <cellStyle name="常规 4 5 4 2 2 3 3" xfId="26676"/>
    <cellStyle name="常规 4 5 4 2 2 4" xfId="10980"/>
    <cellStyle name="常规 4 5 4 2 2 4 2" xfId="29828"/>
    <cellStyle name="常规 4 5 4 2 2 5" xfId="20404"/>
    <cellStyle name="常规 4 5 4 2 3" xfId="2344"/>
    <cellStyle name="常规 4 5 4 2 3 2" xfId="5480"/>
    <cellStyle name="常规 4 5 4 2 3 2 2" xfId="14900"/>
    <cellStyle name="常规 4 5 4 2 3 2 2 2" xfId="33748"/>
    <cellStyle name="常规 4 5 4 2 3 2 3" xfId="24324"/>
    <cellStyle name="常规 4 5 4 2 3 3" xfId="8616"/>
    <cellStyle name="常规 4 5 4 2 3 3 2" xfId="18036"/>
    <cellStyle name="常规 4 5 4 2 3 3 2 2" xfId="36884"/>
    <cellStyle name="常规 4 5 4 2 3 3 3" xfId="27460"/>
    <cellStyle name="常规 4 5 4 2 3 4" xfId="11764"/>
    <cellStyle name="常规 4 5 4 2 3 4 2" xfId="30612"/>
    <cellStyle name="常规 4 5 4 2 3 5" xfId="21188"/>
    <cellStyle name="常规 4 5 4 2 4" xfId="3128"/>
    <cellStyle name="常规 4 5 4 2 4 2" xfId="6264"/>
    <cellStyle name="常规 4 5 4 2 4 2 2" xfId="15684"/>
    <cellStyle name="常规 4 5 4 2 4 2 2 2" xfId="34532"/>
    <cellStyle name="常规 4 5 4 2 4 2 3" xfId="25108"/>
    <cellStyle name="常规 4 5 4 2 4 3" xfId="9400"/>
    <cellStyle name="常规 4 5 4 2 4 3 2" xfId="18820"/>
    <cellStyle name="常规 4 5 4 2 4 3 2 2" xfId="37668"/>
    <cellStyle name="常规 4 5 4 2 4 3 3" xfId="28244"/>
    <cellStyle name="常规 4 5 4 2 4 4" xfId="12548"/>
    <cellStyle name="常规 4 5 4 2 4 4 2" xfId="31396"/>
    <cellStyle name="常规 4 5 4 2 4 5" xfId="21972"/>
    <cellStyle name="常规 4 5 4 2 5" xfId="3912"/>
    <cellStyle name="常规 4 5 4 2 5 2" xfId="13332"/>
    <cellStyle name="常规 4 5 4 2 5 2 2" xfId="32180"/>
    <cellStyle name="常规 4 5 4 2 5 3" xfId="22756"/>
    <cellStyle name="常规 4 5 4 2 6" xfId="7048"/>
    <cellStyle name="常规 4 5 4 2 6 2" xfId="16468"/>
    <cellStyle name="常规 4 5 4 2 6 2 2" xfId="35316"/>
    <cellStyle name="常规 4 5 4 2 6 3" xfId="25892"/>
    <cellStyle name="常规 4 5 4 2 7" xfId="10196"/>
    <cellStyle name="常规 4 5 4 2 7 2" xfId="29044"/>
    <cellStyle name="常规 4 5 4 2 8" xfId="19620"/>
    <cellStyle name="常规 4 5 4 3" xfId="1168"/>
    <cellStyle name="常规 4 5 4 3 2" xfId="4304"/>
    <cellStyle name="常规 4 5 4 3 2 2" xfId="13724"/>
    <cellStyle name="常规 4 5 4 3 2 2 2" xfId="32572"/>
    <cellStyle name="常规 4 5 4 3 2 3" xfId="23148"/>
    <cellStyle name="常规 4 5 4 3 3" xfId="7440"/>
    <cellStyle name="常规 4 5 4 3 3 2" xfId="16860"/>
    <cellStyle name="常规 4 5 4 3 3 2 2" xfId="35708"/>
    <cellStyle name="常规 4 5 4 3 3 3" xfId="26284"/>
    <cellStyle name="常规 4 5 4 3 4" xfId="10588"/>
    <cellStyle name="常规 4 5 4 3 4 2" xfId="29436"/>
    <cellStyle name="常规 4 5 4 3 5" xfId="20012"/>
    <cellStyle name="常规 4 5 4 4" xfId="1952"/>
    <cellStyle name="常规 4 5 4 4 2" xfId="5088"/>
    <cellStyle name="常规 4 5 4 4 2 2" xfId="14508"/>
    <cellStyle name="常规 4 5 4 4 2 2 2" xfId="33356"/>
    <cellStyle name="常规 4 5 4 4 2 3" xfId="23932"/>
    <cellStyle name="常规 4 5 4 4 3" xfId="8224"/>
    <cellStyle name="常规 4 5 4 4 3 2" xfId="17644"/>
    <cellStyle name="常规 4 5 4 4 3 2 2" xfId="36492"/>
    <cellStyle name="常规 4 5 4 4 3 3" xfId="27068"/>
    <cellStyle name="常规 4 5 4 4 4" xfId="11372"/>
    <cellStyle name="常规 4 5 4 4 4 2" xfId="30220"/>
    <cellStyle name="常规 4 5 4 4 5" xfId="20796"/>
    <cellStyle name="常规 4 5 4 5" xfId="2736"/>
    <cellStyle name="常规 4 5 4 5 2" xfId="5872"/>
    <cellStyle name="常规 4 5 4 5 2 2" xfId="15292"/>
    <cellStyle name="常规 4 5 4 5 2 2 2" xfId="34140"/>
    <cellStyle name="常规 4 5 4 5 2 3" xfId="24716"/>
    <cellStyle name="常规 4 5 4 5 3" xfId="9008"/>
    <cellStyle name="常规 4 5 4 5 3 2" xfId="18428"/>
    <cellStyle name="常规 4 5 4 5 3 2 2" xfId="37276"/>
    <cellStyle name="常规 4 5 4 5 3 3" xfId="27852"/>
    <cellStyle name="常规 4 5 4 5 4" xfId="12156"/>
    <cellStyle name="常规 4 5 4 5 4 2" xfId="31004"/>
    <cellStyle name="常规 4 5 4 5 5" xfId="21580"/>
    <cellStyle name="常规 4 5 4 6" xfId="3522"/>
    <cellStyle name="常规 4 5 4 6 2" xfId="12942"/>
    <cellStyle name="常规 4 5 4 6 2 2" xfId="31790"/>
    <cellStyle name="常规 4 5 4 6 3" xfId="22366"/>
    <cellStyle name="常规 4 5 4 7" xfId="6656"/>
    <cellStyle name="常规 4 5 4 7 2" xfId="16076"/>
    <cellStyle name="常规 4 5 4 7 2 2" xfId="34924"/>
    <cellStyle name="常规 4 5 4 7 3" xfId="25500"/>
    <cellStyle name="常规 4 5 4 8" xfId="9803"/>
    <cellStyle name="常规 4 5 4 8 2" xfId="28648"/>
    <cellStyle name="常规 4 5 4 9" xfId="19226"/>
    <cellStyle name="常规 4 5 5" xfId="769"/>
    <cellStyle name="常规 4 5 5 2" xfId="1553"/>
    <cellStyle name="常规 4 5 5 2 2" xfId="4689"/>
    <cellStyle name="常规 4 5 5 2 2 2" xfId="14109"/>
    <cellStyle name="常规 4 5 5 2 2 2 2" xfId="32957"/>
    <cellStyle name="常规 4 5 5 2 2 3" xfId="23533"/>
    <cellStyle name="常规 4 5 5 2 3" xfId="7825"/>
    <cellStyle name="常规 4 5 5 2 3 2" xfId="17245"/>
    <cellStyle name="常规 4 5 5 2 3 2 2" xfId="36093"/>
    <cellStyle name="常规 4 5 5 2 3 3" xfId="26669"/>
    <cellStyle name="常规 4 5 5 2 4" xfId="10973"/>
    <cellStyle name="常规 4 5 5 2 4 2" xfId="29821"/>
    <cellStyle name="常规 4 5 5 2 5" xfId="20397"/>
    <cellStyle name="常规 4 5 5 3" xfId="2337"/>
    <cellStyle name="常规 4 5 5 3 2" xfId="5473"/>
    <cellStyle name="常规 4 5 5 3 2 2" xfId="14893"/>
    <cellStyle name="常规 4 5 5 3 2 2 2" xfId="33741"/>
    <cellStyle name="常规 4 5 5 3 2 3" xfId="24317"/>
    <cellStyle name="常规 4 5 5 3 3" xfId="8609"/>
    <cellStyle name="常规 4 5 5 3 3 2" xfId="18029"/>
    <cellStyle name="常规 4 5 5 3 3 2 2" xfId="36877"/>
    <cellStyle name="常规 4 5 5 3 3 3" xfId="27453"/>
    <cellStyle name="常规 4 5 5 3 4" xfId="11757"/>
    <cellStyle name="常规 4 5 5 3 4 2" xfId="30605"/>
    <cellStyle name="常规 4 5 5 3 5" xfId="21181"/>
    <cellStyle name="常规 4 5 5 4" xfId="3121"/>
    <cellStyle name="常规 4 5 5 4 2" xfId="6257"/>
    <cellStyle name="常规 4 5 5 4 2 2" xfId="15677"/>
    <cellStyle name="常规 4 5 5 4 2 2 2" xfId="34525"/>
    <cellStyle name="常规 4 5 5 4 2 3" xfId="25101"/>
    <cellStyle name="常规 4 5 5 4 3" xfId="9393"/>
    <cellStyle name="常规 4 5 5 4 3 2" xfId="18813"/>
    <cellStyle name="常规 4 5 5 4 3 2 2" xfId="37661"/>
    <cellStyle name="常规 4 5 5 4 3 3" xfId="28237"/>
    <cellStyle name="常规 4 5 5 4 4" xfId="12541"/>
    <cellStyle name="常规 4 5 5 4 4 2" xfId="31389"/>
    <cellStyle name="常规 4 5 5 4 5" xfId="21965"/>
    <cellStyle name="常规 4 5 5 5" xfId="3905"/>
    <cellStyle name="常规 4 5 5 5 2" xfId="13325"/>
    <cellStyle name="常规 4 5 5 5 2 2" xfId="32173"/>
    <cellStyle name="常规 4 5 5 5 3" xfId="22749"/>
    <cellStyle name="常规 4 5 5 6" xfId="7041"/>
    <cellStyle name="常规 4 5 5 6 2" xfId="16461"/>
    <cellStyle name="常规 4 5 5 6 2 2" xfId="35309"/>
    <cellStyle name="常规 4 5 5 6 3" xfId="25885"/>
    <cellStyle name="常规 4 5 5 7" xfId="10189"/>
    <cellStyle name="常规 4 5 5 7 2" xfId="29037"/>
    <cellStyle name="常规 4 5 5 8" xfId="19613"/>
    <cellStyle name="常规 4 5 6" xfId="1161"/>
    <cellStyle name="常规 4 5 6 2" xfId="4297"/>
    <cellStyle name="常规 4 5 6 2 2" xfId="13717"/>
    <cellStyle name="常规 4 5 6 2 2 2" xfId="32565"/>
    <cellStyle name="常规 4 5 6 2 3" xfId="23141"/>
    <cellStyle name="常规 4 5 6 3" xfId="7433"/>
    <cellStyle name="常规 4 5 6 3 2" xfId="16853"/>
    <cellStyle name="常规 4 5 6 3 2 2" xfId="35701"/>
    <cellStyle name="常规 4 5 6 3 3" xfId="26277"/>
    <cellStyle name="常规 4 5 6 4" xfId="10581"/>
    <cellStyle name="常规 4 5 6 4 2" xfId="29429"/>
    <cellStyle name="常规 4 5 6 5" xfId="20005"/>
    <cellStyle name="常规 4 5 7" xfId="1945"/>
    <cellStyle name="常规 4 5 7 2" xfId="5081"/>
    <cellStyle name="常规 4 5 7 2 2" xfId="14501"/>
    <cellStyle name="常规 4 5 7 2 2 2" xfId="33349"/>
    <cellStyle name="常规 4 5 7 2 3" xfId="23925"/>
    <cellStyle name="常规 4 5 7 3" xfId="8217"/>
    <cellStyle name="常规 4 5 7 3 2" xfId="17637"/>
    <cellStyle name="常规 4 5 7 3 2 2" xfId="36485"/>
    <cellStyle name="常规 4 5 7 3 3" xfId="27061"/>
    <cellStyle name="常规 4 5 7 4" xfId="11365"/>
    <cellStyle name="常规 4 5 7 4 2" xfId="30213"/>
    <cellStyle name="常规 4 5 7 5" xfId="20789"/>
    <cellStyle name="常规 4 5 8" xfId="2729"/>
    <cellStyle name="常规 4 5 8 2" xfId="5865"/>
    <cellStyle name="常规 4 5 8 2 2" xfId="15285"/>
    <cellStyle name="常规 4 5 8 2 2 2" xfId="34133"/>
    <cellStyle name="常规 4 5 8 2 3" xfId="24709"/>
    <cellStyle name="常规 4 5 8 3" xfId="9001"/>
    <cellStyle name="常规 4 5 8 3 2" xfId="18421"/>
    <cellStyle name="常规 4 5 8 3 2 2" xfId="37269"/>
    <cellStyle name="常规 4 5 8 3 3" xfId="27845"/>
    <cellStyle name="常规 4 5 8 4" xfId="12149"/>
    <cellStyle name="常规 4 5 8 4 2" xfId="30997"/>
    <cellStyle name="常规 4 5 8 5" xfId="21573"/>
    <cellStyle name="常规 4 5 9" xfId="3189"/>
    <cellStyle name="常规 4 5 9 2" xfId="12609"/>
    <cellStyle name="常规 4 5 9 2 2" xfId="31457"/>
    <cellStyle name="常规 4 5 9 3" xfId="22033"/>
    <cellStyle name="常规 4 6" xfId="1"/>
    <cellStyle name="常规 4 6 10" xfId="6277"/>
    <cellStyle name="常规 4 6 10 2" xfId="15697"/>
    <cellStyle name="常规 4 6 10 2 2" xfId="34545"/>
    <cellStyle name="常规 4 6 10 3" xfId="25121"/>
    <cellStyle name="常规 4 6 11" xfId="9424"/>
    <cellStyle name="常规 4 6 11 2" xfId="28269"/>
    <cellStyle name="常规 4 6 12" xfId="18847"/>
    <cellStyle name="常规 4 6 2" xfId="381"/>
    <cellStyle name="常规 4 6 2 10" xfId="9804"/>
    <cellStyle name="常规 4 6 2 10 2" xfId="28649"/>
    <cellStyle name="常规 4 6 2 11" xfId="19227"/>
    <cellStyle name="常规 4 6 2 2" xfId="3"/>
    <cellStyle name="常规 4 6 2 2 10" xfId="18849"/>
    <cellStyle name="常规 4 6 2 2 2" xfId="382"/>
    <cellStyle name="常规 4 6 2 2 2 2" xfId="778"/>
    <cellStyle name="常规 4 6 2 2 2 2 2" xfId="1562"/>
    <cellStyle name="常规 4 6 2 2 2 2 2 2" xfId="4698"/>
    <cellStyle name="常规 4 6 2 2 2 2 2 2 2" xfId="14118"/>
    <cellStyle name="常规 4 6 2 2 2 2 2 2 2 2" xfId="32966"/>
    <cellStyle name="常规 4 6 2 2 2 2 2 2 3" xfId="23542"/>
    <cellStyle name="常规 4 6 2 2 2 2 2 3" xfId="7834"/>
    <cellStyle name="常规 4 6 2 2 2 2 2 3 2" xfId="17254"/>
    <cellStyle name="常规 4 6 2 2 2 2 2 3 2 2" xfId="36102"/>
    <cellStyle name="常规 4 6 2 2 2 2 2 3 3" xfId="26678"/>
    <cellStyle name="常规 4 6 2 2 2 2 2 4" xfId="10982"/>
    <cellStyle name="常规 4 6 2 2 2 2 2 4 2" xfId="29830"/>
    <cellStyle name="常规 4 6 2 2 2 2 2 5" xfId="20406"/>
    <cellStyle name="常规 4 6 2 2 2 2 3" xfId="2346"/>
    <cellStyle name="常规 4 6 2 2 2 2 3 2" xfId="5482"/>
    <cellStyle name="常规 4 6 2 2 2 2 3 2 2" xfId="14902"/>
    <cellStyle name="常规 4 6 2 2 2 2 3 2 2 2" xfId="33750"/>
    <cellStyle name="常规 4 6 2 2 2 2 3 2 3" xfId="24326"/>
    <cellStyle name="常规 4 6 2 2 2 2 3 3" xfId="8618"/>
    <cellStyle name="常规 4 6 2 2 2 2 3 3 2" xfId="18038"/>
    <cellStyle name="常规 4 6 2 2 2 2 3 3 2 2" xfId="36886"/>
    <cellStyle name="常规 4 6 2 2 2 2 3 3 3" xfId="27462"/>
    <cellStyle name="常规 4 6 2 2 2 2 3 4" xfId="11766"/>
    <cellStyle name="常规 4 6 2 2 2 2 3 4 2" xfId="30614"/>
    <cellStyle name="常规 4 6 2 2 2 2 3 5" xfId="21190"/>
    <cellStyle name="常规 4 6 2 2 2 2 4" xfId="3130"/>
    <cellStyle name="常规 4 6 2 2 2 2 4 2" xfId="6266"/>
    <cellStyle name="常规 4 6 2 2 2 2 4 2 2" xfId="15686"/>
    <cellStyle name="常规 4 6 2 2 2 2 4 2 2 2" xfId="34534"/>
    <cellStyle name="常规 4 6 2 2 2 2 4 2 3" xfId="25110"/>
    <cellStyle name="常规 4 6 2 2 2 2 4 3" xfId="9402"/>
    <cellStyle name="常规 4 6 2 2 2 2 4 3 2" xfId="18822"/>
    <cellStyle name="常规 4 6 2 2 2 2 4 3 2 2" xfId="37670"/>
    <cellStyle name="常规 4 6 2 2 2 2 4 3 3" xfId="28246"/>
    <cellStyle name="常规 4 6 2 2 2 2 4 4" xfId="12550"/>
    <cellStyle name="常规 4 6 2 2 2 2 4 4 2" xfId="31398"/>
    <cellStyle name="常规 4 6 2 2 2 2 4 5" xfId="21974"/>
    <cellStyle name="常规 4 6 2 2 2 2 5" xfId="3914"/>
    <cellStyle name="常规 4 6 2 2 2 2 5 2" xfId="13334"/>
    <cellStyle name="常规 4 6 2 2 2 2 5 2 2" xfId="32182"/>
    <cellStyle name="常规 4 6 2 2 2 2 5 3" xfId="22758"/>
    <cellStyle name="常规 4 6 2 2 2 2 6" xfId="7050"/>
    <cellStyle name="常规 4 6 2 2 2 2 6 2" xfId="16470"/>
    <cellStyle name="常规 4 6 2 2 2 2 6 2 2" xfId="35318"/>
    <cellStyle name="常规 4 6 2 2 2 2 6 3" xfId="25894"/>
    <cellStyle name="常规 4 6 2 2 2 2 7" xfId="10198"/>
    <cellStyle name="常规 4 6 2 2 2 2 7 2" xfId="29046"/>
    <cellStyle name="常规 4 6 2 2 2 2 8" xfId="19622"/>
    <cellStyle name="常规 4 6 2 2 2 3" xfId="1170"/>
    <cellStyle name="常规 4 6 2 2 2 3 2" xfId="4306"/>
    <cellStyle name="常规 4 6 2 2 2 3 2 2" xfId="13726"/>
    <cellStyle name="常规 4 6 2 2 2 3 2 2 2" xfId="32574"/>
    <cellStyle name="常规 4 6 2 2 2 3 2 3" xfId="23150"/>
    <cellStyle name="常规 4 6 2 2 2 3 3" xfId="7442"/>
    <cellStyle name="常规 4 6 2 2 2 3 3 2" xfId="16862"/>
    <cellStyle name="常规 4 6 2 2 2 3 3 2 2" xfId="35710"/>
    <cellStyle name="常规 4 6 2 2 2 3 3 3" xfId="26286"/>
    <cellStyle name="常规 4 6 2 2 2 3 4" xfId="10590"/>
    <cellStyle name="常规 4 6 2 2 2 3 4 2" xfId="29438"/>
    <cellStyle name="常规 4 6 2 2 2 3 5" xfId="20014"/>
    <cellStyle name="常规 4 6 2 2 2 4" xfId="1954"/>
    <cellStyle name="常规 4 6 2 2 2 4 2" xfId="5090"/>
    <cellStyle name="常规 4 6 2 2 2 4 2 2" xfId="14510"/>
    <cellStyle name="常规 4 6 2 2 2 4 2 2 2" xfId="33358"/>
    <cellStyle name="常规 4 6 2 2 2 4 2 3" xfId="23934"/>
    <cellStyle name="常规 4 6 2 2 2 4 3" xfId="8226"/>
    <cellStyle name="常规 4 6 2 2 2 4 3 2" xfId="17646"/>
    <cellStyle name="常规 4 6 2 2 2 4 3 2 2" xfId="36494"/>
    <cellStyle name="常规 4 6 2 2 2 4 3 3" xfId="27070"/>
    <cellStyle name="常规 4 6 2 2 2 4 4" xfId="11374"/>
    <cellStyle name="常规 4 6 2 2 2 4 4 2" xfId="30222"/>
    <cellStyle name="常规 4 6 2 2 2 4 5" xfId="20798"/>
    <cellStyle name="常规 4 6 2 2 2 5" xfId="2738"/>
    <cellStyle name="常规 4 6 2 2 2 5 2" xfId="5874"/>
    <cellStyle name="常规 4 6 2 2 2 5 2 2" xfId="15294"/>
    <cellStyle name="常规 4 6 2 2 2 5 2 2 2" xfId="34142"/>
    <cellStyle name="常规 4 6 2 2 2 5 2 3" xfId="24718"/>
    <cellStyle name="常规 4 6 2 2 2 5 3" xfId="9010"/>
    <cellStyle name="常规 4 6 2 2 2 5 3 2" xfId="18430"/>
    <cellStyle name="常规 4 6 2 2 2 5 3 2 2" xfId="37278"/>
    <cellStyle name="常规 4 6 2 2 2 5 3 3" xfId="27854"/>
    <cellStyle name="常规 4 6 2 2 2 5 4" xfId="12158"/>
    <cellStyle name="常规 4 6 2 2 2 5 4 2" xfId="31006"/>
    <cellStyle name="常规 4 6 2 2 2 5 5" xfId="21582"/>
    <cellStyle name="常规 4 6 2 2 2 6" xfId="3523"/>
    <cellStyle name="常规 4 6 2 2 2 6 2" xfId="12943"/>
    <cellStyle name="常规 4 6 2 2 2 6 2 2" xfId="31791"/>
    <cellStyle name="常规 4 6 2 2 2 6 3" xfId="22367"/>
    <cellStyle name="常规 4 6 2 2 2 7" xfId="6658"/>
    <cellStyle name="常规 4 6 2 2 2 7 2" xfId="16078"/>
    <cellStyle name="常规 4 6 2 2 2 7 2 2" xfId="34926"/>
    <cellStyle name="常规 4 6 2 2 2 7 3" xfId="25502"/>
    <cellStyle name="常规 4 6 2 2 2 8" xfId="9805"/>
    <cellStyle name="常规 4 6 2 2 2 8 2" xfId="28650"/>
    <cellStyle name="常规 4 6 2 2 2 9" xfId="19228"/>
    <cellStyle name="常规 4 6 2 2 3" xfId="404"/>
    <cellStyle name="常规 4 6 2 2 3 2" xfId="1188"/>
    <cellStyle name="常规 4 6 2 2 3 2 2" xfId="4324"/>
    <cellStyle name="常规 4 6 2 2 3 2 2 2" xfId="13744"/>
    <cellStyle name="常规 4 6 2 2 3 2 2 2 2" xfId="32592"/>
    <cellStyle name="常规 4 6 2 2 3 2 2 3" xfId="23168"/>
    <cellStyle name="常规 4 6 2 2 3 2 3" xfId="7460"/>
    <cellStyle name="常规 4 6 2 2 3 2 3 2" xfId="16880"/>
    <cellStyle name="常规 4 6 2 2 3 2 3 2 2" xfId="35728"/>
    <cellStyle name="常规 4 6 2 2 3 2 3 3" xfId="26304"/>
    <cellStyle name="常规 4 6 2 2 3 2 4" xfId="10608"/>
    <cellStyle name="常规 4 6 2 2 3 2 4 2" xfId="29456"/>
    <cellStyle name="常规 4 6 2 2 3 2 5" xfId="20032"/>
    <cellStyle name="常规 4 6 2 2 3 3" xfId="1972"/>
    <cellStyle name="常规 4 6 2 2 3 3 2" xfId="5108"/>
    <cellStyle name="常规 4 6 2 2 3 3 2 2" xfId="14528"/>
    <cellStyle name="常规 4 6 2 2 3 3 2 2 2" xfId="33376"/>
    <cellStyle name="常规 4 6 2 2 3 3 2 3" xfId="23952"/>
    <cellStyle name="常规 4 6 2 2 3 3 3" xfId="8244"/>
    <cellStyle name="常规 4 6 2 2 3 3 3 2" xfId="17664"/>
    <cellStyle name="常规 4 6 2 2 3 3 3 2 2" xfId="36512"/>
    <cellStyle name="常规 4 6 2 2 3 3 3 3" xfId="27088"/>
    <cellStyle name="常规 4 6 2 2 3 3 4" xfId="11392"/>
    <cellStyle name="常规 4 6 2 2 3 3 4 2" xfId="30240"/>
    <cellStyle name="常规 4 6 2 2 3 3 5" xfId="20816"/>
    <cellStyle name="常规 4 6 2 2 3 4" xfId="2756"/>
    <cellStyle name="常规 4 6 2 2 3 4 2" xfId="5892"/>
    <cellStyle name="常规 4 6 2 2 3 4 2 2" xfId="15312"/>
    <cellStyle name="常规 4 6 2 2 3 4 2 2 2" xfId="34160"/>
    <cellStyle name="常规 4 6 2 2 3 4 2 3" xfId="24736"/>
    <cellStyle name="常规 4 6 2 2 3 4 3" xfId="9028"/>
    <cellStyle name="常规 4 6 2 2 3 4 3 2" xfId="18448"/>
    <cellStyle name="常规 4 6 2 2 3 4 3 2 2" xfId="37296"/>
    <cellStyle name="常规 4 6 2 2 3 4 3 3" xfId="27872"/>
    <cellStyle name="常规 4 6 2 2 3 4 4" xfId="12176"/>
    <cellStyle name="常规 4 6 2 2 3 4 4 2" xfId="31024"/>
    <cellStyle name="常规 4 6 2 2 3 4 5" xfId="21600"/>
    <cellStyle name="常规 4 6 2 2 3 5" xfId="3540"/>
    <cellStyle name="常规 4 6 2 2 3 5 2" xfId="12960"/>
    <cellStyle name="常规 4 6 2 2 3 5 2 2" xfId="31808"/>
    <cellStyle name="常规 4 6 2 2 3 5 3" xfId="22384"/>
    <cellStyle name="常规 4 6 2 2 3 6" xfId="6676"/>
    <cellStyle name="常规 4 6 2 2 3 6 2" xfId="16096"/>
    <cellStyle name="常规 4 6 2 2 3 6 2 2" xfId="34944"/>
    <cellStyle name="常规 4 6 2 2 3 6 3" xfId="25520"/>
    <cellStyle name="常规 4 6 2 2 3 7" xfId="9824"/>
    <cellStyle name="常规 4 6 2 2 3 7 2" xfId="28672"/>
    <cellStyle name="常规 4 6 2 2 3 8" xfId="19248"/>
    <cellStyle name="常规 4 6 2 2 4" xfId="791"/>
    <cellStyle name="常规 4 6 2 2 4 2" xfId="3927"/>
    <cellStyle name="常规 4 6 2 2 4 2 2" xfId="13347"/>
    <cellStyle name="常规 4 6 2 2 4 2 2 2" xfId="32195"/>
    <cellStyle name="常规 4 6 2 2 4 2 3" xfId="22771"/>
    <cellStyle name="常规 4 6 2 2 4 3" xfId="7063"/>
    <cellStyle name="常规 4 6 2 2 4 3 2" xfId="16483"/>
    <cellStyle name="常规 4 6 2 2 4 3 2 2" xfId="35331"/>
    <cellStyle name="常规 4 6 2 2 4 3 3" xfId="25907"/>
    <cellStyle name="常规 4 6 2 2 4 4" xfId="10211"/>
    <cellStyle name="常规 4 6 2 2 4 4 2" xfId="29059"/>
    <cellStyle name="常规 4 6 2 2 4 5" xfId="19635"/>
    <cellStyle name="常规 4 6 2 2 5" xfId="1575"/>
    <cellStyle name="常规 4 6 2 2 5 2" xfId="4711"/>
    <cellStyle name="常规 4 6 2 2 5 2 2" xfId="14131"/>
    <cellStyle name="常规 4 6 2 2 5 2 2 2" xfId="32979"/>
    <cellStyle name="常规 4 6 2 2 5 2 3" xfId="23555"/>
    <cellStyle name="常规 4 6 2 2 5 3" xfId="7847"/>
    <cellStyle name="常规 4 6 2 2 5 3 2" xfId="17267"/>
    <cellStyle name="常规 4 6 2 2 5 3 2 2" xfId="36115"/>
    <cellStyle name="常规 4 6 2 2 5 3 3" xfId="26691"/>
    <cellStyle name="常规 4 6 2 2 5 4" xfId="10995"/>
    <cellStyle name="常规 4 6 2 2 5 4 2" xfId="29843"/>
    <cellStyle name="常规 4 6 2 2 5 5" xfId="20419"/>
    <cellStyle name="常规 4 6 2 2 6" xfId="2359"/>
    <cellStyle name="常规 4 6 2 2 6 2" xfId="5495"/>
    <cellStyle name="常规 4 6 2 2 6 2 2" xfId="14915"/>
    <cellStyle name="常规 4 6 2 2 6 2 2 2" xfId="33763"/>
    <cellStyle name="常规 4 6 2 2 6 2 3" xfId="24339"/>
    <cellStyle name="常规 4 6 2 2 6 3" xfId="8631"/>
    <cellStyle name="常规 4 6 2 2 6 3 2" xfId="18051"/>
    <cellStyle name="常规 4 6 2 2 6 3 2 2" xfId="36899"/>
    <cellStyle name="常规 4 6 2 2 6 3 3" xfId="27475"/>
    <cellStyle name="常规 4 6 2 2 6 4" xfId="11779"/>
    <cellStyle name="常规 4 6 2 2 6 4 2" xfId="30627"/>
    <cellStyle name="常规 4 6 2 2 6 5" xfId="21203"/>
    <cellStyle name="常规 4 6 2 2 7" xfId="3250"/>
    <cellStyle name="常规 4 6 2 2 7 2" xfId="12670"/>
    <cellStyle name="常规 4 6 2 2 7 2 2" xfId="31518"/>
    <cellStyle name="常规 4 6 2 2 7 3" xfId="22094"/>
    <cellStyle name="常规 4 6 2 2 8" xfId="6279"/>
    <cellStyle name="常规 4 6 2 2 8 2" xfId="15699"/>
    <cellStyle name="常规 4 6 2 2 8 2 2" xfId="34547"/>
    <cellStyle name="常规 4 6 2 2 8 3" xfId="25123"/>
    <cellStyle name="常规 4 6 2 2 9" xfId="9426"/>
    <cellStyle name="常规 4 6 2 2 9 2" xfId="28271"/>
    <cellStyle name="常规 4 6 2 3" xfId="383"/>
    <cellStyle name="常规 4 6 2 3 2" xfId="779"/>
    <cellStyle name="常规 4 6 2 3 2 2" xfId="1563"/>
    <cellStyle name="常规 4 6 2 3 2 2 2" xfId="4699"/>
    <cellStyle name="常规 4 6 2 3 2 2 2 2" xfId="14119"/>
    <cellStyle name="常规 4 6 2 3 2 2 2 2 2" xfId="32967"/>
    <cellStyle name="常规 4 6 2 3 2 2 2 3" xfId="23543"/>
    <cellStyle name="常规 4 6 2 3 2 2 3" xfId="7835"/>
    <cellStyle name="常规 4 6 2 3 2 2 3 2" xfId="17255"/>
    <cellStyle name="常规 4 6 2 3 2 2 3 2 2" xfId="36103"/>
    <cellStyle name="常规 4 6 2 3 2 2 3 3" xfId="26679"/>
    <cellStyle name="常规 4 6 2 3 2 2 4" xfId="10983"/>
    <cellStyle name="常规 4 6 2 3 2 2 4 2" xfId="29831"/>
    <cellStyle name="常规 4 6 2 3 2 2 5" xfId="20407"/>
    <cellStyle name="常规 4 6 2 3 2 3" xfId="2347"/>
    <cellStyle name="常规 4 6 2 3 2 3 2" xfId="5483"/>
    <cellStyle name="常规 4 6 2 3 2 3 2 2" xfId="14903"/>
    <cellStyle name="常规 4 6 2 3 2 3 2 2 2" xfId="33751"/>
    <cellStyle name="常规 4 6 2 3 2 3 2 3" xfId="24327"/>
    <cellStyle name="常规 4 6 2 3 2 3 3" xfId="8619"/>
    <cellStyle name="常规 4 6 2 3 2 3 3 2" xfId="18039"/>
    <cellStyle name="常规 4 6 2 3 2 3 3 2 2" xfId="36887"/>
    <cellStyle name="常规 4 6 2 3 2 3 3 3" xfId="27463"/>
    <cellStyle name="常规 4 6 2 3 2 3 4" xfId="11767"/>
    <cellStyle name="常规 4 6 2 3 2 3 4 2" xfId="30615"/>
    <cellStyle name="常规 4 6 2 3 2 3 5" xfId="21191"/>
    <cellStyle name="常规 4 6 2 3 2 4" xfId="3131"/>
    <cellStyle name="常规 4 6 2 3 2 4 2" xfId="6267"/>
    <cellStyle name="常规 4 6 2 3 2 4 2 2" xfId="15687"/>
    <cellStyle name="常规 4 6 2 3 2 4 2 2 2" xfId="34535"/>
    <cellStyle name="常规 4 6 2 3 2 4 2 3" xfId="25111"/>
    <cellStyle name="常规 4 6 2 3 2 4 3" xfId="9403"/>
    <cellStyle name="常规 4 6 2 3 2 4 3 2" xfId="18823"/>
    <cellStyle name="常规 4 6 2 3 2 4 3 2 2" xfId="37671"/>
    <cellStyle name="常规 4 6 2 3 2 4 3 3" xfId="28247"/>
    <cellStyle name="常规 4 6 2 3 2 4 4" xfId="12551"/>
    <cellStyle name="常规 4 6 2 3 2 4 4 2" xfId="31399"/>
    <cellStyle name="常规 4 6 2 3 2 4 5" xfId="21975"/>
    <cellStyle name="常规 4 6 2 3 2 5" xfId="3915"/>
    <cellStyle name="常规 4 6 2 3 2 5 2" xfId="13335"/>
    <cellStyle name="常规 4 6 2 3 2 5 2 2" xfId="32183"/>
    <cellStyle name="常规 4 6 2 3 2 5 3" xfId="22759"/>
    <cellStyle name="常规 4 6 2 3 2 6" xfId="7051"/>
    <cellStyle name="常规 4 6 2 3 2 6 2" xfId="16471"/>
    <cellStyle name="常规 4 6 2 3 2 6 2 2" xfId="35319"/>
    <cellStyle name="常规 4 6 2 3 2 6 3" xfId="25895"/>
    <cellStyle name="常规 4 6 2 3 2 7" xfId="10199"/>
    <cellStyle name="常规 4 6 2 3 2 7 2" xfId="29047"/>
    <cellStyle name="常规 4 6 2 3 2 8" xfId="19623"/>
    <cellStyle name="常规 4 6 2 3 3" xfId="1171"/>
    <cellStyle name="常规 4 6 2 3 3 2" xfId="4307"/>
    <cellStyle name="常规 4 6 2 3 3 2 2" xfId="13727"/>
    <cellStyle name="常规 4 6 2 3 3 2 2 2" xfId="32575"/>
    <cellStyle name="常规 4 6 2 3 3 2 3" xfId="23151"/>
    <cellStyle name="常规 4 6 2 3 3 3" xfId="7443"/>
    <cellStyle name="常规 4 6 2 3 3 3 2" xfId="16863"/>
    <cellStyle name="常规 4 6 2 3 3 3 2 2" xfId="35711"/>
    <cellStyle name="常规 4 6 2 3 3 3 3" xfId="26287"/>
    <cellStyle name="常规 4 6 2 3 3 4" xfId="10591"/>
    <cellStyle name="常规 4 6 2 3 3 4 2" xfId="29439"/>
    <cellStyle name="常规 4 6 2 3 3 5" xfId="20015"/>
    <cellStyle name="常规 4 6 2 3 4" xfId="1955"/>
    <cellStyle name="常规 4 6 2 3 4 2" xfId="5091"/>
    <cellStyle name="常规 4 6 2 3 4 2 2" xfId="14511"/>
    <cellStyle name="常规 4 6 2 3 4 2 2 2" xfId="33359"/>
    <cellStyle name="常规 4 6 2 3 4 2 3" xfId="23935"/>
    <cellStyle name="常规 4 6 2 3 4 3" xfId="8227"/>
    <cellStyle name="常规 4 6 2 3 4 3 2" xfId="17647"/>
    <cellStyle name="常规 4 6 2 3 4 3 2 2" xfId="36495"/>
    <cellStyle name="常规 4 6 2 3 4 3 3" xfId="27071"/>
    <cellStyle name="常规 4 6 2 3 4 4" xfId="11375"/>
    <cellStyle name="常规 4 6 2 3 4 4 2" xfId="30223"/>
    <cellStyle name="常规 4 6 2 3 4 5" xfId="20799"/>
    <cellStyle name="常规 4 6 2 3 5" xfId="2739"/>
    <cellStyle name="常规 4 6 2 3 5 2" xfId="5875"/>
    <cellStyle name="常规 4 6 2 3 5 2 2" xfId="15295"/>
    <cellStyle name="常规 4 6 2 3 5 2 2 2" xfId="34143"/>
    <cellStyle name="常规 4 6 2 3 5 2 3" xfId="24719"/>
    <cellStyle name="常规 4 6 2 3 5 3" xfId="9011"/>
    <cellStyle name="常规 4 6 2 3 5 3 2" xfId="18431"/>
    <cellStyle name="常规 4 6 2 3 5 3 2 2" xfId="37279"/>
    <cellStyle name="常规 4 6 2 3 5 3 3" xfId="27855"/>
    <cellStyle name="常规 4 6 2 3 5 4" xfId="12159"/>
    <cellStyle name="常规 4 6 2 3 5 4 2" xfId="31007"/>
    <cellStyle name="常规 4 6 2 3 5 5" xfId="21583"/>
    <cellStyle name="常规 4 6 2 3 6" xfId="3524"/>
    <cellStyle name="常规 4 6 2 3 6 2" xfId="12944"/>
    <cellStyle name="常规 4 6 2 3 6 2 2" xfId="31792"/>
    <cellStyle name="常规 4 6 2 3 6 3" xfId="22368"/>
    <cellStyle name="常规 4 6 2 3 7" xfId="6659"/>
    <cellStyle name="常规 4 6 2 3 7 2" xfId="16079"/>
    <cellStyle name="常规 4 6 2 3 7 2 2" xfId="34927"/>
    <cellStyle name="常规 4 6 2 3 7 3" xfId="25503"/>
    <cellStyle name="常规 4 6 2 3 8" xfId="9806"/>
    <cellStyle name="常规 4 6 2 3 8 2" xfId="28651"/>
    <cellStyle name="常规 4 6 2 3 9" xfId="19229"/>
    <cellStyle name="常规 4 6 2 4" xfId="777"/>
    <cellStyle name="常规 4 6 2 4 2" xfId="1561"/>
    <cellStyle name="常规 4 6 2 4 2 2" xfId="4697"/>
    <cellStyle name="常规 4 6 2 4 2 2 2" xfId="14117"/>
    <cellStyle name="常规 4 6 2 4 2 2 2 2" xfId="32965"/>
    <cellStyle name="常规 4 6 2 4 2 2 3" xfId="23541"/>
    <cellStyle name="常规 4 6 2 4 2 3" xfId="7833"/>
    <cellStyle name="常规 4 6 2 4 2 3 2" xfId="17253"/>
    <cellStyle name="常规 4 6 2 4 2 3 2 2" xfId="36101"/>
    <cellStyle name="常规 4 6 2 4 2 3 3" xfId="26677"/>
    <cellStyle name="常规 4 6 2 4 2 4" xfId="10981"/>
    <cellStyle name="常规 4 6 2 4 2 4 2" xfId="29829"/>
    <cellStyle name="常规 4 6 2 4 2 5" xfId="20405"/>
    <cellStyle name="常规 4 6 2 4 3" xfId="2345"/>
    <cellStyle name="常规 4 6 2 4 3 2" xfId="5481"/>
    <cellStyle name="常规 4 6 2 4 3 2 2" xfId="14901"/>
    <cellStyle name="常规 4 6 2 4 3 2 2 2" xfId="33749"/>
    <cellStyle name="常规 4 6 2 4 3 2 3" xfId="24325"/>
    <cellStyle name="常规 4 6 2 4 3 3" xfId="8617"/>
    <cellStyle name="常规 4 6 2 4 3 3 2" xfId="18037"/>
    <cellStyle name="常规 4 6 2 4 3 3 2 2" xfId="36885"/>
    <cellStyle name="常规 4 6 2 4 3 3 3" xfId="27461"/>
    <cellStyle name="常规 4 6 2 4 3 4" xfId="11765"/>
    <cellStyle name="常规 4 6 2 4 3 4 2" xfId="30613"/>
    <cellStyle name="常规 4 6 2 4 3 5" xfId="21189"/>
    <cellStyle name="常规 4 6 2 4 4" xfId="3129"/>
    <cellStyle name="常规 4 6 2 4 4 2" xfId="6265"/>
    <cellStyle name="常规 4 6 2 4 4 2 2" xfId="15685"/>
    <cellStyle name="常规 4 6 2 4 4 2 2 2" xfId="34533"/>
    <cellStyle name="常规 4 6 2 4 4 2 3" xfId="25109"/>
    <cellStyle name="常规 4 6 2 4 4 3" xfId="9401"/>
    <cellStyle name="常规 4 6 2 4 4 3 2" xfId="18821"/>
    <cellStyle name="常规 4 6 2 4 4 3 2 2" xfId="37669"/>
    <cellStyle name="常规 4 6 2 4 4 3 3" xfId="28245"/>
    <cellStyle name="常规 4 6 2 4 4 4" xfId="12549"/>
    <cellStyle name="常规 4 6 2 4 4 4 2" xfId="31397"/>
    <cellStyle name="常规 4 6 2 4 4 5" xfId="21973"/>
    <cellStyle name="常规 4 6 2 4 5" xfId="3913"/>
    <cellStyle name="常规 4 6 2 4 5 2" xfId="13333"/>
    <cellStyle name="常规 4 6 2 4 5 2 2" xfId="32181"/>
    <cellStyle name="常规 4 6 2 4 5 3" xfId="22757"/>
    <cellStyle name="常规 4 6 2 4 6" xfId="7049"/>
    <cellStyle name="常规 4 6 2 4 6 2" xfId="16469"/>
    <cellStyle name="常规 4 6 2 4 6 2 2" xfId="35317"/>
    <cellStyle name="常规 4 6 2 4 6 3" xfId="25893"/>
    <cellStyle name="常规 4 6 2 4 7" xfId="10197"/>
    <cellStyle name="常规 4 6 2 4 7 2" xfId="29045"/>
    <cellStyle name="常规 4 6 2 4 8" xfId="19621"/>
    <cellStyle name="常规 4 6 2 5" xfId="1169"/>
    <cellStyle name="常规 4 6 2 5 2" xfId="4305"/>
    <cellStyle name="常规 4 6 2 5 2 2" xfId="13725"/>
    <cellStyle name="常规 4 6 2 5 2 2 2" xfId="32573"/>
    <cellStyle name="常规 4 6 2 5 2 3" xfId="23149"/>
    <cellStyle name="常规 4 6 2 5 3" xfId="7441"/>
    <cellStyle name="常规 4 6 2 5 3 2" xfId="16861"/>
    <cellStyle name="常规 4 6 2 5 3 2 2" xfId="35709"/>
    <cellStyle name="常规 4 6 2 5 3 3" xfId="26285"/>
    <cellStyle name="常规 4 6 2 5 4" xfId="10589"/>
    <cellStyle name="常规 4 6 2 5 4 2" xfId="29437"/>
    <cellStyle name="常规 4 6 2 5 5" xfId="20013"/>
    <cellStyle name="常规 4 6 2 6" xfId="1953"/>
    <cellStyle name="常规 4 6 2 6 2" xfId="5089"/>
    <cellStyle name="常规 4 6 2 6 2 2" xfId="14509"/>
    <cellStyle name="常规 4 6 2 6 2 2 2" xfId="33357"/>
    <cellStyle name="常规 4 6 2 6 2 3" xfId="23933"/>
    <cellStyle name="常规 4 6 2 6 3" xfId="8225"/>
    <cellStyle name="常规 4 6 2 6 3 2" xfId="17645"/>
    <cellStyle name="常规 4 6 2 6 3 2 2" xfId="36493"/>
    <cellStyle name="常规 4 6 2 6 3 3" xfId="27069"/>
    <cellStyle name="常规 4 6 2 6 4" xfId="11373"/>
    <cellStyle name="常规 4 6 2 6 4 2" xfId="30221"/>
    <cellStyle name="常规 4 6 2 6 5" xfId="20797"/>
    <cellStyle name="常规 4 6 2 7" xfId="2737"/>
    <cellStyle name="常规 4 6 2 7 2" xfId="5873"/>
    <cellStyle name="常规 4 6 2 7 2 2" xfId="15293"/>
    <cellStyle name="常规 4 6 2 7 2 2 2" xfId="34141"/>
    <cellStyle name="常规 4 6 2 7 2 3" xfId="24717"/>
    <cellStyle name="常规 4 6 2 7 3" xfId="9009"/>
    <cellStyle name="常规 4 6 2 7 3 2" xfId="18429"/>
    <cellStyle name="常规 4 6 2 7 3 2 2" xfId="37277"/>
    <cellStyle name="常规 4 6 2 7 3 3" xfId="27853"/>
    <cellStyle name="常规 4 6 2 7 4" xfId="12157"/>
    <cellStyle name="常规 4 6 2 7 4 2" xfId="31005"/>
    <cellStyle name="常规 4 6 2 7 5" xfId="21581"/>
    <cellStyle name="常规 4 6 2 8" xfId="3239"/>
    <cellStyle name="常规 4 6 2 8 2" xfId="12659"/>
    <cellStyle name="常规 4 6 2 8 2 2" xfId="31507"/>
    <cellStyle name="常规 4 6 2 8 3" xfId="22083"/>
    <cellStyle name="常规 4 6 2 9" xfId="6657"/>
    <cellStyle name="常规 4 6 2 9 2" xfId="16077"/>
    <cellStyle name="常规 4 6 2 9 2 2" xfId="34925"/>
    <cellStyle name="常规 4 6 2 9 3" xfId="25501"/>
    <cellStyle name="常规 4 6 3" xfId="2"/>
    <cellStyle name="常规 4 6 3 10" xfId="18848"/>
    <cellStyle name="常规 4 6 3 2" xfId="384"/>
    <cellStyle name="常规 4 6 3 2 2" xfId="780"/>
    <cellStyle name="常规 4 6 3 2 2 2" xfId="1564"/>
    <cellStyle name="常规 4 6 3 2 2 2 2" xfId="4700"/>
    <cellStyle name="常规 4 6 3 2 2 2 2 2" xfId="14120"/>
    <cellStyle name="常规 4 6 3 2 2 2 2 2 2" xfId="32968"/>
    <cellStyle name="常规 4 6 3 2 2 2 2 3" xfId="23544"/>
    <cellStyle name="常规 4 6 3 2 2 2 3" xfId="7836"/>
    <cellStyle name="常规 4 6 3 2 2 2 3 2" xfId="17256"/>
    <cellStyle name="常规 4 6 3 2 2 2 3 2 2" xfId="36104"/>
    <cellStyle name="常规 4 6 3 2 2 2 3 3" xfId="26680"/>
    <cellStyle name="常规 4 6 3 2 2 2 4" xfId="10984"/>
    <cellStyle name="常规 4 6 3 2 2 2 4 2" xfId="29832"/>
    <cellStyle name="常规 4 6 3 2 2 2 5" xfId="20408"/>
    <cellStyle name="常规 4 6 3 2 2 3" xfId="2348"/>
    <cellStyle name="常规 4 6 3 2 2 3 2" xfId="5484"/>
    <cellStyle name="常规 4 6 3 2 2 3 2 2" xfId="14904"/>
    <cellStyle name="常规 4 6 3 2 2 3 2 2 2" xfId="33752"/>
    <cellStyle name="常规 4 6 3 2 2 3 2 3" xfId="24328"/>
    <cellStyle name="常规 4 6 3 2 2 3 3" xfId="8620"/>
    <cellStyle name="常规 4 6 3 2 2 3 3 2" xfId="18040"/>
    <cellStyle name="常规 4 6 3 2 2 3 3 2 2" xfId="36888"/>
    <cellStyle name="常规 4 6 3 2 2 3 3 3" xfId="27464"/>
    <cellStyle name="常规 4 6 3 2 2 3 4" xfId="11768"/>
    <cellStyle name="常规 4 6 3 2 2 3 4 2" xfId="30616"/>
    <cellStyle name="常规 4 6 3 2 2 3 5" xfId="21192"/>
    <cellStyle name="常规 4 6 3 2 2 4" xfId="3132"/>
    <cellStyle name="常规 4 6 3 2 2 4 2" xfId="6268"/>
    <cellStyle name="常规 4 6 3 2 2 4 2 2" xfId="15688"/>
    <cellStyle name="常规 4 6 3 2 2 4 2 2 2" xfId="34536"/>
    <cellStyle name="常规 4 6 3 2 2 4 2 3" xfId="25112"/>
    <cellStyle name="常规 4 6 3 2 2 4 3" xfId="9404"/>
    <cellStyle name="常规 4 6 3 2 2 4 3 2" xfId="18824"/>
    <cellStyle name="常规 4 6 3 2 2 4 3 2 2" xfId="37672"/>
    <cellStyle name="常规 4 6 3 2 2 4 3 3" xfId="28248"/>
    <cellStyle name="常规 4 6 3 2 2 4 4" xfId="12552"/>
    <cellStyle name="常规 4 6 3 2 2 4 4 2" xfId="31400"/>
    <cellStyle name="常规 4 6 3 2 2 4 5" xfId="21976"/>
    <cellStyle name="常规 4 6 3 2 2 5" xfId="3916"/>
    <cellStyle name="常规 4 6 3 2 2 5 2" xfId="13336"/>
    <cellStyle name="常规 4 6 3 2 2 5 2 2" xfId="32184"/>
    <cellStyle name="常规 4 6 3 2 2 5 3" xfId="22760"/>
    <cellStyle name="常规 4 6 3 2 2 6" xfId="7052"/>
    <cellStyle name="常规 4 6 3 2 2 6 2" xfId="16472"/>
    <cellStyle name="常规 4 6 3 2 2 6 2 2" xfId="35320"/>
    <cellStyle name="常规 4 6 3 2 2 6 3" xfId="25896"/>
    <cellStyle name="常规 4 6 3 2 2 7" xfId="10200"/>
    <cellStyle name="常规 4 6 3 2 2 7 2" xfId="29048"/>
    <cellStyle name="常规 4 6 3 2 2 8" xfId="19624"/>
    <cellStyle name="常规 4 6 3 2 3" xfId="1172"/>
    <cellStyle name="常规 4 6 3 2 3 2" xfId="4308"/>
    <cellStyle name="常规 4 6 3 2 3 2 2" xfId="13728"/>
    <cellStyle name="常规 4 6 3 2 3 2 2 2" xfId="32576"/>
    <cellStyle name="常规 4 6 3 2 3 2 3" xfId="23152"/>
    <cellStyle name="常规 4 6 3 2 3 3" xfId="7444"/>
    <cellStyle name="常规 4 6 3 2 3 3 2" xfId="16864"/>
    <cellStyle name="常规 4 6 3 2 3 3 2 2" xfId="35712"/>
    <cellStyle name="常规 4 6 3 2 3 3 3" xfId="26288"/>
    <cellStyle name="常规 4 6 3 2 3 4" xfId="10592"/>
    <cellStyle name="常规 4 6 3 2 3 4 2" xfId="29440"/>
    <cellStyle name="常规 4 6 3 2 3 5" xfId="20016"/>
    <cellStyle name="常规 4 6 3 2 4" xfId="1956"/>
    <cellStyle name="常规 4 6 3 2 4 2" xfId="5092"/>
    <cellStyle name="常规 4 6 3 2 4 2 2" xfId="14512"/>
    <cellStyle name="常规 4 6 3 2 4 2 2 2" xfId="33360"/>
    <cellStyle name="常规 4 6 3 2 4 2 3" xfId="23936"/>
    <cellStyle name="常规 4 6 3 2 4 3" xfId="8228"/>
    <cellStyle name="常规 4 6 3 2 4 3 2" xfId="17648"/>
    <cellStyle name="常规 4 6 3 2 4 3 2 2" xfId="36496"/>
    <cellStyle name="常规 4 6 3 2 4 3 3" xfId="27072"/>
    <cellStyle name="常规 4 6 3 2 4 4" xfId="11376"/>
    <cellStyle name="常规 4 6 3 2 4 4 2" xfId="30224"/>
    <cellStyle name="常规 4 6 3 2 4 5" xfId="20800"/>
    <cellStyle name="常规 4 6 3 2 5" xfId="2740"/>
    <cellStyle name="常规 4 6 3 2 5 2" xfId="5876"/>
    <cellStyle name="常规 4 6 3 2 5 2 2" xfId="15296"/>
    <cellStyle name="常规 4 6 3 2 5 2 2 2" xfId="34144"/>
    <cellStyle name="常规 4 6 3 2 5 2 3" xfId="24720"/>
    <cellStyle name="常规 4 6 3 2 5 3" xfId="9012"/>
    <cellStyle name="常规 4 6 3 2 5 3 2" xfId="18432"/>
    <cellStyle name="常规 4 6 3 2 5 3 2 2" xfId="37280"/>
    <cellStyle name="常规 4 6 3 2 5 3 3" xfId="27856"/>
    <cellStyle name="常规 4 6 3 2 5 4" xfId="12160"/>
    <cellStyle name="常规 4 6 3 2 5 4 2" xfId="31008"/>
    <cellStyle name="常规 4 6 3 2 5 5" xfId="21584"/>
    <cellStyle name="常规 4 6 3 2 6" xfId="3525"/>
    <cellStyle name="常规 4 6 3 2 6 2" xfId="12945"/>
    <cellStyle name="常规 4 6 3 2 6 2 2" xfId="31793"/>
    <cellStyle name="常规 4 6 3 2 6 3" xfId="22369"/>
    <cellStyle name="常规 4 6 3 2 7" xfId="6660"/>
    <cellStyle name="常规 4 6 3 2 7 2" xfId="16080"/>
    <cellStyle name="常规 4 6 3 2 7 2 2" xfId="34928"/>
    <cellStyle name="常规 4 6 3 2 7 3" xfId="25504"/>
    <cellStyle name="常规 4 6 3 2 8" xfId="9807"/>
    <cellStyle name="常规 4 6 3 2 8 2" xfId="28652"/>
    <cellStyle name="常规 4 6 3 2 9" xfId="19230"/>
    <cellStyle name="常规 4 6 3 3" xfId="402"/>
    <cellStyle name="常规 4 6 3 3 2" xfId="1186"/>
    <cellStyle name="常规 4 6 3 3 2 2" xfId="4322"/>
    <cellStyle name="常规 4 6 3 3 2 2 2" xfId="13742"/>
    <cellStyle name="常规 4 6 3 3 2 2 2 2" xfId="32590"/>
    <cellStyle name="常规 4 6 3 3 2 2 3" xfId="23166"/>
    <cellStyle name="常规 4 6 3 3 2 3" xfId="7458"/>
    <cellStyle name="常规 4 6 3 3 2 3 2" xfId="16878"/>
    <cellStyle name="常规 4 6 3 3 2 3 2 2" xfId="35726"/>
    <cellStyle name="常规 4 6 3 3 2 3 3" xfId="26302"/>
    <cellStyle name="常规 4 6 3 3 2 4" xfId="10606"/>
    <cellStyle name="常规 4 6 3 3 2 4 2" xfId="29454"/>
    <cellStyle name="常规 4 6 3 3 2 5" xfId="20030"/>
    <cellStyle name="常规 4 6 3 3 3" xfId="1970"/>
    <cellStyle name="常规 4 6 3 3 3 2" xfId="5106"/>
    <cellStyle name="常规 4 6 3 3 3 2 2" xfId="14526"/>
    <cellStyle name="常规 4 6 3 3 3 2 2 2" xfId="33374"/>
    <cellStyle name="常规 4 6 3 3 3 2 3" xfId="23950"/>
    <cellStyle name="常规 4 6 3 3 3 3" xfId="8242"/>
    <cellStyle name="常规 4 6 3 3 3 3 2" xfId="17662"/>
    <cellStyle name="常规 4 6 3 3 3 3 2 2" xfId="36510"/>
    <cellStyle name="常规 4 6 3 3 3 3 3" xfId="27086"/>
    <cellStyle name="常规 4 6 3 3 3 4" xfId="11390"/>
    <cellStyle name="常规 4 6 3 3 3 4 2" xfId="30238"/>
    <cellStyle name="常规 4 6 3 3 3 5" xfId="20814"/>
    <cellStyle name="常规 4 6 3 3 4" xfId="2754"/>
    <cellStyle name="常规 4 6 3 3 4 2" xfId="5890"/>
    <cellStyle name="常规 4 6 3 3 4 2 2" xfId="15310"/>
    <cellStyle name="常规 4 6 3 3 4 2 2 2" xfId="34158"/>
    <cellStyle name="常规 4 6 3 3 4 2 3" xfId="24734"/>
    <cellStyle name="常规 4 6 3 3 4 3" xfId="9026"/>
    <cellStyle name="常规 4 6 3 3 4 3 2" xfId="18446"/>
    <cellStyle name="常规 4 6 3 3 4 3 2 2" xfId="37294"/>
    <cellStyle name="常规 4 6 3 3 4 3 3" xfId="27870"/>
    <cellStyle name="常规 4 6 3 3 4 4" xfId="12174"/>
    <cellStyle name="常规 4 6 3 3 4 4 2" xfId="31022"/>
    <cellStyle name="常规 4 6 3 3 4 5" xfId="21598"/>
    <cellStyle name="常规 4 6 3 3 5" xfId="3538"/>
    <cellStyle name="常规 4 6 3 3 5 2" xfId="12958"/>
    <cellStyle name="常规 4 6 3 3 5 2 2" xfId="31806"/>
    <cellStyle name="常规 4 6 3 3 5 3" xfId="22382"/>
    <cellStyle name="常规 4 6 3 3 6" xfId="6674"/>
    <cellStyle name="常规 4 6 3 3 6 2" xfId="16094"/>
    <cellStyle name="常规 4 6 3 3 6 2 2" xfId="34942"/>
    <cellStyle name="常规 4 6 3 3 6 3" xfId="25518"/>
    <cellStyle name="常规 4 6 3 3 7" xfId="9822"/>
    <cellStyle name="常规 4 6 3 3 7 2" xfId="28670"/>
    <cellStyle name="常规 4 6 3 3 8" xfId="19246"/>
    <cellStyle name="常规 4 6 3 4" xfId="790"/>
    <cellStyle name="常规 4 6 3 4 2" xfId="3926"/>
    <cellStyle name="常规 4 6 3 4 2 2" xfId="13346"/>
    <cellStyle name="常规 4 6 3 4 2 2 2" xfId="32194"/>
    <cellStyle name="常规 4 6 3 4 2 3" xfId="22770"/>
    <cellStyle name="常规 4 6 3 4 3" xfId="7062"/>
    <cellStyle name="常规 4 6 3 4 3 2" xfId="16482"/>
    <cellStyle name="常规 4 6 3 4 3 2 2" xfId="35330"/>
    <cellStyle name="常规 4 6 3 4 3 3" xfId="25906"/>
    <cellStyle name="常规 4 6 3 4 4" xfId="10210"/>
    <cellStyle name="常规 4 6 3 4 4 2" xfId="29058"/>
    <cellStyle name="常规 4 6 3 4 5" xfId="19634"/>
    <cellStyle name="常规 4 6 3 5" xfId="1574"/>
    <cellStyle name="常规 4 6 3 5 2" xfId="4710"/>
    <cellStyle name="常规 4 6 3 5 2 2" xfId="14130"/>
    <cellStyle name="常规 4 6 3 5 2 2 2" xfId="32978"/>
    <cellStyle name="常规 4 6 3 5 2 3" xfId="23554"/>
    <cellStyle name="常规 4 6 3 5 3" xfId="7846"/>
    <cellStyle name="常规 4 6 3 5 3 2" xfId="17266"/>
    <cellStyle name="常规 4 6 3 5 3 2 2" xfId="36114"/>
    <cellStyle name="常规 4 6 3 5 3 3" xfId="26690"/>
    <cellStyle name="常规 4 6 3 5 4" xfId="10994"/>
    <cellStyle name="常规 4 6 3 5 4 2" xfId="29842"/>
    <cellStyle name="常规 4 6 3 5 5" xfId="20418"/>
    <cellStyle name="常规 4 6 3 6" xfId="2358"/>
    <cellStyle name="常规 4 6 3 6 2" xfId="5494"/>
    <cellStyle name="常规 4 6 3 6 2 2" xfId="14914"/>
    <cellStyle name="常规 4 6 3 6 2 2 2" xfId="33762"/>
    <cellStyle name="常规 4 6 3 6 2 3" xfId="24338"/>
    <cellStyle name="常规 4 6 3 6 3" xfId="8630"/>
    <cellStyle name="常规 4 6 3 6 3 2" xfId="18050"/>
    <cellStyle name="常规 4 6 3 6 3 2 2" xfId="36898"/>
    <cellStyle name="常规 4 6 3 6 3 3" xfId="27474"/>
    <cellStyle name="常规 4 6 3 6 4" xfId="11778"/>
    <cellStyle name="常规 4 6 3 6 4 2" xfId="30626"/>
    <cellStyle name="常规 4 6 3 6 5" xfId="21202"/>
    <cellStyle name="常规 4 6 3 7" xfId="3261"/>
    <cellStyle name="常规 4 6 3 7 2" xfId="12681"/>
    <cellStyle name="常规 4 6 3 7 2 2" xfId="31529"/>
    <cellStyle name="常规 4 6 3 7 3" xfId="22105"/>
    <cellStyle name="常规 4 6 3 8" xfId="6278"/>
    <cellStyle name="常规 4 6 3 8 2" xfId="15698"/>
    <cellStyle name="常规 4 6 3 8 2 2" xfId="34546"/>
    <cellStyle name="常规 4 6 3 8 3" xfId="25122"/>
    <cellStyle name="常规 4 6 3 9" xfId="9425"/>
    <cellStyle name="常规 4 6 3 9 2" xfId="28270"/>
    <cellStyle name="常规 4 6 4" xfId="385"/>
    <cellStyle name="常规 4 6 4 2" xfId="781"/>
    <cellStyle name="常规 4 6 4 2 2" xfId="1565"/>
    <cellStyle name="常规 4 6 4 2 2 2" xfId="4701"/>
    <cellStyle name="常规 4 6 4 2 2 2 2" xfId="14121"/>
    <cellStyle name="常规 4 6 4 2 2 2 2 2" xfId="32969"/>
    <cellStyle name="常规 4 6 4 2 2 2 3" xfId="23545"/>
    <cellStyle name="常规 4 6 4 2 2 3" xfId="7837"/>
    <cellStyle name="常规 4 6 4 2 2 3 2" xfId="17257"/>
    <cellStyle name="常规 4 6 4 2 2 3 2 2" xfId="36105"/>
    <cellStyle name="常规 4 6 4 2 2 3 3" xfId="26681"/>
    <cellStyle name="常规 4 6 4 2 2 4" xfId="10985"/>
    <cellStyle name="常规 4 6 4 2 2 4 2" xfId="29833"/>
    <cellStyle name="常规 4 6 4 2 2 5" xfId="20409"/>
    <cellStyle name="常规 4 6 4 2 3" xfId="2349"/>
    <cellStyle name="常规 4 6 4 2 3 2" xfId="5485"/>
    <cellStyle name="常规 4 6 4 2 3 2 2" xfId="14905"/>
    <cellStyle name="常规 4 6 4 2 3 2 2 2" xfId="33753"/>
    <cellStyle name="常规 4 6 4 2 3 2 3" xfId="24329"/>
    <cellStyle name="常规 4 6 4 2 3 3" xfId="8621"/>
    <cellStyle name="常规 4 6 4 2 3 3 2" xfId="18041"/>
    <cellStyle name="常规 4 6 4 2 3 3 2 2" xfId="36889"/>
    <cellStyle name="常规 4 6 4 2 3 3 3" xfId="27465"/>
    <cellStyle name="常规 4 6 4 2 3 4" xfId="11769"/>
    <cellStyle name="常规 4 6 4 2 3 4 2" xfId="30617"/>
    <cellStyle name="常规 4 6 4 2 3 5" xfId="21193"/>
    <cellStyle name="常规 4 6 4 2 4" xfId="3133"/>
    <cellStyle name="常规 4 6 4 2 4 2" xfId="6269"/>
    <cellStyle name="常规 4 6 4 2 4 2 2" xfId="15689"/>
    <cellStyle name="常规 4 6 4 2 4 2 2 2" xfId="34537"/>
    <cellStyle name="常规 4 6 4 2 4 2 3" xfId="25113"/>
    <cellStyle name="常规 4 6 4 2 4 3" xfId="9405"/>
    <cellStyle name="常规 4 6 4 2 4 3 2" xfId="18825"/>
    <cellStyle name="常规 4 6 4 2 4 3 2 2" xfId="37673"/>
    <cellStyle name="常规 4 6 4 2 4 3 3" xfId="28249"/>
    <cellStyle name="常规 4 6 4 2 4 4" xfId="12553"/>
    <cellStyle name="常规 4 6 4 2 4 4 2" xfId="31401"/>
    <cellStyle name="常规 4 6 4 2 4 5" xfId="21977"/>
    <cellStyle name="常规 4 6 4 2 5" xfId="3917"/>
    <cellStyle name="常规 4 6 4 2 5 2" xfId="13337"/>
    <cellStyle name="常规 4 6 4 2 5 2 2" xfId="32185"/>
    <cellStyle name="常规 4 6 4 2 5 3" xfId="22761"/>
    <cellStyle name="常规 4 6 4 2 6" xfId="7053"/>
    <cellStyle name="常规 4 6 4 2 6 2" xfId="16473"/>
    <cellStyle name="常规 4 6 4 2 6 2 2" xfId="35321"/>
    <cellStyle name="常规 4 6 4 2 6 3" xfId="25897"/>
    <cellStyle name="常规 4 6 4 2 7" xfId="10201"/>
    <cellStyle name="常规 4 6 4 2 7 2" xfId="29049"/>
    <cellStyle name="常规 4 6 4 2 8" xfId="19625"/>
    <cellStyle name="常规 4 6 4 3" xfId="1173"/>
    <cellStyle name="常规 4 6 4 3 2" xfId="4309"/>
    <cellStyle name="常规 4 6 4 3 2 2" xfId="13729"/>
    <cellStyle name="常规 4 6 4 3 2 2 2" xfId="32577"/>
    <cellStyle name="常规 4 6 4 3 2 3" xfId="23153"/>
    <cellStyle name="常规 4 6 4 3 3" xfId="7445"/>
    <cellStyle name="常规 4 6 4 3 3 2" xfId="16865"/>
    <cellStyle name="常规 4 6 4 3 3 2 2" xfId="35713"/>
    <cellStyle name="常规 4 6 4 3 3 3" xfId="26289"/>
    <cellStyle name="常规 4 6 4 3 4" xfId="10593"/>
    <cellStyle name="常规 4 6 4 3 4 2" xfId="29441"/>
    <cellStyle name="常规 4 6 4 3 5" xfId="20017"/>
    <cellStyle name="常规 4 6 4 4" xfId="1957"/>
    <cellStyle name="常规 4 6 4 4 2" xfId="5093"/>
    <cellStyle name="常规 4 6 4 4 2 2" xfId="14513"/>
    <cellStyle name="常规 4 6 4 4 2 2 2" xfId="33361"/>
    <cellStyle name="常规 4 6 4 4 2 3" xfId="23937"/>
    <cellStyle name="常规 4 6 4 4 3" xfId="8229"/>
    <cellStyle name="常规 4 6 4 4 3 2" xfId="17649"/>
    <cellStyle name="常规 4 6 4 4 3 2 2" xfId="36497"/>
    <cellStyle name="常规 4 6 4 4 3 3" xfId="27073"/>
    <cellStyle name="常规 4 6 4 4 4" xfId="11377"/>
    <cellStyle name="常规 4 6 4 4 4 2" xfId="30225"/>
    <cellStyle name="常规 4 6 4 4 5" xfId="20801"/>
    <cellStyle name="常规 4 6 4 5" xfId="2741"/>
    <cellStyle name="常规 4 6 4 5 2" xfId="5877"/>
    <cellStyle name="常规 4 6 4 5 2 2" xfId="15297"/>
    <cellStyle name="常规 4 6 4 5 2 2 2" xfId="34145"/>
    <cellStyle name="常规 4 6 4 5 2 3" xfId="24721"/>
    <cellStyle name="常规 4 6 4 5 3" xfId="9013"/>
    <cellStyle name="常规 4 6 4 5 3 2" xfId="18433"/>
    <cellStyle name="常规 4 6 4 5 3 2 2" xfId="37281"/>
    <cellStyle name="常规 4 6 4 5 3 3" xfId="27857"/>
    <cellStyle name="常规 4 6 4 5 4" xfId="12161"/>
    <cellStyle name="常规 4 6 4 5 4 2" xfId="31009"/>
    <cellStyle name="常规 4 6 4 5 5" xfId="21585"/>
    <cellStyle name="常规 4 6 4 6" xfId="3526"/>
    <cellStyle name="常规 4 6 4 6 2" xfId="12946"/>
    <cellStyle name="常规 4 6 4 6 2 2" xfId="31794"/>
    <cellStyle name="常规 4 6 4 6 3" xfId="22370"/>
    <cellStyle name="常规 4 6 4 7" xfId="6661"/>
    <cellStyle name="常规 4 6 4 7 2" xfId="16081"/>
    <cellStyle name="常规 4 6 4 7 2 2" xfId="34929"/>
    <cellStyle name="常规 4 6 4 7 3" xfId="25505"/>
    <cellStyle name="常规 4 6 4 8" xfId="9808"/>
    <cellStyle name="常规 4 6 4 8 2" xfId="28653"/>
    <cellStyle name="常规 4 6 4 9" xfId="19231"/>
    <cellStyle name="常规 4 6 5" xfId="401"/>
    <cellStyle name="常规 4 6 5 2" xfId="1185"/>
    <cellStyle name="常规 4 6 5 2 2" xfId="4321"/>
    <cellStyle name="常规 4 6 5 2 2 2" xfId="13741"/>
    <cellStyle name="常规 4 6 5 2 2 2 2" xfId="32589"/>
    <cellStyle name="常规 4 6 5 2 2 3" xfId="23165"/>
    <cellStyle name="常规 4 6 5 2 3" xfId="7457"/>
    <cellStyle name="常规 4 6 5 2 3 2" xfId="16877"/>
    <cellStyle name="常规 4 6 5 2 3 2 2" xfId="35725"/>
    <cellStyle name="常规 4 6 5 2 3 3" xfId="26301"/>
    <cellStyle name="常规 4 6 5 2 4" xfId="10605"/>
    <cellStyle name="常规 4 6 5 2 4 2" xfId="29453"/>
    <cellStyle name="常规 4 6 5 2 5" xfId="20029"/>
    <cellStyle name="常规 4 6 5 3" xfId="1969"/>
    <cellStyle name="常规 4 6 5 3 2" xfId="5105"/>
    <cellStyle name="常规 4 6 5 3 2 2" xfId="14525"/>
    <cellStyle name="常规 4 6 5 3 2 2 2" xfId="33373"/>
    <cellStyle name="常规 4 6 5 3 2 3" xfId="23949"/>
    <cellStyle name="常规 4 6 5 3 3" xfId="8241"/>
    <cellStyle name="常规 4 6 5 3 3 2" xfId="17661"/>
    <cellStyle name="常规 4 6 5 3 3 2 2" xfId="36509"/>
    <cellStyle name="常规 4 6 5 3 3 3" xfId="27085"/>
    <cellStyle name="常规 4 6 5 3 4" xfId="11389"/>
    <cellStyle name="常规 4 6 5 3 4 2" xfId="30237"/>
    <cellStyle name="常规 4 6 5 3 5" xfId="20813"/>
    <cellStyle name="常规 4 6 5 4" xfId="2753"/>
    <cellStyle name="常规 4 6 5 4 2" xfId="5889"/>
    <cellStyle name="常规 4 6 5 4 2 2" xfId="15309"/>
    <cellStyle name="常规 4 6 5 4 2 2 2" xfId="34157"/>
    <cellStyle name="常规 4 6 5 4 2 3" xfId="24733"/>
    <cellStyle name="常规 4 6 5 4 3" xfId="9025"/>
    <cellStyle name="常规 4 6 5 4 3 2" xfId="18445"/>
    <cellStyle name="常规 4 6 5 4 3 2 2" xfId="37293"/>
    <cellStyle name="常规 4 6 5 4 3 3" xfId="27869"/>
    <cellStyle name="常规 4 6 5 4 4" xfId="12173"/>
    <cellStyle name="常规 4 6 5 4 4 2" xfId="31021"/>
    <cellStyle name="常规 4 6 5 4 5" xfId="21597"/>
    <cellStyle name="常规 4 6 5 5" xfId="3537"/>
    <cellStyle name="常规 4 6 5 5 2" xfId="12957"/>
    <cellStyle name="常规 4 6 5 5 2 2" xfId="31805"/>
    <cellStyle name="常规 4 6 5 5 3" xfId="22381"/>
    <cellStyle name="常规 4 6 5 6" xfId="6673"/>
    <cellStyle name="常规 4 6 5 6 2" xfId="16093"/>
    <cellStyle name="常规 4 6 5 6 2 2" xfId="34941"/>
    <cellStyle name="常规 4 6 5 6 3" xfId="25517"/>
    <cellStyle name="常规 4 6 5 7" xfId="9821"/>
    <cellStyle name="常规 4 6 5 7 2" xfId="28669"/>
    <cellStyle name="常规 4 6 5 8" xfId="19245"/>
    <cellStyle name="常规 4 6 6" xfId="789"/>
    <cellStyle name="常规 4 6 6 2" xfId="3925"/>
    <cellStyle name="常规 4 6 6 2 2" xfId="13345"/>
    <cellStyle name="常规 4 6 6 2 2 2" xfId="32193"/>
    <cellStyle name="常规 4 6 6 2 3" xfId="22769"/>
    <cellStyle name="常规 4 6 6 3" xfId="7061"/>
    <cellStyle name="常规 4 6 6 3 2" xfId="16481"/>
    <cellStyle name="常规 4 6 6 3 2 2" xfId="35329"/>
    <cellStyle name="常规 4 6 6 3 3" xfId="25905"/>
    <cellStyle name="常规 4 6 6 4" xfId="10209"/>
    <cellStyle name="常规 4 6 6 4 2" xfId="29057"/>
    <cellStyle name="常规 4 6 6 5" xfId="19633"/>
    <cellStyle name="常规 4 6 7" xfId="1573"/>
    <cellStyle name="常规 4 6 7 2" xfId="4709"/>
    <cellStyle name="常规 4 6 7 2 2" xfId="14129"/>
    <cellStyle name="常规 4 6 7 2 2 2" xfId="32977"/>
    <cellStyle name="常规 4 6 7 2 3" xfId="23553"/>
    <cellStyle name="常规 4 6 7 3" xfId="7845"/>
    <cellStyle name="常规 4 6 7 3 2" xfId="17265"/>
    <cellStyle name="常规 4 6 7 3 2 2" xfId="36113"/>
    <cellStyle name="常规 4 6 7 3 3" xfId="26689"/>
    <cellStyle name="常规 4 6 7 4" xfId="10993"/>
    <cellStyle name="常规 4 6 7 4 2" xfId="29841"/>
    <cellStyle name="常规 4 6 7 5" xfId="20417"/>
    <cellStyle name="常规 4 6 8" xfId="2357"/>
    <cellStyle name="常规 4 6 8 2" xfId="5493"/>
    <cellStyle name="常规 4 6 8 2 2" xfId="14913"/>
    <cellStyle name="常规 4 6 8 2 2 2" xfId="33761"/>
    <cellStyle name="常规 4 6 8 2 3" xfId="24337"/>
    <cellStyle name="常规 4 6 8 3" xfId="8629"/>
    <cellStyle name="常规 4 6 8 3 2" xfId="18049"/>
    <cellStyle name="常规 4 6 8 3 2 2" xfId="36897"/>
    <cellStyle name="常规 4 6 8 3 3" xfId="27473"/>
    <cellStyle name="常规 4 6 8 4" xfId="11777"/>
    <cellStyle name="常规 4 6 8 4 2" xfId="30625"/>
    <cellStyle name="常规 4 6 8 5" xfId="21201"/>
    <cellStyle name="常规 4 6 9" xfId="3190"/>
    <cellStyle name="常规 4 6 9 2" xfId="12610"/>
    <cellStyle name="常规 4 6 9 2 2" xfId="31458"/>
    <cellStyle name="常规 4 6 9 3" xfId="22034"/>
    <cellStyle name="常规 4 7" xfId="386"/>
    <cellStyle name="常规 4 7 10" xfId="9809"/>
    <cellStyle name="常规 4 7 10 2" xfId="28654"/>
    <cellStyle name="常规 4 7 11" xfId="19232"/>
    <cellStyle name="常规 4 7 2" xfId="387"/>
    <cellStyle name="常规 4 7 2 10" xfId="19233"/>
    <cellStyle name="常规 4 7 2 2" xfId="388"/>
    <cellStyle name="常规 4 7 2 2 2" xfId="784"/>
    <cellStyle name="常规 4 7 2 2 2 2" xfId="1568"/>
    <cellStyle name="常规 4 7 2 2 2 2 2" xfId="4704"/>
    <cellStyle name="常规 4 7 2 2 2 2 2 2" xfId="14124"/>
    <cellStyle name="常规 4 7 2 2 2 2 2 2 2" xfId="32972"/>
    <cellStyle name="常规 4 7 2 2 2 2 2 3" xfId="23548"/>
    <cellStyle name="常规 4 7 2 2 2 2 3" xfId="7840"/>
    <cellStyle name="常规 4 7 2 2 2 2 3 2" xfId="17260"/>
    <cellStyle name="常规 4 7 2 2 2 2 3 2 2" xfId="36108"/>
    <cellStyle name="常规 4 7 2 2 2 2 3 3" xfId="26684"/>
    <cellStyle name="常规 4 7 2 2 2 2 4" xfId="10988"/>
    <cellStyle name="常规 4 7 2 2 2 2 4 2" xfId="29836"/>
    <cellStyle name="常规 4 7 2 2 2 2 5" xfId="20412"/>
    <cellStyle name="常规 4 7 2 2 2 3" xfId="2352"/>
    <cellStyle name="常规 4 7 2 2 2 3 2" xfId="5488"/>
    <cellStyle name="常规 4 7 2 2 2 3 2 2" xfId="14908"/>
    <cellStyle name="常规 4 7 2 2 2 3 2 2 2" xfId="33756"/>
    <cellStyle name="常规 4 7 2 2 2 3 2 3" xfId="24332"/>
    <cellStyle name="常规 4 7 2 2 2 3 3" xfId="8624"/>
    <cellStyle name="常规 4 7 2 2 2 3 3 2" xfId="18044"/>
    <cellStyle name="常规 4 7 2 2 2 3 3 2 2" xfId="36892"/>
    <cellStyle name="常规 4 7 2 2 2 3 3 3" xfId="27468"/>
    <cellStyle name="常规 4 7 2 2 2 3 4" xfId="11772"/>
    <cellStyle name="常规 4 7 2 2 2 3 4 2" xfId="30620"/>
    <cellStyle name="常规 4 7 2 2 2 3 5" xfId="21196"/>
    <cellStyle name="常规 4 7 2 2 2 4" xfId="3136"/>
    <cellStyle name="常规 4 7 2 2 2 4 2" xfId="6272"/>
    <cellStyle name="常规 4 7 2 2 2 4 2 2" xfId="15692"/>
    <cellStyle name="常规 4 7 2 2 2 4 2 2 2" xfId="34540"/>
    <cellStyle name="常规 4 7 2 2 2 4 2 3" xfId="25116"/>
    <cellStyle name="常规 4 7 2 2 2 4 3" xfId="9408"/>
    <cellStyle name="常规 4 7 2 2 2 4 3 2" xfId="18828"/>
    <cellStyle name="常规 4 7 2 2 2 4 3 2 2" xfId="37676"/>
    <cellStyle name="常规 4 7 2 2 2 4 3 3" xfId="28252"/>
    <cellStyle name="常规 4 7 2 2 2 4 4" xfId="12556"/>
    <cellStyle name="常规 4 7 2 2 2 4 4 2" xfId="31404"/>
    <cellStyle name="常规 4 7 2 2 2 4 5" xfId="21980"/>
    <cellStyle name="常规 4 7 2 2 2 5" xfId="3920"/>
    <cellStyle name="常规 4 7 2 2 2 5 2" xfId="13340"/>
    <cellStyle name="常规 4 7 2 2 2 5 2 2" xfId="32188"/>
    <cellStyle name="常规 4 7 2 2 2 5 3" xfId="22764"/>
    <cellStyle name="常规 4 7 2 2 2 6" xfId="7056"/>
    <cellStyle name="常规 4 7 2 2 2 6 2" xfId="16476"/>
    <cellStyle name="常规 4 7 2 2 2 6 2 2" xfId="35324"/>
    <cellStyle name="常规 4 7 2 2 2 6 3" xfId="25900"/>
    <cellStyle name="常规 4 7 2 2 2 7" xfId="10204"/>
    <cellStyle name="常规 4 7 2 2 2 7 2" xfId="29052"/>
    <cellStyle name="常规 4 7 2 2 2 8" xfId="19628"/>
    <cellStyle name="常规 4 7 2 2 3" xfId="1176"/>
    <cellStyle name="常规 4 7 2 2 3 2" xfId="4312"/>
    <cellStyle name="常规 4 7 2 2 3 2 2" xfId="13732"/>
    <cellStyle name="常规 4 7 2 2 3 2 2 2" xfId="32580"/>
    <cellStyle name="常规 4 7 2 2 3 2 3" xfId="23156"/>
    <cellStyle name="常规 4 7 2 2 3 3" xfId="7448"/>
    <cellStyle name="常规 4 7 2 2 3 3 2" xfId="16868"/>
    <cellStyle name="常规 4 7 2 2 3 3 2 2" xfId="35716"/>
    <cellStyle name="常规 4 7 2 2 3 3 3" xfId="26292"/>
    <cellStyle name="常规 4 7 2 2 3 4" xfId="10596"/>
    <cellStyle name="常规 4 7 2 2 3 4 2" xfId="29444"/>
    <cellStyle name="常规 4 7 2 2 3 5" xfId="20020"/>
    <cellStyle name="常规 4 7 2 2 4" xfId="1960"/>
    <cellStyle name="常规 4 7 2 2 4 2" xfId="5096"/>
    <cellStyle name="常规 4 7 2 2 4 2 2" xfId="14516"/>
    <cellStyle name="常规 4 7 2 2 4 2 2 2" xfId="33364"/>
    <cellStyle name="常规 4 7 2 2 4 2 3" xfId="23940"/>
    <cellStyle name="常规 4 7 2 2 4 3" xfId="8232"/>
    <cellStyle name="常规 4 7 2 2 4 3 2" xfId="17652"/>
    <cellStyle name="常规 4 7 2 2 4 3 2 2" xfId="36500"/>
    <cellStyle name="常规 4 7 2 2 4 3 3" xfId="27076"/>
    <cellStyle name="常规 4 7 2 2 4 4" xfId="11380"/>
    <cellStyle name="常规 4 7 2 2 4 4 2" xfId="30228"/>
    <cellStyle name="常规 4 7 2 2 4 5" xfId="20804"/>
    <cellStyle name="常规 4 7 2 2 5" xfId="2744"/>
    <cellStyle name="常规 4 7 2 2 5 2" xfId="5880"/>
    <cellStyle name="常规 4 7 2 2 5 2 2" xfId="15300"/>
    <cellStyle name="常规 4 7 2 2 5 2 2 2" xfId="34148"/>
    <cellStyle name="常规 4 7 2 2 5 2 3" xfId="24724"/>
    <cellStyle name="常规 4 7 2 2 5 3" xfId="9016"/>
    <cellStyle name="常规 4 7 2 2 5 3 2" xfId="18436"/>
    <cellStyle name="常规 4 7 2 2 5 3 2 2" xfId="37284"/>
    <cellStyle name="常规 4 7 2 2 5 3 3" xfId="27860"/>
    <cellStyle name="常规 4 7 2 2 5 4" xfId="12164"/>
    <cellStyle name="常规 4 7 2 2 5 4 2" xfId="31012"/>
    <cellStyle name="常规 4 7 2 2 5 5" xfId="21588"/>
    <cellStyle name="常规 4 7 2 2 6" xfId="3528"/>
    <cellStyle name="常规 4 7 2 2 6 2" xfId="12948"/>
    <cellStyle name="常规 4 7 2 2 6 2 2" xfId="31796"/>
    <cellStyle name="常规 4 7 2 2 6 3" xfId="22372"/>
    <cellStyle name="常规 4 7 2 2 7" xfId="6664"/>
    <cellStyle name="常规 4 7 2 2 7 2" xfId="16084"/>
    <cellStyle name="常规 4 7 2 2 7 2 2" xfId="34932"/>
    <cellStyle name="常规 4 7 2 2 7 3" xfId="25508"/>
    <cellStyle name="常规 4 7 2 2 8" xfId="9811"/>
    <cellStyle name="常规 4 7 2 2 8 2" xfId="28656"/>
    <cellStyle name="常规 4 7 2 2 9" xfId="19234"/>
    <cellStyle name="常规 4 7 2 3" xfId="783"/>
    <cellStyle name="常规 4 7 2 3 2" xfId="1567"/>
    <cellStyle name="常规 4 7 2 3 2 2" xfId="4703"/>
    <cellStyle name="常规 4 7 2 3 2 2 2" xfId="14123"/>
    <cellStyle name="常规 4 7 2 3 2 2 2 2" xfId="32971"/>
    <cellStyle name="常规 4 7 2 3 2 2 3" xfId="23547"/>
    <cellStyle name="常规 4 7 2 3 2 3" xfId="7839"/>
    <cellStyle name="常规 4 7 2 3 2 3 2" xfId="17259"/>
    <cellStyle name="常规 4 7 2 3 2 3 2 2" xfId="36107"/>
    <cellStyle name="常规 4 7 2 3 2 3 3" xfId="26683"/>
    <cellStyle name="常规 4 7 2 3 2 4" xfId="10987"/>
    <cellStyle name="常规 4 7 2 3 2 4 2" xfId="29835"/>
    <cellStyle name="常规 4 7 2 3 2 5" xfId="20411"/>
    <cellStyle name="常规 4 7 2 3 3" xfId="2351"/>
    <cellStyle name="常规 4 7 2 3 3 2" xfId="5487"/>
    <cellStyle name="常规 4 7 2 3 3 2 2" xfId="14907"/>
    <cellStyle name="常规 4 7 2 3 3 2 2 2" xfId="33755"/>
    <cellStyle name="常规 4 7 2 3 3 2 3" xfId="24331"/>
    <cellStyle name="常规 4 7 2 3 3 3" xfId="8623"/>
    <cellStyle name="常规 4 7 2 3 3 3 2" xfId="18043"/>
    <cellStyle name="常规 4 7 2 3 3 3 2 2" xfId="36891"/>
    <cellStyle name="常规 4 7 2 3 3 3 3" xfId="27467"/>
    <cellStyle name="常规 4 7 2 3 3 4" xfId="11771"/>
    <cellStyle name="常规 4 7 2 3 3 4 2" xfId="30619"/>
    <cellStyle name="常规 4 7 2 3 3 5" xfId="21195"/>
    <cellStyle name="常规 4 7 2 3 4" xfId="3135"/>
    <cellStyle name="常规 4 7 2 3 4 2" xfId="6271"/>
    <cellStyle name="常规 4 7 2 3 4 2 2" xfId="15691"/>
    <cellStyle name="常规 4 7 2 3 4 2 2 2" xfId="34539"/>
    <cellStyle name="常规 4 7 2 3 4 2 3" xfId="25115"/>
    <cellStyle name="常规 4 7 2 3 4 3" xfId="9407"/>
    <cellStyle name="常规 4 7 2 3 4 3 2" xfId="18827"/>
    <cellStyle name="常规 4 7 2 3 4 3 2 2" xfId="37675"/>
    <cellStyle name="常规 4 7 2 3 4 3 3" xfId="28251"/>
    <cellStyle name="常规 4 7 2 3 4 4" xfId="12555"/>
    <cellStyle name="常规 4 7 2 3 4 4 2" xfId="31403"/>
    <cellStyle name="常规 4 7 2 3 4 5" xfId="21979"/>
    <cellStyle name="常规 4 7 2 3 5" xfId="3919"/>
    <cellStyle name="常规 4 7 2 3 5 2" xfId="13339"/>
    <cellStyle name="常规 4 7 2 3 5 2 2" xfId="32187"/>
    <cellStyle name="常规 4 7 2 3 5 3" xfId="22763"/>
    <cellStyle name="常规 4 7 2 3 6" xfId="7055"/>
    <cellStyle name="常规 4 7 2 3 6 2" xfId="16475"/>
    <cellStyle name="常规 4 7 2 3 6 2 2" xfId="35323"/>
    <cellStyle name="常规 4 7 2 3 6 3" xfId="25899"/>
    <cellStyle name="常规 4 7 2 3 7" xfId="10203"/>
    <cellStyle name="常规 4 7 2 3 7 2" xfId="29051"/>
    <cellStyle name="常规 4 7 2 3 8" xfId="19627"/>
    <cellStyle name="常规 4 7 2 4" xfId="1175"/>
    <cellStyle name="常规 4 7 2 4 2" xfId="4311"/>
    <cellStyle name="常规 4 7 2 4 2 2" xfId="13731"/>
    <cellStyle name="常规 4 7 2 4 2 2 2" xfId="32579"/>
    <cellStyle name="常规 4 7 2 4 2 3" xfId="23155"/>
    <cellStyle name="常规 4 7 2 4 3" xfId="7447"/>
    <cellStyle name="常规 4 7 2 4 3 2" xfId="16867"/>
    <cellStyle name="常规 4 7 2 4 3 2 2" xfId="35715"/>
    <cellStyle name="常规 4 7 2 4 3 3" xfId="26291"/>
    <cellStyle name="常规 4 7 2 4 4" xfId="10595"/>
    <cellStyle name="常规 4 7 2 4 4 2" xfId="29443"/>
    <cellStyle name="常规 4 7 2 4 5" xfId="20019"/>
    <cellStyle name="常规 4 7 2 5" xfId="1959"/>
    <cellStyle name="常规 4 7 2 5 2" xfId="5095"/>
    <cellStyle name="常规 4 7 2 5 2 2" xfId="14515"/>
    <cellStyle name="常规 4 7 2 5 2 2 2" xfId="33363"/>
    <cellStyle name="常规 4 7 2 5 2 3" xfId="23939"/>
    <cellStyle name="常规 4 7 2 5 3" xfId="8231"/>
    <cellStyle name="常规 4 7 2 5 3 2" xfId="17651"/>
    <cellStyle name="常规 4 7 2 5 3 2 2" xfId="36499"/>
    <cellStyle name="常规 4 7 2 5 3 3" xfId="27075"/>
    <cellStyle name="常规 4 7 2 5 4" xfId="11379"/>
    <cellStyle name="常规 4 7 2 5 4 2" xfId="30227"/>
    <cellStyle name="常规 4 7 2 5 5" xfId="20803"/>
    <cellStyle name="常规 4 7 2 6" xfId="2743"/>
    <cellStyle name="常规 4 7 2 6 2" xfId="5879"/>
    <cellStyle name="常规 4 7 2 6 2 2" xfId="15299"/>
    <cellStyle name="常规 4 7 2 6 2 2 2" xfId="34147"/>
    <cellStyle name="常规 4 7 2 6 2 3" xfId="24723"/>
    <cellStyle name="常规 4 7 2 6 3" xfId="9015"/>
    <cellStyle name="常规 4 7 2 6 3 2" xfId="18435"/>
    <cellStyle name="常规 4 7 2 6 3 2 2" xfId="37283"/>
    <cellStyle name="常规 4 7 2 6 3 3" xfId="27859"/>
    <cellStyle name="常规 4 7 2 6 4" xfId="12163"/>
    <cellStyle name="常规 4 7 2 6 4 2" xfId="31011"/>
    <cellStyle name="常规 4 7 2 6 5" xfId="21587"/>
    <cellStyle name="常规 4 7 2 7" xfId="3527"/>
    <cellStyle name="常规 4 7 2 7 2" xfId="12947"/>
    <cellStyle name="常规 4 7 2 7 2 2" xfId="31795"/>
    <cellStyle name="常规 4 7 2 7 3" xfId="22371"/>
    <cellStyle name="常规 4 7 2 8" xfId="6663"/>
    <cellStyle name="常规 4 7 2 8 2" xfId="16083"/>
    <cellStyle name="常规 4 7 2 8 2 2" xfId="34931"/>
    <cellStyle name="常规 4 7 2 8 3" xfId="25507"/>
    <cellStyle name="常规 4 7 2 9" xfId="9810"/>
    <cellStyle name="常规 4 7 2 9 2" xfId="28655"/>
    <cellStyle name="常规 4 7 3" xfId="389"/>
    <cellStyle name="常规 4 7 3 2" xfId="785"/>
    <cellStyle name="常规 4 7 3 2 2" xfId="1569"/>
    <cellStyle name="常规 4 7 3 2 2 2" xfId="4705"/>
    <cellStyle name="常规 4 7 3 2 2 2 2" xfId="14125"/>
    <cellStyle name="常规 4 7 3 2 2 2 2 2" xfId="32973"/>
    <cellStyle name="常规 4 7 3 2 2 2 3" xfId="23549"/>
    <cellStyle name="常规 4 7 3 2 2 3" xfId="7841"/>
    <cellStyle name="常规 4 7 3 2 2 3 2" xfId="17261"/>
    <cellStyle name="常规 4 7 3 2 2 3 2 2" xfId="36109"/>
    <cellStyle name="常规 4 7 3 2 2 3 3" xfId="26685"/>
    <cellStyle name="常规 4 7 3 2 2 4" xfId="10989"/>
    <cellStyle name="常规 4 7 3 2 2 4 2" xfId="29837"/>
    <cellStyle name="常规 4 7 3 2 2 5" xfId="20413"/>
    <cellStyle name="常规 4 7 3 2 3" xfId="2353"/>
    <cellStyle name="常规 4 7 3 2 3 2" xfId="5489"/>
    <cellStyle name="常规 4 7 3 2 3 2 2" xfId="14909"/>
    <cellStyle name="常规 4 7 3 2 3 2 2 2" xfId="33757"/>
    <cellStyle name="常规 4 7 3 2 3 2 3" xfId="24333"/>
    <cellStyle name="常规 4 7 3 2 3 3" xfId="8625"/>
    <cellStyle name="常规 4 7 3 2 3 3 2" xfId="18045"/>
    <cellStyle name="常规 4 7 3 2 3 3 2 2" xfId="36893"/>
    <cellStyle name="常规 4 7 3 2 3 3 3" xfId="27469"/>
    <cellStyle name="常规 4 7 3 2 3 4" xfId="11773"/>
    <cellStyle name="常规 4 7 3 2 3 4 2" xfId="30621"/>
    <cellStyle name="常规 4 7 3 2 3 5" xfId="21197"/>
    <cellStyle name="常规 4 7 3 2 4" xfId="3137"/>
    <cellStyle name="常规 4 7 3 2 4 2" xfId="6273"/>
    <cellStyle name="常规 4 7 3 2 4 2 2" xfId="15693"/>
    <cellStyle name="常规 4 7 3 2 4 2 2 2" xfId="34541"/>
    <cellStyle name="常规 4 7 3 2 4 2 3" xfId="25117"/>
    <cellStyle name="常规 4 7 3 2 4 3" xfId="9409"/>
    <cellStyle name="常规 4 7 3 2 4 3 2" xfId="18829"/>
    <cellStyle name="常规 4 7 3 2 4 3 2 2" xfId="37677"/>
    <cellStyle name="常规 4 7 3 2 4 3 3" xfId="28253"/>
    <cellStyle name="常规 4 7 3 2 4 4" xfId="12557"/>
    <cellStyle name="常规 4 7 3 2 4 4 2" xfId="31405"/>
    <cellStyle name="常规 4 7 3 2 4 5" xfId="21981"/>
    <cellStyle name="常规 4 7 3 2 5" xfId="3921"/>
    <cellStyle name="常规 4 7 3 2 5 2" xfId="13341"/>
    <cellStyle name="常规 4 7 3 2 5 2 2" xfId="32189"/>
    <cellStyle name="常规 4 7 3 2 5 3" xfId="22765"/>
    <cellStyle name="常规 4 7 3 2 6" xfId="7057"/>
    <cellStyle name="常规 4 7 3 2 6 2" xfId="16477"/>
    <cellStyle name="常规 4 7 3 2 6 2 2" xfId="35325"/>
    <cellStyle name="常规 4 7 3 2 6 3" xfId="25901"/>
    <cellStyle name="常规 4 7 3 2 7" xfId="10205"/>
    <cellStyle name="常规 4 7 3 2 7 2" xfId="29053"/>
    <cellStyle name="常规 4 7 3 2 8" xfId="19629"/>
    <cellStyle name="常规 4 7 3 3" xfId="1177"/>
    <cellStyle name="常规 4 7 3 3 2" xfId="4313"/>
    <cellStyle name="常规 4 7 3 3 2 2" xfId="13733"/>
    <cellStyle name="常规 4 7 3 3 2 2 2" xfId="32581"/>
    <cellStyle name="常规 4 7 3 3 2 3" xfId="23157"/>
    <cellStyle name="常规 4 7 3 3 3" xfId="7449"/>
    <cellStyle name="常规 4 7 3 3 3 2" xfId="16869"/>
    <cellStyle name="常规 4 7 3 3 3 2 2" xfId="35717"/>
    <cellStyle name="常规 4 7 3 3 3 3" xfId="26293"/>
    <cellStyle name="常规 4 7 3 3 4" xfId="10597"/>
    <cellStyle name="常规 4 7 3 3 4 2" xfId="29445"/>
    <cellStyle name="常规 4 7 3 3 5" xfId="20021"/>
    <cellStyle name="常规 4 7 3 4" xfId="1961"/>
    <cellStyle name="常规 4 7 3 4 2" xfId="5097"/>
    <cellStyle name="常规 4 7 3 4 2 2" xfId="14517"/>
    <cellStyle name="常规 4 7 3 4 2 2 2" xfId="33365"/>
    <cellStyle name="常规 4 7 3 4 2 3" xfId="23941"/>
    <cellStyle name="常规 4 7 3 4 3" xfId="8233"/>
    <cellStyle name="常规 4 7 3 4 3 2" xfId="17653"/>
    <cellStyle name="常规 4 7 3 4 3 2 2" xfId="36501"/>
    <cellStyle name="常规 4 7 3 4 3 3" xfId="27077"/>
    <cellStyle name="常规 4 7 3 4 4" xfId="11381"/>
    <cellStyle name="常规 4 7 3 4 4 2" xfId="30229"/>
    <cellStyle name="常规 4 7 3 4 5" xfId="20805"/>
    <cellStyle name="常规 4 7 3 5" xfId="2745"/>
    <cellStyle name="常规 4 7 3 5 2" xfId="5881"/>
    <cellStyle name="常规 4 7 3 5 2 2" xfId="15301"/>
    <cellStyle name="常规 4 7 3 5 2 2 2" xfId="34149"/>
    <cellStyle name="常规 4 7 3 5 2 3" xfId="24725"/>
    <cellStyle name="常规 4 7 3 5 3" xfId="9017"/>
    <cellStyle name="常规 4 7 3 5 3 2" xfId="18437"/>
    <cellStyle name="常规 4 7 3 5 3 2 2" xfId="37285"/>
    <cellStyle name="常规 4 7 3 5 3 3" xfId="27861"/>
    <cellStyle name="常规 4 7 3 5 4" xfId="12165"/>
    <cellStyle name="常规 4 7 3 5 4 2" xfId="31013"/>
    <cellStyle name="常规 4 7 3 5 5" xfId="21589"/>
    <cellStyle name="常规 4 7 3 6" xfId="3529"/>
    <cellStyle name="常规 4 7 3 6 2" xfId="12949"/>
    <cellStyle name="常规 4 7 3 6 2 2" xfId="31797"/>
    <cellStyle name="常规 4 7 3 6 3" xfId="22373"/>
    <cellStyle name="常规 4 7 3 7" xfId="6665"/>
    <cellStyle name="常规 4 7 3 7 2" xfId="16085"/>
    <cellStyle name="常规 4 7 3 7 2 2" xfId="34933"/>
    <cellStyle name="常规 4 7 3 7 3" xfId="25509"/>
    <cellStyle name="常规 4 7 3 8" xfId="9812"/>
    <cellStyle name="常规 4 7 3 8 2" xfId="28657"/>
    <cellStyle name="常规 4 7 3 9" xfId="19235"/>
    <cellStyle name="常规 4 7 4" xfId="782"/>
    <cellStyle name="常规 4 7 4 2" xfId="1566"/>
    <cellStyle name="常规 4 7 4 2 2" xfId="4702"/>
    <cellStyle name="常规 4 7 4 2 2 2" xfId="14122"/>
    <cellStyle name="常规 4 7 4 2 2 2 2" xfId="32970"/>
    <cellStyle name="常规 4 7 4 2 2 3" xfId="23546"/>
    <cellStyle name="常规 4 7 4 2 3" xfId="7838"/>
    <cellStyle name="常规 4 7 4 2 3 2" xfId="17258"/>
    <cellStyle name="常规 4 7 4 2 3 2 2" xfId="36106"/>
    <cellStyle name="常规 4 7 4 2 3 3" xfId="26682"/>
    <cellStyle name="常规 4 7 4 2 4" xfId="10986"/>
    <cellStyle name="常规 4 7 4 2 4 2" xfId="29834"/>
    <cellStyle name="常规 4 7 4 2 5" xfId="20410"/>
    <cellStyle name="常规 4 7 4 3" xfId="2350"/>
    <cellStyle name="常规 4 7 4 3 2" xfId="5486"/>
    <cellStyle name="常规 4 7 4 3 2 2" xfId="14906"/>
    <cellStyle name="常规 4 7 4 3 2 2 2" xfId="33754"/>
    <cellStyle name="常规 4 7 4 3 2 3" xfId="24330"/>
    <cellStyle name="常规 4 7 4 3 3" xfId="8622"/>
    <cellStyle name="常规 4 7 4 3 3 2" xfId="18042"/>
    <cellStyle name="常规 4 7 4 3 3 2 2" xfId="36890"/>
    <cellStyle name="常规 4 7 4 3 3 3" xfId="27466"/>
    <cellStyle name="常规 4 7 4 3 4" xfId="11770"/>
    <cellStyle name="常规 4 7 4 3 4 2" xfId="30618"/>
    <cellStyle name="常规 4 7 4 3 5" xfId="21194"/>
    <cellStyle name="常规 4 7 4 4" xfId="3134"/>
    <cellStyle name="常规 4 7 4 4 2" xfId="6270"/>
    <cellStyle name="常规 4 7 4 4 2 2" xfId="15690"/>
    <cellStyle name="常规 4 7 4 4 2 2 2" xfId="34538"/>
    <cellStyle name="常规 4 7 4 4 2 3" xfId="25114"/>
    <cellStyle name="常规 4 7 4 4 3" xfId="9406"/>
    <cellStyle name="常规 4 7 4 4 3 2" xfId="18826"/>
    <cellStyle name="常规 4 7 4 4 3 2 2" xfId="37674"/>
    <cellStyle name="常规 4 7 4 4 3 3" xfId="28250"/>
    <cellStyle name="常规 4 7 4 4 4" xfId="12554"/>
    <cellStyle name="常规 4 7 4 4 4 2" xfId="31402"/>
    <cellStyle name="常规 4 7 4 4 5" xfId="21978"/>
    <cellStyle name="常规 4 7 4 5" xfId="3918"/>
    <cellStyle name="常规 4 7 4 5 2" xfId="13338"/>
    <cellStyle name="常规 4 7 4 5 2 2" xfId="32186"/>
    <cellStyle name="常规 4 7 4 5 3" xfId="22762"/>
    <cellStyle name="常规 4 7 4 6" xfId="7054"/>
    <cellStyle name="常规 4 7 4 6 2" xfId="16474"/>
    <cellStyle name="常规 4 7 4 6 2 2" xfId="35322"/>
    <cellStyle name="常规 4 7 4 6 3" xfId="25898"/>
    <cellStyle name="常规 4 7 4 7" xfId="10202"/>
    <cellStyle name="常规 4 7 4 7 2" xfId="29050"/>
    <cellStyle name="常规 4 7 4 8" xfId="19626"/>
    <cellStyle name="常规 4 7 5" xfId="1174"/>
    <cellStyle name="常规 4 7 5 2" xfId="4310"/>
    <cellStyle name="常规 4 7 5 2 2" xfId="13730"/>
    <cellStyle name="常规 4 7 5 2 2 2" xfId="32578"/>
    <cellStyle name="常规 4 7 5 2 3" xfId="23154"/>
    <cellStyle name="常规 4 7 5 3" xfId="7446"/>
    <cellStyle name="常规 4 7 5 3 2" xfId="16866"/>
    <cellStyle name="常规 4 7 5 3 2 2" xfId="35714"/>
    <cellStyle name="常规 4 7 5 3 3" xfId="26290"/>
    <cellStyle name="常规 4 7 5 4" xfId="10594"/>
    <cellStyle name="常规 4 7 5 4 2" xfId="29442"/>
    <cellStyle name="常规 4 7 5 5" xfId="20018"/>
    <cellStyle name="常规 4 7 6" xfId="1958"/>
    <cellStyle name="常规 4 7 6 2" xfId="5094"/>
    <cellStyle name="常规 4 7 6 2 2" xfId="14514"/>
    <cellStyle name="常规 4 7 6 2 2 2" xfId="33362"/>
    <cellStyle name="常规 4 7 6 2 3" xfId="23938"/>
    <cellStyle name="常规 4 7 6 3" xfId="8230"/>
    <cellStyle name="常规 4 7 6 3 2" xfId="17650"/>
    <cellStyle name="常规 4 7 6 3 2 2" xfId="36498"/>
    <cellStyle name="常规 4 7 6 3 3" xfId="27074"/>
    <cellStyle name="常规 4 7 6 4" xfId="11378"/>
    <cellStyle name="常规 4 7 6 4 2" xfId="30226"/>
    <cellStyle name="常规 4 7 6 5" xfId="20802"/>
    <cellStyle name="常规 4 7 7" xfId="2742"/>
    <cellStyle name="常规 4 7 7 2" xfId="5878"/>
    <cellStyle name="常规 4 7 7 2 2" xfId="15298"/>
    <cellStyle name="常规 4 7 7 2 2 2" xfId="34146"/>
    <cellStyle name="常规 4 7 7 2 3" xfId="24722"/>
    <cellStyle name="常规 4 7 7 3" xfId="9014"/>
    <cellStyle name="常规 4 7 7 3 2" xfId="18434"/>
    <cellStyle name="常规 4 7 7 3 2 2" xfId="37282"/>
    <cellStyle name="常规 4 7 7 3 3" xfId="27858"/>
    <cellStyle name="常规 4 7 7 4" xfId="12162"/>
    <cellStyle name="常规 4 7 7 4 2" xfId="31010"/>
    <cellStyle name="常规 4 7 7 5" xfId="21586"/>
    <cellStyle name="常规 4 7 8" xfId="3191"/>
    <cellStyle name="常规 4 7 8 2" xfId="12611"/>
    <cellStyle name="常规 4 7 8 2 2" xfId="31459"/>
    <cellStyle name="常规 4 7 8 3" xfId="22035"/>
    <cellStyle name="常规 4 7 9" xfId="6662"/>
    <cellStyle name="常规 4 7 9 2" xfId="16082"/>
    <cellStyle name="常规 4 7 9 2 2" xfId="34930"/>
    <cellStyle name="常规 4 7 9 3" xfId="25506"/>
    <cellStyle name="常规 4 8" xfId="390"/>
    <cellStyle name="常规 4 8 10" xfId="19236"/>
    <cellStyle name="常规 4 8 2" xfId="391"/>
    <cellStyle name="常规 4 8 2 2" xfId="787"/>
    <cellStyle name="常规 4 8 2 2 2" xfId="1571"/>
    <cellStyle name="常规 4 8 2 2 2 2" xfId="4707"/>
    <cellStyle name="常规 4 8 2 2 2 2 2" xfId="14127"/>
    <cellStyle name="常规 4 8 2 2 2 2 2 2" xfId="32975"/>
    <cellStyle name="常规 4 8 2 2 2 2 3" xfId="23551"/>
    <cellStyle name="常规 4 8 2 2 2 3" xfId="7843"/>
    <cellStyle name="常规 4 8 2 2 2 3 2" xfId="17263"/>
    <cellStyle name="常规 4 8 2 2 2 3 2 2" xfId="36111"/>
    <cellStyle name="常规 4 8 2 2 2 3 3" xfId="26687"/>
    <cellStyle name="常规 4 8 2 2 2 4" xfId="10991"/>
    <cellStyle name="常规 4 8 2 2 2 4 2" xfId="29839"/>
    <cellStyle name="常规 4 8 2 2 2 5" xfId="20415"/>
    <cellStyle name="常规 4 8 2 2 3" xfId="2355"/>
    <cellStyle name="常规 4 8 2 2 3 2" xfId="5491"/>
    <cellStyle name="常规 4 8 2 2 3 2 2" xfId="14911"/>
    <cellStyle name="常规 4 8 2 2 3 2 2 2" xfId="33759"/>
    <cellStyle name="常规 4 8 2 2 3 2 3" xfId="24335"/>
    <cellStyle name="常规 4 8 2 2 3 3" xfId="8627"/>
    <cellStyle name="常规 4 8 2 2 3 3 2" xfId="18047"/>
    <cellStyle name="常规 4 8 2 2 3 3 2 2" xfId="36895"/>
    <cellStyle name="常规 4 8 2 2 3 3 3" xfId="27471"/>
    <cellStyle name="常规 4 8 2 2 3 4" xfId="11775"/>
    <cellStyle name="常规 4 8 2 2 3 4 2" xfId="30623"/>
    <cellStyle name="常规 4 8 2 2 3 5" xfId="21199"/>
    <cellStyle name="常规 4 8 2 2 4" xfId="3139"/>
    <cellStyle name="常规 4 8 2 2 4 2" xfId="6275"/>
    <cellStyle name="常规 4 8 2 2 4 2 2" xfId="15695"/>
    <cellStyle name="常规 4 8 2 2 4 2 2 2" xfId="34543"/>
    <cellStyle name="常规 4 8 2 2 4 2 3" xfId="25119"/>
    <cellStyle name="常规 4 8 2 2 4 3" xfId="9411"/>
    <cellStyle name="常规 4 8 2 2 4 3 2" xfId="18831"/>
    <cellStyle name="常规 4 8 2 2 4 3 2 2" xfId="37679"/>
    <cellStyle name="常规 4 8 2 2 4 3 3" xfId="28255"/>
    <cellStyle name="常规 4 8 2 2 4 4" xfId="12559"/>
    <cellStyle name="常规 4 8 2 2 4 4 2" xfId="31407"/>
    <cellStyle name="常规 4 8 2 2 4 5" xfId="21983"/>
    <cellStyle name="常规 4 8 2 2 5" xfId="3923"/>
    <cellStyle name="常规 4 8 2 2 5 2" xfId="13343"/>
    <cellStyle name="常规 4 8 2 2 5 2 2" xfId="32191"/>
    <cellStyle name="常规 4 8 2 2 5 3" xfId="22767"/>
    <cellStyle name="常规 4 8 2 2 6" xfId="7059"/>
    <cellStyle name="常规 4 8 2 2 6 2" xfId="16479"/>
    <cellStyle name="常规 4 8 2 2 6 2 2" xfId="35327"/>
    <cellStyle name="常规 4 8 2 2 6 3" xfId="25903"/>
    <cellStyle name="常规 4 8 2 2 7" xfId="10207"/>
    <cellStyle name="常规 4 8 2 2 7 2" xfId="29055"/>
    <cellStyle name="常规 4 8 2 2 8" xfId="19631"/>
    <cellStyle name="常规 4 8 2 3" xfId="1179"/>
    <cellStyle name="常规 4 8 2 3 2" xfId="4315"/>
    <cellStyle name="常规 4 8 2 3 2 2" xfId="13735"/>
    <cellStyle name="常规 4 8 2 3 2 2 2" xfId="32583"/>
    <cellStyle name="常规 4 8 2 3 2 3" xfId="23159"/>
    <cellStyle name="常规 4 8 2 3 3" xfId="7451"/>
    <cellStyle name="常规 4 8 2 3 3 2" xfId="16871"/>
    <cellStyle name="常规 4 8 2 3 3 2 2" xfId="35719"/>
    <cellStyle name="常规 4 8 2 3 3 3" xfId="26295"/>
    <cellStyle name="常规 4 8 2 3 4" xfId="10599"/>
    <cellStyle name="常规 4 8 2 3 4 2" xfId="29447"/>
    <cellStyle name="常规 4 8 2 3 5" xfId="20023"/>
    <cellStyle name="常规 4 8 2 4" xfId="1963"/>
    <cellStyle name="常规 4 8 2 4 2" xfId="5099"/>
    <cellStyle name="常规 4 8 2 4 2 2" xfId="14519"/>
    <cellStyle name="常规 4 8 2 4 2 2 2" xfId="33367"/>
    <cellStyle name="常规 4 8 2 4 2 3" xfId="23943"/>
    <cellStyle name="常规 4 8 2 4 3" xfId="8235"/>
    <cellStyle name="常规 4 8 2 4 3 2" xfId="17655"/>
    <cellStyle name="常规 4 8 2 4 3 2 2" xfId="36503"/>
    <cellStyle name="常规 4 8 2 4 3 3" xfId="27079"/>
    <cellStyle name="常规 4 8 2 4 4" xfId="11383"/>
    <cellStyle name="常规 4 8 2 4 4 2" xfId="30231"/>
    <cellStyle name="常规 4 8 2 4 5" xfId="20807"/>
    <cellStyle name="常规 4 8 2 5" xfId="2747"/>
    <cellStyle name="常规 4 8 2 5 2" xfId="5883"/>
    <cellStyle name="常规 4 8 2 5 2 2" xfId="15303"/>
    <cellStyle name="常规 4 8 2 5 2 2 2" xfId="34151"/>
    <cellStyle name="常规 4 8 2 5 2 3" xfId="24727"/>
    <cellStyle name="常规 4 8 2 5 3" xfId="9019"/>
    <cellStyle name="常规 4 8 2 5 3 2" xfId="18439"/>
    <cellStyle name="常规 4 8 2 5 3 2 2" xfId="37287"/>
    <cellStyle name="常规 4 8 2 5 3 3" xfId="27863"/>
    <cellStyle name="常规 4 8 2 5 4" xfId="12167"/>
    <cellStyle name="常规 4 8 2 5 4 2" xfId="31015"/>
    <cellStyle name="常规 4 8 2 5 5" xfId="21591"/>
    <cellStyle name="常规 4 8 2 6" xfId="3531"/>
    <cellStyle name="常规 4 8 2 6 2" xfId="12951"/>
    <cellStyle name="常规 4 8 2 6 2 2" xfId="31799"/>
    <cellStyle name="常规 4 8 2 6 3" xfId="22375"/>
    <cellStyle name="常规 4 8 2 7" xfId="6667"/>
    <cellStyle name="常规 4 8 2 7 2" xfId="16087"/>
    <cellStyle name="常规 4 8 2 7 2 2" xfId="34935"/>
    <cellStyle name="常规 4 8 2 7 3" xfId="25511"/>
    <cellStyle name="常规 4 8 2 8" xfId="9814"/>
    <cellStyle name="常规 4 8 2 8 2" xfId="28659"/>
    <cellStyle name="常规 4 8 2 9" xfId="19237"/>
    <cellStyle name="常规 4 8 3" xfId="786"/>
    <cellStyle name="常规 4 8 3 2" xfId="1570"/>
    <cellStyle name="常规 4 8 3 2 2" xfId="4706"/>
    <cellStyle name="常规 4 8 3 2 2 2" xfId="14126"/>
    <cellStyle name="常规 4 8 3 2 2 2 2" xfId="32974"/>
    <cellStyle name="常规 4 8 3 2 2 3" xfId="23550"/>
    <cellStyle name="常规 4 8 3 2 3" xfId="7842"/>
    <cellStyle name="常规 4 8 3 2 3 2" xfId="17262"/>
    <cellStyle name="常规 4 8 3 2 3 2 2" xfId="36110"/>
    <cellStyle name="常规 4 8 3 2 3 3" xfId="26686"/>
    <cellStyle name="常规 4 8 3 2 4" xfId="10990"/>
    <cellStyle name="常规 4 8 3 2 4 2" xfId="29838"/>
    <cellStyle name="常规 4 8 3 2 5" xfId="20414"/>
    <cellStyle name="常规 4 8 3 3" xfId="2354"/>
    <cellStyle name="常规 4 8 3 3 2" xfId="5490"/>
    <cellStyle name="常规 4 8 3 3 2 2" xfId="14910"/>
    <cellStyle name="常规 4 8 3 3 2 2 2" xfId="33758"/>
    <cellStyle name="常规 4 8 3 3 2 3" xfId="24334"/>
    <cellStyle name="常规 4 8 3 3 3" xfId="8626"/>
    <cellStyle name="常规 4 8 3 3 3 2" xfId="18046"/>
    <cellStyle name="常规 4 8 3 3 3 2 2" xfId="36894"/>
    <cellStyle name="常规 4 8 3 3 3 3" xfId="27470"/>
    <cellStyle name="常规 4 8 3 3 4" xfId="11774"/>
    <cellStyle name="常规 4 8 3 3 4 2" xfId="30622"/>
    <cellStyle name="常规 4 8 3 3 5" xfId="21198"/>
    <cellStyle name="常规 4 8 3 4" xfId="3138"/>
    <cellStyle name="常规 4 8 3 4 2" xfId="6274"/>
    <cellStyle name="常规 4 8 3 4 2 2" xfId="15694"/>
    <cellStyle name="常规 4 8 3 4 2 2 2" xfId="34542"/>
    <cellStyle name="常规 4 8 3 4 2 3" xfId="25118"/>
    <cellStyle name="常规 4 8 3 4 3" xfId="9410"/>
    <cellStyle name="常规 4 8 3 4 3 2" xfId="18830"/>
    <cellStyle name="常规 4 8 3 4 3 2 2" xfId="37678"/>
    <cellStyle name="常规 4 8 3 4 3 3" xfId="28254"/>
    <cellStyle name="常规 4 8 3 4 4" xfId="12558"/>
    <cellStyle name="常规 4 8 3 4 4 2" xfId="31406"/>
    <cellStyle name="常规 4 8 3 4 5" xfId="21982"/>
    <cellStyle name="常规 4 8 3 5" xfId="3922"/>
    <cellStyle name="常规 4 8 3 5 2" xfId="13342"/>
    <cellStyle name="常规 4 8 3 5 2 2" xfId="32190"/>
    <cellStyle name="常规 4 8 3 5 3" xfId="22766"/>
    <cellStyle name="常规 4 8 3 6" xfId="7058"/>
    <cellStyle name="常规 4 8 3 6 2" xfId="16478"/>
    <cellStyle name="常规 4 8 3 6 2 2" xfId="35326"/>
    <cellStyle name="常规 4 8 3 6 3" xfId="25902"/>
    <cellStyle name="常规 4 8 3 7" xfId="10206"/>
    <cellStyle name="常规 4 8 3 7 2" xfId="29054"/>
    <cellStyle name="常规 4 8 3 8" xfId="19630"/>
    <cellStyle name="常规 4 8 4" xfId="1178"/>
    <cellStyle name="常规 4 8 4 2" xfId="4314"/>
    <cellStyle name="常规 4 8 4 2 2" xfId="13734"/>
    <cellStyle name="常规 4 8 4 2 2 2" xfId="32582"/>
    <cellStyle name="常规 4 8 4 2 3" xfId="23158"/>
    <cellStyle name="常规 4 8 4 3" xfId="7450"/>
    <cellStyle name="常规 4 8 4 3 2" xfId="16870"/>
    <cellStyle name="常规 4 8 4 3 2 2" xfId="35718"/>
    <cellStyle name="常规 4 8 4 3 3" xfId="26294"/>
    <cellStyle name="常规 4 8 4 4" xfId="10598"/>
    <cellStyle name="常规 4 8 4 4 2" xfId="29446"/>
    <cellStyle name="常规 4 8 4 5" xfId="20022"/>
    <cellStyle name="常规 4 8 5" xfId="1962"/>
    <cellStyle name="常规 4 8 5 2" xfId="5098"/>
    <cellStyle name="常规 4 8 5 2 2" xfId="14518"/>
    <cellStyle name="常规 4 8 5 2 2 2" xfId="33366"/>
    <cellStyle name="常规 4 8 5 2 3" xfId="23942"/>
    <cellStyle name="常规 4 8 5 3" xfId="8234"/>
    <cellStyle name="常规 4 8 5 3 2" xfId="17654"/>
    <cellStyle name="常规 4 8 5 3 2 2" xfId="36502"/>
    <cellStyle name="常规 4 8 5 3 3" xfId="27078"/>
    <cellStyle name="常规 4 8 5 4" xfId="11382"/>
    <cellStyle name="常规 4 8 5 4 2" xfId="30230"/>
    <cellStyle name="常规 4 8 5 5" xfId="20806"/>
    <cellStyle name="常规 4 8 6" xfId="2746"/>
    <cellStyle name="常规 4 8 6 2" xfId="5882"/>
    <cellStyle name="常规 4 8 6 2 2" xfId="15302"/>
    <cellStyle name="常规 4 8 6 2 2 2" xfId="34150"/>
    <cellStyle name="常规 4 8 6 2 3" xfId="24726"/>
    <cellStyle name="常规 4 8 6 3" xfId="9018"/>
    <cellStyle name="常规 4 8 6 3 2" xfId="18438"/>
    <cellStyle name="常规 4 8 6 3 2 2" xfId="37286"/>
    <cellStyle name="常规 4 8 6 3 3" xfId="27862"/>
    <cellStyle name="常规 4 8 6 4" xfId="12166"/>
    <cellStyle name="常规 4 8 6 4 2" xfId="31014"/>
    <cellStyle name="常规 4 8 6 5" xfId="21590"/>
    <cellStyle name="常规 4 8 7" xfId="3530"/>
    <cellStyle name="常规 4 8 7 2" xfId="12950"/>
    <cellStyle name="常规 4 8 7 2 2" xfId="31798"/>
    <cellStyle name="常规 4 8 7 3" xfId="22374"/>
    <cellStyle name="常规 4 8 8" xfId="6666"/>
    <cellStyle name="常规 4 8 8 2" xfId="16086"/>
    <cellStyle name="常规 4 8 8 2 2" xfId="34934"/>
    <cellStyle name="常规 4 8 8 3" xfId="25510"/>
    <cellStyle name="常规 4 8 9" xfId="9813"/>
    <cellStyle name="常规 4 8 9 2" xfId="28658"/>
    <cellStyle name="常规 4 9" xfId="392"/>
    <cellStyle name="常规 4 9 2" xfId="788"/>
    <cellStyle name="常规 4 9 2 2" xfId="1572"/>
    <cellStyle name="常规 4 9 2 2 2" xfId="4708"/>
    <cellStyle name="常规 4 9 2 2 2 2" xfId="14128"/>
    <cellStyle name="常规 4 9 2 2 2 2 2" xfId="32976"/>
    <cellStyle name="常规 4 9 2 2 2 3" xfId="23552"/>
    <cellStyle name="常规 4 9 2 2 3" xfId="7844"/>
    <cellStyle name="常规 4 9 2 2 3 2" xfId="17264"/>
    <cellStyle name="常规 4 9 2 2 3 2 2" xfId="36112"/>
    <cellStyle name="常规 4 9 2 2 3 3" xfId="26688"/>
    <cellStyle name="常规 4 9 2 2 4" xfId="10992"/>
    <cellStyle name="常规 4 9 2 2 4 2" xfId="29840"/>
    <cellStyle name="常规 4 9 2 2 5" xfId="20416"/>
    <cellStyle name="常规 4 9 2 3" xfId="2356"/>
    <cellStyle name="常规 4 9 2 3 2" xfId="5492"/>
    <cellStyle name="常规 4 9 2 3 2 2" xfId="14912"/>
    <cellStyle name="常规 4 9 2 3 2 2 2" xfId="33760"/>
    <cellStyle name="常规 4 9 2 3 2 3" xfId="24336"/>
    <cellStyle name="常规 4 9 2 3 3" xfId="8628"/>
    <cellStyle name="常规 4 9 2 3 3 2" xfId="18048"/>
    <cellStyle name="常规 4 9 2 3 3 2 2" xfId="36896"/>
    <cellStyle name="常规 4 9 2 3 3 3" xfId="27472"/>
    <cellStyle name="常规 4 9 2 3 4" xfId="11776"/>
    <cellStyle name="常规 4 9 2 3 4 2" xfId="30624"/>
    <cellStyle name="常规 4 9 2 3 5" xfId="21200"/>
    <cellStyle name="常规 4 9 2 4" xfId="3140"/>
    <cellStyle name="常规 4 9 2 4 2" xfId="6276"/>
    <cellStyle name="常规 4 9 2 4 2 2" xfId="15696"/>
    <cellStyle name="常规 4 9 2 4 2 2 2" xfId="34544"/>
    <cellStyle name="常规 4 9 2 4 2 3" xfId="25120"/>
    <cellStyle name="常规 4 9 2 4 3" xfId="9412"/>
    <cellStyle name="常规 4 9 2 4 3 2" xfId="18832"/>
    <cellStyle name="常规 4 9 2 4 3 2 2" xfId="37680"/>
    <cellStyle name="常规 4 9 2 4 3 3" xfId="28256"/>
    <cellStyle name="常规 4 9 2 4 4" xfId="12560"/>
    <cellStyle name="常规 4 9 2 4 4 2" xfId="31408"/>
    <cellStyle name="常规 4 9 2 4 5" xfId="21984"/>
    <cellStyle name="常规 4 9 2 5" xfId="3924"/>
    <cellStyle name="常规 4 9 2 5 2" xfId="13344"/>
    <cellStyle name="常规 4 9 2 5 2 2" xfId="32192"/>
    <cellStyle name="常规 4 9 2 5 3" xfId="22768"/>
    <cellStyle name="常规 4 9 2 6" xfId="7060"/>
    <cellStyle name="常规 4 9 2 6 2" xfId="16480"/>
    <cellStyle name="常规 4 9 2 6 2 2" xfId="35328"/>
    <cellStyle name="常规 4 9 2 6 3" xfId="25904"/>
    <cellStyle name="常规 4 9 2 7" xfId="10208"/>
    <cellStyle name="常规 4 9 2 7 2" xfId="29056"/>
    <cellStyle name="常规 4 9 2 8" xfId="19632"/>
    <cellStyle name="常规 4 9 3" xfId="1180"/>
    <cellStyle name="常规 4 9 3 2" xfId="4316"/>
    <cellStyle name="常规 4 9 3 2 2" xfId="13736"/>
    <cellStyle name="常规 4 9 3 2 2 2" xfId="32584"/>
    <cellStyle name="常规 4 9 3 2 3" xfId="23160"/>
    <cellStyle name="常规 4 9 3 3" xfId="7452"/>
    <cellStyle name="常规 4 9 3 3 2" xfId="16872"/>
    <cellStyle name="常规 4 9 3 3 2 2" xfId="35720"/>
    <cellStyle name="常规 4 9 3 3 3" xfId="26296"/>
    <cellStyle name="常规 4 9 3 4" xfId="10600"/>
    <cellStyle name="常规 4 9 3 4 2" xfId="29448"/>
    <cellStyle name="常规 4 9 3 5" xfId="20024"/>
    <cellStyle name="常规 4 9 4" xfId="1964"/>
    <cellStyle name="常规 4 9 4 2" xfId="5100"/>
    <cellStyle name="常规 4 9 4 2 2" xfId="14520"/>
    <cellStyle name="常规 4 9 4 2 2 2" xfId="33368"/>
    <cellStyle name="常规 4 9 4 2 3" xfId="23944"/>
    <cellStyle name="常规 4 9 4 3" xfId="8236"/>
    <cellStyle name="常规 4 9 4 3 2" xfId="17656"/>
    <cellStyle name="常规 4 9 4 3 2 2" xfId="36504"/>
    <cellStyle name="常规 4 9 4 3 3" xfId="27080"/>
    <cellStyle name="常规 4 9 4 4" xfId="11384"/>
    <cellStyle name="常规 4 9 4 4 2" xfId="30232"/>
    <cellStyle name="常规 4 9 4 5" xfId="20808"/>
    <cellStyle name="常规 4 9 5" xfId="2748"/>
    <cellStyle name="常规 4 9 5 2" xfId="5884"/>
    <cellStyle name="常规 4 9 5 2 2" xfId="15304"/>
    <cellStyle name="常规 4 9 5 2 2 2" xfId="34152"/>
    <cellStyle name="常规 4 9 5 2 3" xfId="24728"/>
    <cellStyle name="常规 4 9 5 3" xfId="9020"/>
    <cellStyle name="常规 4 9 5 3 2" xfId="18440"/>
    <cellStyle name="常规 4 9 5 3 2 2" xfId="37288"/>
    <cellStyle name="常规 4 9 5 3 3" xfId="27864"/>
    <cellStyle name="常规 4 9 5 4" xfId="12168"/>
    <cellStyle name="常规 4 9 5 4 2" xfId="31016"/>
    <cellStyle name="常规 4 9 5 5" xfId="21592"/>
    <cellStyle name="常规 4 9 6" xfId="3532"/>
    <cellStyle name="常规 4 9 6 2" xfId="12952"/>
    <cellStyle name="常规 4 9 6 2 2" xfId="31800"/>
    <cellStyle name="常规 4 9 6 3" xfId="22376"/>
    <cellStyle name="常规 4 9 7" xfId="6668"/>
    <cellStyle name="常规 4 9 7 2" xfId="16088"/>
    <cellStyle name="常规 4 9 7 2 2" xfId="34936"/>
    <cellStyle name="常规 4 9 7 3" xfId="25512"/>
    <cellStyle name="常规 4 9 8" xfId="9815"/>
    <cellStyle name="常规 4 9 8 2" xfId="28660"/>
    <cellStyle name="常规 4 9 9" xfId="19238"/>
    <cellStyle name="常规 46" xfId="18841"/>
    <cellStyle name="常规 46 2" xfId="37685"/>
    <cellStyle name="常规 5" xfId="393"/>
    <cellStyle name="常规 5 2" xfId="400"/>
    <cellStyle name="常规 5 2 2" xfId="28668"/>
    <cellStyle name="常规 5 3" xfId="9816"/>
    <cellStyle name="常规 5 3 2" xfId="28661"/>
    <cellStyle name="常规 5 4" xfId="9415"/>
    <cellStyle name="常规 5 4 2" xfId="28259"/>
    <cellStyle name="常规 6" xfId="9421"/>
    <cellStyle name="常规 6 2" xfId="18842"/>
    <cellStyle name="常规 6 2 2" xfId="37686"/>
    <cellStyle name="常规 6 3" xfId="18844"/>
    <cellStyle name="常规 6 3 2" xfId="28265"/>
    <cellStyle name="常规 7" xfId="9422"/>
    <cellStyle name="常规 7 2" xfId="18845"/>
    <cellStyle name="常规 7 2 2" xfId="28266"/>
    <cellStyle name="常规 8" xfId="9423"/>
    <cellStyle name="常规 8 2" xfId="18846"/>
    <cellStyle name="常规 8 2 2" xfId="28267"/>
    <cellStyle name="常规 9" xfId="9413"/>
    <cellStyle name="常规 9 2" xfId="19243"/>
    <cellStyle name="超链接" xfId="37712" builtinId="8" customBuiltin="1"/>
    <cellStyle name="好 2" xfId="37713"/>
    <cellStyle name="汇总 2" xfId="37714"/>
    <cellStyle name="计算 2" xfId="37715"/>
    <cellStyle name="检查单元格 2" xfId="37716"/>
    <cellStyle name="解释性文本 2" xfId="37717"/>
    <cellStyle name="警告文本 2" xfId="37718"/>
    <cellStyle name="链接单元格 2" xfId="37719"/>
    <cellStyle name="千位分隔 2" xfId="18834"/>
    <cellStyle name="强调文字颜色 1 2" xfId="37720"/>
    <cellStyle name="强调文字颜色 2 2" xfId="37721"/>
    <cellStyle name="强调文字颜色 3 2" xfId="37722"/>
    <cellStyle name="强调文字颜色 4 2" xfId="37723"/>
    <cellStyle name="强调文字颜色 5 2" xfId="37724"/>
    <cellStyle name="强调文字颜色 6 2" xfId="37725"/>
    <cellStyle name="适中 2" xfId="37726"/>
    <cellStyle name="输出 2" xfId="37727"/>
    <cellStyle name="输入 2" xfId="37728"/>
    <cellStyle name="注释 2" xfId="37729"/>
  </cellStyles>
  <dxfs count="64">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ill>
        <patternFill>
          <fgColor indexed="64"/>
          <bgColor theme="8"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00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25</xdr:col>
      <xdr:colOff>228600</xdr:colOff>
      <xdr:row>1</xdr:row>
      <xdr:rowOff>190500</xdr:rowOff>
    </xdr:from>
    <xdr:to>
      <xdr:col>27</xdr:col>
      <xdr:colOff>628650</xdr:colOff>
      <xdr:row>3</xdr:row>
      <xdr:rowOff>28575</xdr:rowOff>
    </xdr:to>
    <xdr:sp macro="" textlink="">
      <xdr:nvSpPr>
        <xdr:cNvPr id="2" name="文本框 1"/>
        <xdr:cNvSpPr txBox="1"/>
      </xdr:nvSpPr>
      <xdr:spPr>
        <a:xfrm>
          <a:off x="18983325" y="381000"/>
          <a:ext cx="1771650" cy="49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BMS 6.0</a:t>
          </a:r>
          <a:r>
            <a:rPr lang="zh-CN" altLang="en-US" sz="1100"/>
            <a:t>系统对应的</a:t>
          </a:r>
          <a:r>
            <a:rPr lang="en-US" altLang="zh-CN" sz="1100"/>
            <a:t>CATL RDB-PN</a:t>
          </a:r>
          <a:r>
            <a:rPr lang="zh-CN" altLang="en-US" sz="1100"/>
            <a:t>：</a:t>
          </a:r>
          <a:r>
            <a:rPr lang="en-US" altLang="zh-CN" sz="1100">
              <a:solidFill>
                <a:schemeClr val="dk1"/>
              </a:solidFill>
              <a:effectLst/>
              <a:latin typeface="+mn-lt"/>
              <a:ea typeface="+mn-ea"/>
              <a:cs typeface="+mn-cs"/>
            </a:rPr>
            <a:t>380220-00012</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HDY\ATF-SLS\F_&#39118;&#38505;&#31649;&#29702;\&#22823;&#25968;&#25454;&#24179;&#21488;\&#22823;&#25968;&#25454;&#36890;&#20449;&#21327;&#35758;\eBus6.0_Protocol_D-CAN_RD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Revision"/>
      <sheetName val="Message"/>
      <sheetName val="eBus6.0_Protocol_D-CAN"/>
      <sheetName val="Define"/>
      <sheetName val="AL_Trouble_Code"/>
    </sheetNames>
    <sheetDataSet>
      <sheetData sheetId="0"/>
      <sheetData sheetId="1"/>
      <sheetData sheetId="2">
        <row r="1">
          <cell r="B1" t="str">
            <v>MsgName</v>
          </cell>
          <cell r="C1" t="str">
            <v>MsgName in DBC</v>
          </cell>
          <cell r="D1" t="str">
            <v>MsgID</v>
          </cell>
          <cell r="E1" t="str">
            <v>MsgID (Hex)</v>
          </cell>
          <cell r="F1" t="str">
            <v>DLC</v>
          </cell>
          <cell r="G1" t="str">
            <v>Sender</v>
          </cell>
          <cell r="H1" t="str">
            <v>Tx</v>
          </cell>
          <cell r="I1" t="str">
            <v>Cycle time (ms)</v>
          </cell>
        </row>
        <row r="2">
          <cell r="B2" t="str">
            <v>XcpMaster</v>
          </cell>
          <cell r="C2" t="str">
            <v>XcpMaster</v>
          </cell>
          <cell r="D2">
            <v>0</v>
          </cell>
          <cell r="E2" t="str">
            <v>0x200</v>
          </cell>
          <cell r="F2">
            <v>8</v>
          </cell>
          <cell r="G2" t="str">
            <v>Tester</v>
          </cell>
          <cell r="H2" t="str">
            <v>Event</v>
          </cell>
          <cell r="I2">
            <v>0</v>
          </cell>
        </row>
        <row r="3">
          <cell r="B3" t="str">
            <v>XcpSlave</v>
          </cell>
          <cell r="C3" t="str">
            <v>XcpSlave</v>
          </cell>
          <cell r="D3">
            <v>0</v>
          </cell>
          <cell r="E3" t="str">
            <v>0x300</v>
          </cell>
          <cell r="F3">
            <v>8</v>
          </cell>
          <cell r="G3" t="str">
            <v>BMU</v>
          </cell>
          <cell r="H3" t="str">
            <v>Event</v>
          </cell>
          <cell r="I3">
            <v>0</v>
          </cell>
        </row>
        <row r="4">
          <cell r="B4" t="str">
            <v>DIAG_PhyReq</v>
          </cell>
          <cell r="C4" t="str">
            <v>DIAG_PhyReq</v>
          </cell>
          <cell r="D4">
            <v>0</v>
          </cell>
          <cell r="E4" t="str">
            <v>0x1F0147E1</v>
          </cell>
          <cell r="F4">
            <v>8</v>
          </cell>
          <cell r="G4" t="str">
            <v>Tester</v>
          </cell>
          <cell r="H4" t="str">
            <v>Event</v>
          </cell>
          <cell r="I4">
            <v>0</v>
          </cell>
        </row>
        <row r="5">
          <cell r="B5" t="str">
            <v>DIAG_FunReq</v>
          </cell>
          <cell r="C5" t="str">
            <v>DIAG_FunReq</v>
          </cell>
          <cell r="D5">
            <v>0</v>
          </cell>
          <cell r="E5" t="str">
            <v>0x1F0147DF</v>
          </cell>
          <cell r="F5">
            <v>8</v>
          </cell>
          <cell r="G5" t="str">
            <v>Tester</v>
          </cell>
          <cell r="H5" t="str">
            <v>Event</v>
          </cell>
          <cell r="I5">
            <v>0</v>
          </cell>
        </row>
        <row r="6">
          <cell r="B6" t="str">
            <v>DIAG_Resp</v>
          </cell>
          <cell r="C6" t="str">
            <v>DIAG_Resp</v>
          </cell>
          <cell r="D6">
            <v>0</v>
          </cell>
          <cell r="E6" t="str">
            <v>0x1F0147E9</v>
          </cell>
          <cell r="F6">
            <v>8</v>
          </cell>
          <cell r="G6" t="str">
            <v>BMU</v>
          </cell>
          <cell r="H6" t="str">
            <v>Event</v>
          </cell>
          <cell r="I6">
            <v>0</v>
          </cell>
        </row>
        <row r="7">
          <cell r="B7" t="str">
            <v>Debug_Internal</v>
          </cell>
          <cell r="C7" t="str">
            <v>Debug_Internal</v>
          </cell>
          <cell r="D7">
            <v>0</v>
          </cell>
          <cell r="E7" t="str">
            <v>0x1F00FF41</v>
          </cell>
          <cell r="F7">
            <v>8</v>
          </cell>
          <cell r="G7" t="str">
            <v>BMU</v>
          </cell>
          <cell r="H7" t="str">
            <v>Event</v>
          </cell>
          <cell r="I7">
            <v>0</v>
          </cell>
        </row>
        <row r="8">
          <cell r="B8" t="str">
            <v>R2A_Life</v>
          </cell>
          <cell r="C8" t="str">
            <v>R2A_Life</v>
          </cell>
          <cell r="D8">
            <v>0</v>
          </cell>
          <cell r="E8" t="str">
            <v>0x0101FFFE</v>
          </cell>
          <cell r="F8">
            <v>8</v>
          </cell>
          <cell r="G8" t="str">
            <v>RDB</v>
          </cell>
          <cell r="H8" t="str">
            <v>Cyclic</v>
          </cell>
          <cell r="I8">
            <v>10000</v>
          </cell>
        </row>
        <row r="9">
          <cell r="B9" t="str">
            <v>P2A_Life_D</v>
          </cell>
          <cell r="C9" t="str">
            <v>P2A_Life_D</v>
          </cell>
          <cell r="D9">
            <v>0</v>
          </cell>
          <cell r="E9" t="str">
            <v>0x0102FFEE</v>
          </cell>
          <cell r="F9">
            <v>8</v>
          </cell>
          <cell r="G9" t="str">
            <v>PC</v>
          </cell>
          <cell r="H9" t="str">
            <v>Cyclic</v>
          </cell>
          <cell r="I9">
            <v>500</v>
          </cell>
        </row>
        <row r="10">
          <cell r="B10" t="str">
            <v>U2P_ALARM1</v>
          </cell>
          <cell r="C10" t="str">
            <v>U2P_ALARM1</v>
          </cell>
          <cell r="D10">
            <v>0</v>
          </cell>
          <cell r="E10" t="str">
            <v>0x0401EE41</v>
          </cell>
          <cell r="F10">
            <v>8</v>
          </cell>
          <cell r="G10" t="str">
            <v>BMU</v>
          </cell>
          <cell r="H10" t="str">
            <v>Event</v>
          </cell>
          <cell r="I10">
            <v>0</v>
          </cell>
        </row>
        <row r="11">
          <cell r="B11" t="str">
            <v>U2P_ALARM2</v>
          </cell>
          <cell r="C11" t="str">
            <v>U2P_ALARM2</v>
          </cell>
          <cell r="D11">
            <v>0</v>
          </cell>
          <cell r="E11" t="str">
            <v>0x0402EE41</v>
          </cell>
          <cell r="F11">
            <v>8</v>
          </cell>
          <cell r="G11" t="str">
            <v>BMU</v>
          </cell>
          <cell r="H11" t="str">
            <v>Event</v>
          </cell>
          <cell r="I11">
            <v>0</v>
          </cell>
        </row>
        <row r="12">
          <cell r="B12" t="str">
            <v>U2P_SUMDATA1</v>
          </cell>
          <cell r="C12" t="str">
            <v>U2P_SUMDATA1</v>
          </cell>
          <cell r="D12">
            <v>0</v>
          </cell>
          <cell r="E12" t="str">
            <v>0x0801EE41</v>
          </cell>
          <cell r="F12">
            <v>8</v>
          </cell>
          <cell r="G12" t="str">
            <v>BMU</v>
          </cell>
          <cell r="H12" t="str">
            <v>Event</v>
          </cell>
          <cell r="I12">
            <v>0</v>
          </cell>
        </row>
        <row r="13">
          <cell r="B13" t="str">
            <v>U2P_SUMDATA2</v>
          </cell>
          <cell r="C13" t="str">
            <v>U2P_SUMDATA2</v>
          </cell>
          <cell r="D13">
            <v>0</v>
          </cell>
          <cell r="E13" t="str">
            <v>0x0802EE41</v>
          </cell>
          <cell r="F13">
            <v>8</v>
          </cell>
          <cell r="G13" t="str">
            <v>BMU</v>
          </cell>
          <cell r="H13" t="str">
            <v>Event</v>
          </cell>
          <cell r="I13">
            <v>0</v>
          </cell>
        </row>
        <row r="14">
          <cell r="B14" t="str">
            <v>U2P_SUMDATA3</v>
          </cell>
          <cell r="C14" t="str">
            <v>U2P_SUMDATA3</v>
          </cell>
          <cell r="D14">
            <v>0</v>
          </cell>
          <cell r="E14" t="str">
            <v>0x0803EE41</v>
          </cell>
          <cell r="F14">
            <v>8</v>
          </cell>
          <cell r="G14" t="str">
            <v>BMU</v>
          </cell>
          <cell r="H14" t="str">
            <v>Event</v>
          </cell>
          <cell r="I14">
            <v>0</v>
          </cell>
        </row>
        <row r="15">
          <cell r="B15" t="str">
            <v>U2P_SUMDATA4</v>
          </cell>
          <cell r="C15" t="str">
            <v>U2P_SUMDATA4</v>
          </cell>
          <cell r="D15">
            <v>0</v>
          </cell>
          <cell r="E15" t="str">
            <v>0x0804EE41</v>
          </cell>
          <cell r="F15">
            <v>8</v>
          </cell>
          <cell r="G15" t="str">
            <v>BMU</v>
          </cell>
          <cell r="H15" t="str">
            <v>Event</v>
          </cell>
          <cell r="I15">
            <v>0</v>
          </cell>
        </row>
        <row r="16">
          <cell r="B16" t="str">
            <v>U2P_SUMDATA5</v>
          </cell>
          <cell r="C16" t="str">
            <v>U2P_SUMDATA5</v>
          </cell>
          <cell r="D16">
            <v>0</v>
          </cell>
          <cell r="E16" t="str">
            <v>0x0805EE41</v>
          </cell>
          <cell r="F16">
            <v>8</v>
          </cell>
          <cell r="G16" t="str">
            <v>BMU</v>
          </cell>
          <cell r="H16" t="str">
            <v>Event</v>
          </cell>
          <cell r="I16">
            <v>0</v>
          </cell>
        </row>
        <row r="17">
          <cell r="B17" t="str">
            <v>U2P_SUMDATA6</v>
          </cell>
          <cell r="C17" t="str">
            <v>U2P_SUMDATA6</v>
          </cell>
          <cell r="D17">
            <v>0</v>
          </cell>
          <cell r="E17" t="str">
            <v>0x0806EE41</v>
          </cell>
          <cell r="F17">
            <v>8</v>
          </cell>
          <cell r="G17" t="str">
            <v>BMU</v>
          </cell>
          <cell r="H17" t="str">
            <v>Event</v>
          </cell>
          <cell r="I17">
            <v>0</v>
          </cell>
        </row>
        <row r="18">
          <cell r="B18" t="str">
            <v>U2P_SUMDATA7</v>
          </cell>
          <cell r="C18" t="str">
            <v>U2P_SUMDATA7</v>
          </cell>
          <cell r="D18">
            <v>0</v>
          </cell>
          <cell r="E18" t="str">
            <v>0x0807EE41</v>
          </cell>
          <cell r="F18">
            <v>8</v>
          </cell>
          <cell r="G18" t="str">
            <v>BMU</v>
          </cell>
          <cell r="H18" t="str">
            <v>Event</v>
          </cell>
          <cell r="I18">
            <v>0</v>
          </cell>
        </row>
        <row r="19">
          <cell r="B19" t="str">
            <v>U2P_SUMDATA8</v>
          </cell>
          <cell r="C19" t="str">
            <v>U2P_SUMDATA8</v>
          </cell>
          <cell r="D19">
            <v>0</v>
          </cell>
          <cell r="E19" t="str">
            <v>0x0808EE41</v>
          </cell>
          <cell r="F19">
            <v>8</v>
          </cell>
          <cell r="G19" t="str">
            <v>BMU</v>
          </cell>
          <cell r="H19" t="str">
            <v>Event</v>
          </cell>
          <cell r="I19">
            <v>0</v>
          </cell>
        </row>
        <row r="20">
          <cell r="B20" t="str">
            <v>U2P_SUMDATA9</v>
          </cell>
          <cell r="C20" t="str">
            <v>U2P_SUMDATA9</v>
          </cell>
          <cell r="D20">
            <v>0</v>
          </cell>
          <cell r="E20" t="str">
            <v>0x0809EE41</v>
          </cell>
          <cell r="F20">
            <v>8</v>
          </cell>
          <cell r="G20" t="str">
            <v>BMU</v>
          </cell>
          <cell r="H20" t="str">
            <v>Event</v>
          </cell>
          <cell r="I20">
            <v>0</v>
          </cell>
        </row>
        <row r="21">
          <cell r="B21" t="str">
            <v>U2P_SUMDATA10</v>
          </cell>
          <cell r="C21" t="str">
            <v>U2P_SUMDATA10</v>
          </cell>
          <cell r="D21">
            <v>0</v>
          </cell>
          <cell r="E21" t="str">
            <v>0x080AEE41</v>
          </cell>
          <cell r="F21">
            <v>8</v>
          </cell>
          <cell r="G21" t="str">
            <v>BMU</v>
          </cell>
          <cell r="H21" t="str">
            <v>Event</v>
          </cell>
          <cell r="I21">
            <v>0</v>
          </cell>
        </row>
        <row r="22">
          <cell r="B22" t="str">
            <v>U2P_SUMDATA11</v>
          </cell>
          <cell r="C22" t="str">
            <v>U2P_SUMDATA11</v>
          </cell>
          <cell r="D22">
            <v>0</v>
          </cell>
          <cell r="E22" t="str">
            <v>0x080BEE41</v>
          </cell>
          <cell r="F22">
            <v>8</v>
          </cell>
          <cell r="G22" t="str">
            <v>BMU</v>
          </cell>
          <cell r="H22" t="str">
            <v>Event</v>
          </cell>
          <cell r="I22">
            <v>0</v>
          </cell>
        </row>
        <row r="23">
          <cell r="B23" t="str">
            <v>U2P_SUMDATA12</v>
          </cell>
          <cell r="C23" t="str">
            <v>U2P_SUMDATA12</v>
          </cell>
          <cell r="D23">
            <v>0</v>
          </cell>
          <cell r="E23" t="str">
            <v>0x080CEE41</v>
          </cell>
          <cell r="F23">
            <v>8</v>
          </cell>
          <cell r="G23" t="str">
            <v>BMU</v>
          </cell>
          <cell r="H23" t="str">
            <v>Event</v>
          </cell>
          <cell r="I23">
            <v>0</v>
          </cell>
        </row>
        <row r="24">
          <cell r="B24" t="str">
            <v>U2P_SUMDATA13</v>
          </cell>
          <cell r="C24" t="str">
            <v>U2P_SUMDATA13</v>
          </cell>
          <cell r="D24">
            <v>0</v>
          </cell>
          <cell r="E24" t="str">
            <v>0x080DEE41</v>
          </cell>
          <cell r="F24">
            <v>8</v>
          </cell>
          <cell r="G24" t="str">
            <v>BMU</v>
          </cell>
          <cell r="H24" t="str">
            <v>Event</v>
          </cell>
          <cell r="I24">
            <v>0</v>
          </cell>
        </row>
        <row r="25">
          <cell r="B25" t="str">
            <v>U2P_SUMDATA14</v>
          </cell>
          <cell r="C25" t="str">
            <v>U2P_SUMDATA14</v>
          </cell>
          <cell r="D25">
            <v>0</v>
          </cell>
          <cell r="E25" t="str">
            <v>0x080EEE41</v>
          </cell>
          <cell r="F25">
            <v>8</v>
          </cell>
          <cell r="G25" t="str">
            <v>BMU</v>
          </cell>
          <cell r="H25" t="str">
            <v>Event</v>
          </cell>
          <cell r="I25">
            <v>0</v>
          </cell>
        </row>
        <row r="26">
          <cell r="B26" t="str">
            <v>U2P_SUMDATA15</v>
          </cell>
          <cell r="C26" t="str">
            <v>U2P_SUMDATA15</v>
          </cell>
          <cell r="D26">
            <v>0</v>
          </cell>
          <cell r="E26" t="str">
            <v>0x080FEE41</v>
          </cell>
          <cell r="F26">
            <v>8</v>
          </cell>
          <cell r="G26" t="str">
            <v>BMU</v>
          </cell>
          <cell r="H26" t="str">
            <v>Event</v>
          </cell>
          <cell r="I26">
            <v>0</v>
          </cell>
        </row>
        <row r="27">
          <cell r="B27" t="str">
            <v>U2P_SUMDATA16</v>
          </cell>
          <cell r="C27" t="str">
            <v>U2P_SUMDATA16</v>
          </cell>
          <cell r="D27">
            <v>0</v>
          </cell>
          <cell r="E27" t="str">
            <v>0x0810EE41</v>
          </cell>
          <cell r="F27">
            <v>8</v>
          </cell>
          <cell r="G27" t="str">
            <v>BMU</v>
          </cell>
          <cell r="H27" t="str">
            <v>Event</v>
          </cell>
          <cell r="I27">
            <v>0</v>
          </cell>
        </row>
        <row r="28">
          <cell r="B28" t="str">
            <v>U2P_SUMDATA17</v>
          </cell>
          <cell r="C28" t="str">
            <v>U2P_SUMDATA17</v>
          </cell>
          <cell r="D28">
            <v>0</v>
          </cell>
          <cell r="E28" t="str">
            <v>0x0811EE41</v>
          </cell>
          <cell r="F28">
            <v>8</v>
          </cell>
          <cell r="G28" t="str">
            <v>BMU</v>
          </cell>
          <cell r="H28" t="str">
            <v>Event</v>
          </cell>
          <cell r="I28">
            <v>0</v>
          </cell>
        </row>
        <row r="29">
          <cell r="B29" t="str">
            <v>U2P_SUMDATA18</v>
          </cell>
          <cell r="C29" t="str">
            <v>U2P_SUMDATA18</v>
          </cell>
          <cell r="D29">
            <v>0</v>
          </cell>
          <cell r="E29" t="str">
            <v>0x0813EE41</v>
          </cell>
          <cell r="F29">
            <v>8</v>
          </cell>
          <cell r="G29" t="str">
            <v>BMU</v>
          </cell>
          <cell r="H29" t="str">
            <v>Event</v>
          </cell>
          <cell r="I29">
            <v>0</v>
          </cell>
        </row>
        <row r="30">
          <cell r="B30" t="str">
            <v>U2P_SUMDATA19</v>
          </cell>
          <cell r="C30" t="str">
            <v>U2P_SUMDATA19</v>
          </cell>
          <cell r="D30">
            <v>0</v>
          </cell>
          <cell r="E30" t="str">
            <v>0x0814EE41</v>
          </cell>
          <cell r="F30">
            <v>8</v>
          </cell>
          <cell r="G30" t="str">
            <v>BMU</v>
          </cell>
          <cell r="H30" t="str">
            <v>Event</v>
          </cell>
          <cell r="I30">
            <v>0</v>
          </cell>
        </row>
        <row r="31">
          <cell r="B31" t="str">
            <v>U2P_SUMDATA20</v>
          </cell>
          <cell r="C31" t="str">
            <v>U2P_SUMDATA20</v>
          </cell>
          <cell r="D31">
            <v>0</v>
          </cell>
          <cell r="E31" t="str">
            <v>0x0815EE41</v>
          </cell>
          <cell r="F31">
            <v>8</v>
          </cell>
          <cell r="G31" t="str">
            <v>BMU</v>
          </cell>
          <cell r="H31" t="str">
            <v>Event</v>
          </cell>
          <cell r="I31">
            <v>0</v>
          </cell>
        </row>
        <row r="32">
          <cell r="B32" t="str">
            <v>U2P_SUMDATA21</v>
          </cell>
          <cell r="C32" t="str">
            <v>U2P_SUMDATA21</v>
          </cell>
          <cell r="D32">
            <v>0</v>
          </cell>
          <cell r="E32" t="str">
            <v>0x0816EE41</v>
          </cell>
          <cell r="F32">
            <v>8</v>
          </cell>
          <cell r="G32" t="str">
            <v>BMU</v>
          </cell>
          <cell r="H32" t="str">
            <v>Event</v>
          </cell>
          <cell r="I32">
            <v>0</v>
          </cell>
        </row>
        <row r="33">
          <cell r="B33" t="str">
            <v>U2P_SUMDATA22</v>
          </cell>
          <cell r="C33" t="str">
            <v>U2P_SUMDATA22</v>
          </cell>
          <cell r="D33">
            <v>0</v>
          </cell>
          <cell r="E33" t="str">
            <v>0x0817EE41</v>
          </cell>
          <cell r="F33">
            <v>8</v>
          </cell>
          <cell r="G33" t="str">
            <v>BMU</v>
          </cell>
          <cell r="H33" t="str">
            <v>Event</v>
          </cell>
          <cell r="I33">
            <v>0</v>
          </cell>
        </row>
        <row r="34">
          <cell r="B34" t="str">
            <v>U2P_SUMDATA23</v>
          </cell>
          <cell r="C34" t="str">
            <v>U2P_SUMDATA23</v>
          </cell>
          <cell r="D34">
            <v>0</v>
          </cell>
          <cell r="E34" t="str">
            <v>0x0818EE41</v>
          </cell>
          <cell r="F34">
            <v>8</v>
          </cell>
          <cell r="G34" t="str">
            <v>BMU</v>
          </cell>
          <cell r="H34" t="str">
            <v>Event</v>
          </cell>
          <cell r="I34">
            <v>0</v>
          </cell>
        </row>
        <row r="35">
          <cell r="B35" t="str">
            <v>U2P_SUMDATA24</v>
          </cell>
          <cell r="C35" t="str">
            <v>U2P_SUMDATA24</v>
          </cell>
          <cell r="D35">
            <v>0</v>
          </cell>
          <cell r="E35" t="str">
            <v>0x0819EE41</v>
          </cell>
          <cell r="F35">
            <v>8</v>
          </cell>
          <cell r="G35" t="str">
            <v>BMU</v>
          </cell>
          <cell r="H35" t="str">
            <v>Event</v>
          </cell>
          <cell r="I35">
            <v>0</v>
          </cell>
        </row>
        <row r="36">
          <cell r="B36" t="str">
            <v>U2P_SUMDATA25</v>
          </cell>
          <cell r="C36" t="str">
            <v>U2P_SUMDATA25</v>
          </cell>
          <cell r="D36">
            <v>0</v>
          </cell>
          <cell r="E36" t="str">
            <v>0x081AEE41</v>
          </cell>
          <cell r="F36">
            <v>8</v>
          </cell>
          <cell r="G36" t="str">
            <v>BMU</v>
          </cell>
          <cell r="H36" t="str">
            <v>Event</v>
          </cell>
          <cell r="I36">
            <v>0</v>
          </cell>
        </row>
        <row r="37">
          <cell r="B37" t="str">
            <v>U2P_SUMDATA26</v>
          </cell>
          <cell r="C37" t="str">
            <v>U2P_SUMDATA26</v>
          </cell>
          <cell r="D37">
            <v>0</v>
          </cell>
          <cell r="E37" t="str">
            <v>0x081BEE41</v>
          </cell>
          <cell r="F37">
            <v>8</v>
          </cell>
          <cell r="G37" t="str">
            <v>BMU</v>
          </cell>
          <cell r="H37" t="str">
            <v>Event</v>
          </cell>
          <cell r="I37">
            <v>0</v>
          </cell>
        </row>
        <row r="38">
          <cell r="B38" t="str">
            <v>U2P_SUMDATA27</v>
          </cell>
          <cell r="C38" t="str">
            <v>U2P_SUMDATA27</v>
          </cell>
          <cell r="D38">
            <v>0</v>
          </cell>
          <cell r="E38" t="str">
            <v>0x081CEE41</v>
          </cell>
          <cell r="F38">
            <v>8</v>
          </cell>
          <cell r="G38" t="str">
            <v>BMU</v>
          </cell>
          <cell r="H38" t="str">
            <v>Event</v>
          </cell>
          <cell r="I38">
            <v>0</v>
          </cell>
        </row>
        <row r="39">
          <cell r="B39" t="str">
            <v>U2P_SUMDATA28</v>
          </cell>
          <cell r="C39" t="str">
            <v>U2P_SUMDATA28</v>
          </cell>
          <cell r="D39">
            <v>0</v>
          </cell>
          <cell r="E39" t="str">
            <v>0x081DEE41</v>
          </cell>
          <cell r="F39">
            <v>8</v>
          </cell>
          <cell r="G39" t="str">
            <v>BMU</v>
          </cell>
          <cell r="H39" t="str">
            <v>Event</v>
          </cell>
          <cell r="I39">
            <v>0</v>
          </cell>
        </row>
        <row r="40">
          <cell r="B40" t="str">
            <v>U2P_SUMDATA29</v>
          </cell>
          <cell r="C40" t="str">
            <v>U2P_SUMDATA29</v>
          </cell>
          <cell r="D40">
            <v>0</v>
          </cell>
          <cell r="E40" t="str">
            <v>0x081EEE41</v>
          </cell>
          <cell r="F40">
            <v>8</v>
          </cell>
          <cell r="G40" t="str">
            <v>BMU</v>
          </cell>
          <cell r="H40" t="str">
            <v>Event</v>
          </cell>
          <cell r="I40">
            <v>0</v>
          </cell>
        </row>
        <row r="41">
          <cell r="B41" t="str">
            <v>C2U2A_Stats3_D</v>
          </cell>
          <cell r="C41" t="str">
            <v>C2U2A_Stats3_D__[n]</v>
          </cell>
          <cell r="D41">
            <v>0</v>
          </cell>
          <cell r="E41" t="str">
            <v>0x0A04FF(01~18)</v>
          </cell>
          <cell r="F41">
            <v>8</v>
          </cell>
          <cell r="G41" t="str">
            <v>CSC_[n]</v>
          </cell>
          <cell r="H41" t="str">
            <v>Cyclic+Event</v>
          </cell>
          <cell r="I41">
            <v>2000</v>
          </cell>
        </row>
        <row r="42">
          <cell r="B42" t="str">
            <v>C2U2A_Stats4_D</v>
          </cell>
          <cell r="C42" t="str">
            <v>C2U2A_Stats4_D__[n]</v>
          </cell>
          <cell r="D42">
            <v>0</v>
          </cell>
          <cell r="E42" t="str">
            <v>0x0A07FF(01~18)</v>
          </cell>
          <cell r="F42">
            <v>8</v>
          </cell>
          <cell r="G42" t="str">
            <v>CSC_[n]</v>
          </cell>
          <cell r="H42" t="str">
            <v>Cyclic+Event</v>
          </cell>
          <cell r="I42">
            <v>2000</v>
          </cell>
        </row>
        <row r="43">
          <cell r="B43" t="str">
            <v>C2U2A_Stats2_D</v>
          </cell>
          <cell r="C43" t="str">
            <v>C2U2A_Stats2_D__[n]</v>
          </cell>
          <cell r="D43">
            <v>0</v>
          </cell>
          <cell r="E43" t="str">
            <v>0x0A03FF(01~18)</v>
          </cell>
          <cell r="F43">
            <v>8</v>
          </cell>
          <cell r="G43" t="str">
            <v>CSC_[n]</v>
          </cell>
          <cell r="H43" t="str">
            <v>Cyclic+Event</v>
          </cell>
          <cell r="I43">
            <v>1000</v>
          </cell>
        </row>
        <row r="44">
          <cell r="B44" t="str">
            <v>C2U2A_Vol1_D</v>
          </cell>
          <cell r="C44" t="str">
            <v>C2U2A_Vol1_D__[n]</v>
          </cell>
          <cell r="D44">
            <v>0</v>
          </cell>
          <cell r="E44" t="str">
            <v>0x0E01FF(01~18)</v>
          </cell>
          <cell r="F44">
            <v>8</v>
          </cell>
          <cell r="G44" t="str">
            <v>CSC_[n]</v>
          </cell>
          <cell r="H44" t="str">
            <v>Cyclic+Event</v>
          </cell>
          <cell r="I44">
            <v>500</v>
          </cell>
        </row>
        <row r="45">
          <cell r="B45" t="str">
            <v>C2U2A_Vol2_D</v>
          </cell>
          <cell r="C45" t="str">
            <v>C2U2A_Vol2_D__[n]</v>
          </cell>
          <cell r="D45">
            <v>0</v>
          </cell>
          <cell r="E45" t="str">
            <v>0x0E02FF(01~18)</v>
          </cell>
          <cell r="F45">
            <v>8</v>
          </cell>
          <cell r="G45" t="str">
            <v>CSC_[n]</v>
          </cell>
          <cell r="H45" t="str">
            <v>Cyclic+Event</v>
          </cell>
          <cell r="I45">
            <v>500</v>
          </cell>
        </row>
        <row r="46">
          <cell r="B46" t="str">
            <v>C2U2A_Vol3_D</v>
          </cell>
          <cell r="C46" t="str">
            <v>C2U2A_Vol3_D__[n]</v>
          </cell>
          <cell r="D46">
            <v>0</v>
          </cell>
          <cell r="E46" t="str">
            <v>0x0E03FF(01~18)</v>
          </cell>
          <cell r="F46">
            <v>8</v>
          </cell>
          <cell r="G46" t="str">
            <v>CSC_[n]</v>
          </cell>
          <cell r="H46" t="str">
            <v>Cyclic+Event</v>
          </cell>
          <cell r="I46">
            <v>500</v>
          </cell>
        </row>
        <row r="47">
          <cell r="B47" t="str">
            <v>C2U2A_Vol4_D</v>
          </cell>
          <cell r="C47" t="str">
            <v>C2U2A_Vol4_D__[n]</v>
          </cell>
          <cell r="D47">
            <v>0</v>
          </cell>
          <cell r="E47" t="str">
            <v>0x0E04FF(01~18)</v>
          </cell>
          <cell r="F47">
            <v>8</v>
          </cell>
          <cell r="G47" t="str">
            <v>CSC_[n]</v>
          </cell>
          <cell r="H47" t="str">
            <v>Cyclic+Event</v>
          </cell>
          <cell r="I47">
            <v>500</v>
          </cell>
        </row>
        <row r="48">
          <cell r="B48" t="str">
            <v>C2U2A_Vol5_D</v>
          </cell>
          <cell r="C48" t="str">
            <v>C2U2A_Vol5_D__[n]</v>
          </cell>
          <cell r="D48">
            <v>0</v>
          </cell>
          <cell r="E48" t="str">
            <v>0x0E05FF(01~18)</v>
          </cell>
          <cell r="F48">
            <v>8</v>
          </cell>
          <cell r="G48" t="str">
            <v>CSC_[n]</v>
          </cell>
          <cell r="H48" t="str">
            <v>Cyclic+Event</v>
          </cell>
          <cell r="I48">
            <v>500</v>
          </cell>
        </row>
        <row r="49">
          <cell r="B49" t="str">
            <v>C2U2A_Vol6_D</v>
          </cell>
          <cell r="C49" t="str">
            <v>C2U2A_Vol6_D__[n]</v>
          </cell>
          <cell r="D49">
            <v>0</v>
          </cell>
          <cell r="E49" t="str">
            <v>0x0E06FF(01~18)</v>
          </cell>
          <cell r="F49">
            <v>8</v>
          </cell>
          <cell r="G49" t="str">
            <v>CSC_[n]</v>
          </cell>
          <cell r="H49" t="str">
            <v>Cyclic+Event</v>
          </cell>
          <cell r="I49">
            <v>500</v>
          </cell>
        </row>
        <row r="50">
          <cell r="B50" t="str">
            <v>C2U2A_Vol7_D</v>
          </cell>
          <cell r="C50" t="str">
            <v>C2U2A_Vol7_D__[n]</v>
          </cell>
          <cell r="D50">
            <v>0</v>
          </cell>
          <cell r="E50" t="str">
            <v>0x0E17FF(01~18)</v>
          </cell>
          <cell r="F50">
            <v>8</v>
          </cell>
          <cell r="G50" t="str">
            <v>CSC_[n]</v>
          </cell>
          <cell r="H50" t="str">
            <v>Cyclic+Event</v>
          </cell>
          <cell r="I50">
            <v>500</v>
          </cell>
        </row>
        <row r="51">
          <cell r="B51" t="str">
            <v>C2U2A_Vol8_D</v>
          </cell>
          <cell r="C51" t="str">
            <v>C2U2A_Vol8_D__[n]</v>
          </cell>
          <cell r="D51">
            <v>0</v>
          </cell>
          <cell r="E51" t="str">
            <v>0x0E18FF(01~18)</v>
          </cell>
          <cell r="F51">
            <v>8</v>
          </cell>
          <cell r="G51" t="str">
            <v>CSC_[n]</v>
          </cell>
          <cell r="H51" t="str">
            <v>Cyclic+Event</v>
          </cell>
          <cell r="I51">
            <v>500</v>
          </cell>
        </row>
        <row r="52">
          <cell r="B52" t="str">
            <v>C2U2A_Vol9_D</v>
          </cell>
          <cell r="C52" t="str">
            <v>C2U2A_Vol9_D__[n]</v>
          </cell>
          <cell r="D52">
            <v>0</v>
          </cell>
          <cell r="E52" t="str">
            <v>0x0E19FF(01~18)</v>
          </cell>
          <cell r="F52">
            <v>8</v>
          </cell>
          <cell r="G52" t="str">
            <v>CSC_[n]</v>
          </cell>
          <cell r="H52" t="str">
            <v>Cyclic+Event</v>
          </cell>
          <cell r="I52">
            <v>500</v>
          </cell>
        </row>
        <row r="53">
          <cell r="B53" t="str">
            <v>C2U2A_Vol10_D</v>
          </cell>
          <cell r="C53" t="str">
            <v>C2U2A_Vol10_D__[n]</v>
          </cell>
          <cell r="D53">
            <v>0</v>
          </cell>
          <cell r="E53" t="str">
            <v>0x0E1AFF(01~18)</v>
          </cell>
          <cell r="F53">
            <v>8</v>
          </cell>
          <cell r="G53" t="str">
            <v>CSC_[n]</v>
          </cell>
          <cell r="H53" t="str">
            <v>Cyclic+Event</v>
          </cell>
          <cell r="I53">
            <v>500</v>
          </cell>
        </row>
        <row r="54">
          <cell r="B54" t="str">
            <v>C2U2A_Vol11_D</v>
          </cell>
          <cell r="C54" t="str">
            <v>C2U2A_Vol11_D__[n]</v>
          </cell>
          <cell r="D54">
            <v>0</v>
          </cell>
          <cell r="E54" t="str">
            <v>0x0E1BFF(01~18)</v>
          </cell>
          <cell r="F54">
            <v>8</v>
          </cell>
          <cell r="G54" t="str">
            <v>CSC_[n]</v>
          </cell>
          <cell r="H54" t="str">
            <v>Cyclic+Event</v>
          </cell>
          <cell r="I54">
            <v>500</v>
          </cell>
        </row>
        <row r="55">
          <cell r="B55" t="str">
            <v>C2U2A_Vol12_D</v>
          </cell>
          <cell r="C55" t="str">
            <v>C2U2A_Vol12_D__[n]</v>
          </cell>
          <cell r="D55">
            <v>0</v>
          </cell>
          <cell r="E55" t="str">
            <v>0x0E1CFF(01~18)</v>
          </cell>
          <cell r="F55">
            <v>8</v>
          </cell>
          <cell r="G55" t="str">
            <v>CSC_[n]</v>
          </cell>
          <cell r="H55" t="str">
            <v>Cyclic+Event</v>
          </cell>
          <cell r="I55">
            <v>500</v>
          </cell>
        </row>
        <row r="56">
          <cell r="B56" t="str">
            <v>C2U2A_Vol13_D</v>
          </cell>
          <cell r="C56" t="str">
            <v>C2U2A_Vol13_D__[n]</v>
          </cell>
          <cell r="D56">
            <v>0</v>
          </cell>
          <cell r="E56" t="str">
            <v>0x0E1DFF(01~18)</v>
          </cell>
          <cell r="F56">
            <v>8</v>
          </cell>
          <cell r="G56" t="str">
            <v>CSC_[n]</v>
          </cell>
          <cell r="H56" t="str">
            <v>Cyclic+Event</v>
          </cell>
          <cell r="I56">
            <v>500</v>
          </cell>
        </row>
        <row r="57">
          <cell r="B57" t="str">
            <v>C2U2A_Vol14_D</v>
          </cell>
          <cell r="C57" t="str">
            <v>C2U2A_Vol14_D__[n]</v>
          </cell>
          <cell r="D57">
            <v>0</v>
          </cell>
          <cell r="E57" t="str">
            <v>0x0E1EFF(01~18)</v>
          </cell>
          <cell r="F57">
            <v>8</v>
          </cell>
          <cell r="G57" t="str">
            <v>CSC_[n]</v>
          </cell>
          <cell r="H57" t="str">
            <v>Cyclic+Event</v>
          </cell>
          <cell r="I57">
            <v>500</v>
          </cell>
        </row>
        <row r="58">
          <cell r="B58" t="str">
            <v>C2U2A_Vol15_D</v>
          </cell>
          <cell r="C58" t="str">
            <v>C2U2A_Vol15_D__[n]</v>
          </cell>
          <cell r="D58">
            <v>0</v>
          </cell>
          <cell r="E58" t="str">
            <v>0x0E1FFF(01~18)</v>
          </cell>
          <cell r="F58">
            <v>8</v>
          </cell>
          <cell r="G58" t="str">
            <v>CSC_[n]</v>
          </cell>
          <cell r="H58" t="str">
            <v>Cyclic+Event</v>
          </cell>
          <cell r="I58">
            <v>500</v>
          </cell>
        </row>
        <row r="59">
          <cell r="B59" t="str">
            <v>C2U2A_Vol16_D</v>
          </cell>
          <cell r="C59" t="str">
            <v>C2U2A_Vol16_D__[n]</v>
          </cell>
          <cell r="D59">
            <v>0</v>
          </cell>
          <cell r="E59" t="str">
            <v>0x0E20FF(01~18)</v>
          </cell>
          <cell r="F59">
            <v>8</v>
          </cell>
          <cell r="G59" t="str">
            <v>CSC_[n]</v>
          </cell>
          <cell r="H59" t="str">
            <v>Cyclic+Event</v>
          </cell>
          <cell r="I59">
            <v>500</v>
          </cell>
        </row>
        <row r="60">
          <cell r="B60" t="str">
            <v>C2U2A_Vol17_D</v>
          </cell>
          <cell r="C60" t="str">
            <v>C2U2A_Vol17_D__[n]</v>
          </cell>
          <cell r="D60">
            <v>0</v>
          </cell>
          <cell r="E60" t="str">
            <v>0x0E21FF(01~18)</v>
          </cell>
          <cell r="F60">
            <v>8</v>
          </cell>
          <cell r="G60" t="str">
            <v>CSC_[n]</v>
          </cell>
          <cell r="H60" t="str">
            <v>Cyclic+Event</v>
          </cell>
          <cell r="I60">
            <v>500</v>
          </cell>
        </row>
        <row r="61">
          <cell r="B61" t="str">
            <v>C2U2A_Vol18_D</v>
          </cell>
          <cell r="C61" t="str">
            <v>C2U2A_Vol18_D__[n]</v>
          </cell>
          <cell r="D61">
            <v>0</v>
          </cell>
          <cell r="E61" t="str">
            <v>0x0E22FF(01~18)</v>
          </cell>
          <cell r="F61">
            <v>8</v>
          </cell>
          <cell r="G61" t="str">
            <v>CSC_[n]</v>
          </cell>
          <cell r="H61" t="str">
            <v>Cyclic+Event</v>
          </cell>
          <cell r="I61">
            <v>500</v>
          </cell>
        </row>
        <row r="62">
          <cell r="B62" t="str">
            <v>C2U2A_Vol19_D</v>
          </cell>
          <cell r="C62" t="str">
            <v>C2U2A_Vol19_D__[n]</v>
          </cell>
          <cell r="D62">
            <v>0</v>
          </cell>
          <cell r="E62" t="str">
            <v>0x0E23FF(01~18)</v>
          </cell>
          <cell r="F62">
            <v>8</v>
          </cell>
          <cell r="G62" t="str">
            <v>CSC_[n]</v>
          </cell>
          <cell r="H62" t="str">
            <v>Cyclic+Event</v>
          </cell>
          <cell r="I62">
            <v>500</v>
          </cell>
        </row>
        <row r="63">
          <cell r="B63" t="str">
            <v>C2U2A_Vol20_D</v>
          </cell>
          <cell r="C63" t="str">
            <v>C2U2A_Vol20_D__[n]</v>
          </cell>
          <cell r="D63">
            <v>0</v>
          </cell>
          <cell r="E63" t="str">
            <v>0x0E24FF(01~18)</v>
          </cell>
          <cell r="F63">
            <v>8</v>
          </cell>
          <cell r="G63" t="str">
            <v>CSC_[n]</v>
          </cell>
          <cell r="H63" t="str">
            <v>Cyclic+Event</v>
          </cell>
          <cell r="I63">
            <v>500</v>
          </cell>
        </row>
        <row r="64">
          <cell r="B64" t="str">
            <v>C2U2A_Vol21_D</v>
          </cell>
          <cell r="C64" t="str">
            <v>C2U2A_Vol21_D__[n]</v>
          </cell>
          <cell r="D64">
            <v>0</v>
          </cell>
          <cell r="E64" t="str">
            <v>0x0E25FF(01~18)</v>
          </cell>
          <cell r="F64">
            <v>8</v>
          </cell>
          <cell r="G64" t="str">
            <v>CSC_[n]</v>
          </cell>
          <cell r="H64" t="str">
            <v>Cyclic+Event</v>
          </cell>
          <cell r="I64">
            <v>500</v>
          </cell>
        </row>
        <row r="65">
          <cell r="B65" t="str">
            <v>C2U2A_Vol22_D</v>
          </cell>
          <cell r="C65" t="str">
            <v>C2U2A_Vol22_D__[n]</v>
          </cell>
          <cell r="D65">
            <v>0</v>
          </cell>
          <cell r="E65" t="str">
            <v>0x0E26FF(01~18)</v>
          </cell>
          <cell r="F65">
            <v>8</v>
          </cell>
          <cell r="G65" t="str">
            <v>CSC_[n]</v>
          </cell>
          <cell r="H65" t="str">
            <v>Cyclic+Event</v>
          </cell>
          <cell r="I65">
            <v>500</v>
          </cell>
        </row>
        <row r="66">
          <cell r="B66" t="str">
            <v>C2U2A_Vol23_D</v>
          </cell>
          <cell r="C66" t="str">
            <v>C2U2A_Vol23_D__[n]</v>
          </cell>
          <cell r="D66">
            <v>0</v>
          </cell>
          <cell r="E66" t="str">
            <v>0x0E27FF(01~18)</v>
          </cell>
          <cell r="F66">
            <v>8</v>
          </cell>
          <cell r="G66" t="str">
            <v>CSC_[n]</v>
          </cell>
          <cell r="H66" t="str">
            <v>Cyclic+Event</v>
          </cell>
          <cell r="I66">
            <v>500</v>
          </cell>
        </row>
        <row r="67">
          <cell r="B67" t="str">
            <v>C2U2A_Vol24_D</v>
          </cell>
          <cell r="C67" t="str">
            <v>C2U2A_Vol24_D__[n]</v>
          </cell>
          <cell r="D67">
            <v>0</v>
          </cell>
          <cell r="E67" t="str">
            <v>0x0E28FF(01~18)</v>
          </cell>
          <cell r="F67">
            <v>8</v>
          </cell>
          <cell r="G67" t="str">
            <v>CSC_[n]</v>
          </cell>
          <cell r="H67" t="str">
            <v>Cyclic+Event</v>
          </cell>
          <cell r="I67">
            <v>500</v>
          </cell>
        </row>
        <row r="68">
          <cell r="B68" t="str">
            <v>C2U2A_Vol25_D</v>
          </cell>
          <cell r="C68" t="str">
            <v>C2U2A_Vol25_D__[n]</v>
          </cell>
          <cell r="D68">
            <v>0</v>
          </cell>
          <cell r="E68" t="str">
            <v>0x0E29FF(01~18)</v>
          </cell>
          <cell r="F68">
            <v>8</v>
          </cell>
          <cell r="G68" t="str">
            <v>CSC_[n]</v>
          </cell>
          <cell r="H68" t="str">
            <v>Cyclic+Event</v>
          </cell>
          <cell r="I68">
            <v>500</v>
          </cell>
        </row>
        <row r="69">
          <cell r="B69" t="str">
            <v>C2U2A_Vol26_D</v>
          </cell>
          <cell r="C69" t="str">
            <v>C2U2A_Vol26_D__[n]</v>
          </cell>
          <cell r="D69">
            <v>0</v>
          </cell>
          <cell r="E69" t="str">
            <v>0x0E2AFF(01~18)</v>
          </cell>
          <cell r="F69">
            <v>8</v>
          </cell>
          <cell r="G69" t="str">
            <v>CSC_[n]</v>
          </cell>
          <cell r="H69" t="str">
            <v>Cyclic+Event</v>
          </cell>
          <cell r="I69">
            <v>500</v>
          </cell>
        </row>
        <row r="70">
          <cell r="B70" t="str">
            <v>C2U2A_Vol27_D</v>
          </cell>
          <cell r="C70" t="str">
            <v>C2U2A_Vol27_D__[n]</v>
          </cell>
          <cell r="D70">
            <v>0</v>
          </cell>
          <cell r="E70" t="str">
            <v>0x0E2BFF(01~18)</v>
          </cell>
          <cell r="F70">
            <v>8</v>
          </cell>
          <cell r="G70" t="str">
            <v>CSC_[n]</v>
          </cell>
          <cell r="H70" t="str">
            <v>Cyclic+Event</v>
          </cell>
          <cell r="I70">
            <v>500</v>
          </cell>
        </row>
        <row r="71">
          <cell r="B71" t="str">
            <v>C2U2A_Vol28_D</v>
          </cell>
          <cell r="C71" t="str">
            <v>C2U2A_Vol28_D__[n]</v>
          </cell>
          <cell r="D71">
            <v>0</v>
          </cell>
          <cell r="E71" t="str">
            <v>0x0E2CFF(01~18)</v>
          </cell>
          <cell r="F71">
            <v>8</v>
          </cell>
          <cell r="G71" t="str">
            <v>CSC_[n]</v>
          </cell>
          <cell r="H71" t="str">
            <v>Cyclic+Event</v>
          </cell>
          <cell r="I71">
            <v>500</v>
          </cell>
        </row>
        <row r="72">
          <cell r="B72" t="str">
            <v>C2U2A_Tem1_D</v>
          </cell>
          <cell r="C72" t="str">
            <v>C2U2A_Tem1_D__[n]</v>
          </cell>
          <cell r="D72">
            <v>0</v>
          </cell>
          <cell r="E72" t="str">
            <v>0x0E07FF(01~18)</v>
          </cell>
          <cell r="F72">
            <v>8</v>
          </cell>
          <cell r="G72" t="str">
            <v>CSC_[n]</v>
          </cell>
          <cell r="H72" t="str">
            <v>Cyclic+Event</v>
          </cell>
          <cell r="I72">
            <v>1000</v>
          </cell>
        </row>
        <row r="73">
          <cell r="B73" t="str">
            <v>C2U2A_Tem2_D</v>
          </cell>
          <cell r="C73" t="str">
            <v>C2U2A_Tem2_D__[n]</v>
          </cell>
          <cell r="D73">
            <v>0</v>
          </cell>
          <cell r="E73" t="str">
            <v>0x0E08FF(01~18)</v>
          </cell>
          <cell r="F73">
            <v>8</v>
          </cell>
          <cell r="G73" t="str">
            <v>CSC_[n]</v>
          </cell>
          <cell r="H73" t="str">
            <v>Cyclic+Event</v>
          </cell>
          <cell r="I73">
            <v>1000</v>
          </cell>
        </row>
        <row r="74">
          <cell r="B74" t="str">
            <v>C2U2A_Tem3_D</v>
          </cell>
          <cell r="C74" t="str">
            <v>C2U2A_Tem3_D__[n]</v>
          </cell>
          <cell r="D74">
            <v>0</v>
          </cell>
          <cell r="E74" t="str">
            <v>0x0E09FF(01~18)</v>
          </cell>
          <cell r="F74">
            <v>8</v>
          </cell>
          <cell r="G74" t="str">
            <v>CSC_[n]</v>
          </cell>
          <cell r="H74" t="str">
            <v>Cyclic+Event</v>
          </cell>
          <cell r="I74">
            <v>1000</v>
          </cell>
        </row>
        <row r="75">
          <cell r="B75" t="str">
            <v>C2U2A_Tem4_D</v>
          </cell>
          <cell r="C75" t="str">
            <v>C2U2A_Tem4_D__[n]</v>
          </cell>
          <cell r="D75">
            <v>0</v>
          </cell>
          <cell r="E75" t="str">
            <v>0x0E0BFF(01~18)</v>
          </cell>
          <cell r="F75">
            <v>8</v>
          </cell>
          <cell r="G75" t="str">
            <v>CSC_[n]</v>
          </cell>
          <cell r="H75" t="str">
            <v>Cyclic+Event</v>
          </cell>
          <cell r="I75">
            <v>1000</v>
          </cell>
        </row>
        <row r="76">
          <cell r="B76" t="str">
            <v>C2U2A_Tem5_D</v>
          </cell>
          <cell r="C76" t="str">
            <v>C2U2A_Tem5_D__[n]</v>
          </cell>
          <cell r="D76">
            <v>0</v>
          </cell>
          <cell r="E76" t="str">
            <v>0x0E0CFF(01~18)</v>
          </cell>
          <cell r="F76">
            <v>8</v>
          </cell>
          <cell r="G76" t="str">
            <v>CSC_[n]</v>
          </cell>
          <cell r="H76" t="str">
            <v>Cyclic+Event</v>
          </cell>
          <cell r="I76">
            <v>1000</v>
          </cell>
        </row>
        <row r="77">
          <cell r="B77" t="str">
            <v>C2U2A_Tem6_D</v>
          </cell>
          <cell r="C77" t="str">
            <v>C2U2A_Tem6_D__[n]</v>
          </cell>
          <cell r="D77">
            <v>0</v>
          </cell>
          <cell r="E77" t="str">
            <v>0x0E0DFF(01~18)</v>
          </cell>
          <cell r="F77">
            <v>8</v>
          </cell>
          <cell r="G77" t="str">
            <v>CSC_[n]</v>
          </cell>
          <cell r="H77" t="str">
            <v>Event</v>
          </cell>
          <cell r="I77">
            <v>0</v>
          </cell>
        </row>
        <row r="78">
          <cell r="B78" t="str">
            <v>C2U2A_ID1_D</v>
          </cell>
          <cell r="C78" t="str">
            <v>C2U2A_ID1_D__[n]</v>
          </cell>
          <cell r="D78">
            <v>0</v>
          </cell>
          <cell r="E78" t="str">
            <v>0x0801FF(01~18)</v>
          </cell>
          <cell r="F78">
            <v>8</v>
          </cell>
          <cell r="G78" t="str">
            <v>CSC_[n]</v>
          </cell>
          <cell r="H78" t="str">
            <v>Event</v>
          </cell>
          <cell r="I78">
            <v>0</v>
          </cell>
        </row>
        <row r="79">
          <cell r="B79" t="str">
            <v>C2U2A_ID2_D</v>
          </cell>
          <cell r="C79" t="str">
            <v>C2U2A_ID2_D__[n]</v>
          </cell>
          <cell r="D79">
            <v>0</v>
          </cell>
          <cell r="E79" t="str">
            <v>0x0802FF(01~18)</v>
          </cell>
          <cell r="F79">
            <v>8</v>
          </cell>
          <cell r="G79" t="str">
            <v>CSC_[n]</v>
          </cell>
          <cell r="H79" t="str">
            <v>Event</v>
          </cell>
          <cell r="I79">
            <v>0</v>
          </cell>
        </row>
        <row r="80">
          <cell r="B80" t="str">
            <v>C2U2A_ID3_D</v>
          </cell>
          <cell r="C80" t="str">
            <v>C2U2A_ID3_D__[n]</v>
          </cell>
          <cell r="D80">
            <v>0</v>
          </cell>
          <cell r="E80" t="str">
            <v>0x0803FF(01~18)</v>
          </cell>
          <cell r="F80">
            <v>8</v>
          </cell>
          <cell r="G80" t="str">
            <v>CSC_[n]</v>
          </cell>
          <cell r="H80" t="str">
            <v>Event</v>
          </cell>
          <cell r="I80">
            <v>0</v>
          </cell>
        </row>
        <row r="81">
          <cell r="B81" t="str">
            <v>C2U2A_ID4_D</v>
          </cell>
          <cell r="C81" t="str">
            <v>C2U2A_ID4_D__[n]</v>
          </cell>
          <cell r="D81">
            <v>0</v>
          </cell>
          <cell r="E81" t="str">
            <v>0x0804FF(01~18)</v>
          </cell>
          <cell r="F81">
            <v>8</v>
          </cell>
          <cell r="G81" t="str">
            <v>CSC_[n]</v>
          </cell>
          <cell r="H81" t="str">
            <v>Event</v>
          </cell>
          <cell r="I81">
            <v>0</v>
          </cell>
        </row>
        <row r="82">
          <cell r="B82" t="str">
            <v>C2U2A_ID5_D</v>
          </cell>
          <cell r="C82" t="str">
            <v>C2U2A_ID5_D__[n]</v>
          </cell>
          <cell r="D82">
            <v>0</v>
          </cell>
          <cell r="E82" t="str">
            <v>0x0805FF(01~18)</v>
          </cell>
          <cell r="F82">
            <v>8</v>
          </cell>
          <cell r="G82" t="str">
            <v>CSC_[n]</v>
          </cell>
          <cell r="H82" t="str">
            <v>Event</v>
          </cell>
          <cell r="I82">
            <v>0</v>
          </cell>
        </row>
        <row r="83">
          <cell r="B83" t="str">
            <v>H2A_SUMDATA1_D</v>
          </cell>
          <cell r="C83" t="str">
            <v>H2A_SUMDATA1_D</v>
          </cell>
          <cell r="D83">
            <v>0</v>
          </cell>
          <cell r="E83" t="str">
            <v>0x0801FF91</v>
          </cell>
          <cell r="F83">
            <v>8</v>
          </cell>
          <cell r="G83" t="str">
            <v>HVB</v>
          </cell>
          <cell r="H83" t="str">
            <v>Cyclic+Event</v>
          </cell>
          <cell r="I83">
            <v>500</v>
          </cell>
        </row>
        <row r="84">
          <cell r="B84" t="str">
            <v>H2A_SUMDATA2_D</v>
          </cell>
          <cell r="C84" t="str">
            <v>H2A_SUMDATA2_D</v>
          </cell>
          <cell r="D84">
            <v>0</v>
          </cell>
          <cell r="E84" t="str">
            <v>0x0802FF91</v>
          </cell>
          <cell r="F84">
            <v>8</v>
          </cell>
          <cell r="G84" t="str">
            <v>HVB</v>
          </cell>
          <cell r="H84" t="str">
            <v>Cyclic+Event</v>
          </cell>
          <cell r="I84">
            <v>500</v>
          </cell>
        </row>
        <row r="85">
          <cell r="B85" t="str">
            <v>H2A_SUMDATA3_D</v>
          </cell>
          <cell r="C85" t="str">
            <v>H2A_SUMDATA3_D</v>
          </cell>
          <cell r="D85">
            <v>0</v>
          </cell>
          <cell r="E85" t="str">
            <v>0x0803FF91</v>
          </cell>
          <cell r="F85">
            <v>8</v>
          </cell>
          <cell r="G85" t="str">
            <v>HVB</v>
          </cell>
          <cell r="H85" t="str">
            <v>Cyclic+Event</v>
          </cell>
          <cell r="I85">
            <v>500</v>
          </cell>
        </row>
        <row r="86">
          <cell r="B86" t="str">
            <v>H2A_SUMDATA4_D</v>
          </cell>
          <cell r="C86" t="str">
            <v>H2A_SUMDATA4_D</v>
          </cell>
          <cell r="D86">
            <v>0</v>
          </cell>
          <cell r="E86" t="str">
            <v>0x0804FF91</v>
          </cell>
          <cell r="F86">
            <v>8</v>
          </cell>
          <cell r="G86" t="str">
            <v>HVB</v>
          </cell>
          <cell r="H86" t="str">
            <v>Cyclic+Event</v>
          </cell>
          <cell r="I86">
            <v>1000</v>
          </cell>
        </row>
        <row r="87">
          <cell r="B87" t="str">
            <v>H2A_ID1_D</v>
          </cell>
          <cell r="C87" t="str">
            <v>H2A_ID1_D</v>
          </cell>
          <cell r="D87">
            <v>0</v>
          </cell>
          <cell r="E87" t="str">
            <v>0x080AFF91</v>
          </cell>
          <cell r="F87">
            <v>8</v>
          </cell>
          <cell r="G87" t="str">
            <v>HVB</v>
          </cell>
          <cell r="H87" t="str">
            <v>Event</v>
          </cell>
          <cell r="I87">
            <v>0</v>
          </cell>
        </row>
        <row r="88">
          <cell r="B88" t="str">
            <v>H2A_ID2_D</v>
          </cell>
          <cell r="C88" t="str">
            <v>H2A_ID2_D</v>
          </cell>
          <cell r="D88">
            <v>0</v>
          </cell>
          <cell r="E88" t="str">
            <v>0x080BFF91</v>
          </cell>
          <cell r="F88">
            <v>8</v>
          </cell>
          <cell r="G88" t="str">
            <v>HVB</v>
          </cell>
          <cell r="H88" t="str">
            <v>Event</v>
          </cell>
          <cell r="I88">
            <v>0</v>
          </cell>
        </row>
        <row r="89">
          <cell r="B89" t="str">
            <v>H2A_ID3_D</v>
          </cell>
          <cell r="C89" t="str">
            <v>H2A_ID3_D</v>
          </cell>
          <cell r="D89">
            <v>0</v>
          </cell>
          <cell r="E89" t="str">
            <v>0x080CFF91</v>
          </cell>
          <cell r="F89">
            <v>8</v>
          </cell>
          <cell r="G89" t="str">
            <v>HVB</v>
          </cell>
          <cell r="H89" t="str">
            <v>Event</v>
          </cell>
          <cell r="I89">
            <v>0</v>
          </cell>
        </row>
        <row r="90">
          <cell r="B90" t="str">
            <v>H2A_ID4_D</v>
          </cell>
          <cell r="C90" t="str">
            <v>H2A_ID4_D</v>
          </cell>
          <cell r="D90">
            <v>0</v>
          </cell>
          <cell r="E90" t="str">
            <v>0x080DFF91</v>
          </cell>
          <cell r="F90">
            <v>8</v>
          </cell>
          <cell r="G90" t="str">
            <v>HVB</v>
          </cell>
          <cell r="H90" t="str">
            <v>Event</v>
          </cell>
          <cell r="I90">
            <v>0</v>
          </cell>
        </row>
        <row r="91">
          <cell r="B91" t="str">
            <v>H2A_ID5_D</v>
          </cell>
          <cell r="C91" t="str">
            <v>H2A_ID5_D</v>
          </cell>
          <cell r="D91">
            <v>0</v>
          </cell>
          <cell r="E91" t="str">
            <v>0x080EFF91</v>
          </cell>
          <cell r="F91">
            <v>8</v>
          </cell>
          <cell r="G91" t="str">
            <v>HVB</v>
          </cell>
          <cell r="H91" t="str">
            <v>Event</v>
          </cell>
          <cell r="I91">
            <v>0</v>
          </cell>
        </row>
        <row r="92">
          <cell r="B92" t="str">
            <v>PDB2A_SUMDATA1_D</v>
          </cell>
          <cell r="C92" t="str">
            <v>PDB2A_SUMDATA1_D</v>
          </cell>
          <cell r="D92">
            <v>0</v>
          </cell>
          <cell r="E92" t="str">
            <v>0x0801FFA1</v>
          </cell>
          <cell r="F92">
            <v>8</v>
          </cell>
          <cell r="G92" t="str">
            <v>PDB</v>
          </cell>
          <cell r="H92" t="str">
            <v>Cyclic+Event</v>
          </cell>
          <cell r="I92">
            <v>500</v>
          </cell>
        </row>
        <row r="93">
          <cell r="B93" t="str">
            <v>PDB2A_ID1_D</v>
          </cell>
          <cell r="C93" t="str">
            <v>PDB2A_ID1_D</v>
          </cell>
          <cell r="D93">
            <v>0</v>
          </cell>
          <cell r="E93" t="str">
            <v>0x080AFFA1</v>
          </cell>
          <cell r="F93">
            <v>8</v>
          </cell>
          <cell r="G93" t="str">
            <v>PDB</v>
          </cell>
          <cell r="H93" t="str">
            <v>Event</v>
          </cell>
          <cell r="I93">
            <v>0</v>
          </cell>
        </row>
        <row r="94">
          <cell r="B94" t="str">
            <v>PDB2A_ID2_D</v>
          </cell>
          <cell r="C94" t="str">
            <v>PDB2A_ID2_D</v>
          </cell>
          <cell r="D94">
            <v>0</v>
          </cell>
          <cell r="E94" t="str">
            <v>0x080BFFA1</v>
          </cell>
          <cell r="F94">
            <v>8</v>
          </cell>
          <cell r="G94" t="str">
            <v>PDB</v>
          </cell>
          <cell r="H94" t="str">
            <v>Event</v>
          </cell>
          <cell r="I94">
            <v>0</v>
          </cell>
        </row>
        <row r="95">
          <cell r="B95" t="str">
            <v>PDB2A_ID3_D</v>
          </cell>
          <cell r="C95" t="str">
            <v>PDB2A_ID3_D</v>
          </cell>
          <cell r="D95">
            <v>0</v>
          </cell>
          <cell r="E95" t="str">
            <v>0x080CFFA1</v>
          </cell>
          <cell r="F95">
            <v>8</v>
          </cell>
          <cell r="G95" t="str">
            <v>PDB</v>
          </cell>
          <cell r="H95" t="str">
            <v>Event</v>
          </cell>
          <cell r="I95">
            <v>0</v>
          </cell>
        </row>
        <row r="96">
          <cell r="B96" t="str">
            <v>PDB2A_ID4_D</v>
          </cell>
          <cell r="C96" t="str">
            <v>PDB2A_ID4_D</v>
          </cell>
          <cell r="D96">
            <v>0</v>
          </cell>
          <cell r="E96" t="str">
            <v>0x080DFFA1</v>
          </cell>
          <cell r="F96">
            <v>8</v>
          </cell>
          <cell r="G96" t="str">
            <v>PDB</v>
          </cell>
          <cell r="H96" t="str">
            <v>Event</v>
          </cell>
          <cell r="I96">
            <v>0</v>
          </cell>
        </row>
        <row r="97">
          <cell r="B97" t="str">
            <v>PDB2A_ID5_D</v>
          </cell>
          <cell r="C97" t="str">
            <v>PDB2A_ID5_D</v>
          </cell>
          <cell r="D97">
            <v>0</v>
          </cell>
          <cell r="E97" t="str">
            <v>0x080EFFA1</v>
          </cell>
          <cell r="F97">
            <v>8</v>
          </cell>
          <cell r="G97" t="str">
            <v>PDB</v>
          </cell>
          <cell r="H97" t="str">
            <v>Event</v>
          </cell>
          <cell r="I97">
            <v>0</v>
          </cell>
        </row>
        <row r="98">
          <cell r="B98" t="str">
            <v>P2A_RQIDs_D</v>
          </cell>
          <cell r="C98" t="str">
            <v>P2A_RQIDs_D</v>
          </cell>
          <cell r="D98">
            <v>0</v>
          </cell>
          <cell r="E98" t="str">
            <v>0x0103FFEE</v>
          </cell>
          <cell r="F98">
            <v>8</v>
          </cell>
          <cell r="G98" t="str">
            <v>PC</v>
          </cell>
          <cell r="H98" t="str">
            <v>Event</v>
          </cell>
          <cell r="I98">
            <v>0</v>
          </cell>
        </row>
        <row r="99">
          <cell r="B99" t="str">
            <v>P2U_ReservedF1</v>
          </cell>
          <cell r="C99" t="str">
            <v>P2U_ReservedF1</v>
          </cell>
          <cell r="D99">
            <v>0</v>
          </cell>
          <cell r="E99" t="str">
            <v>0x0C0141EE</v>
          </cell>
          <cell r="F99">
            <v>8</v>
          </cell>
          <cell r="G99" t="str">
            <v>PC</v>
          </cell>
          <cell r="H99" t="str">
            <v>Event</v>
          </cell>
          <cell r="I99">
            <v>0</v>
          </cell>
        </row>
        <row r="100">
          <cell r="B100" t="str">
            <v>U2P_ReservedF1</v>
          </cell>
          <cell r="C100" t="str">
            <v>U2P_ReservedF1</v>
          </cell>
          <cell r="D100">
            <v>0</v>
          </cell>
          <cell r="E100" t="str">
            <v>0x0C01EE41</v>
          </cell>
          <cell r="F100">
            <v>8</v>
          </cell>
          <cell r="G100" t="str">
            <v>BMU</v>
          </cell>
          <cell r="H100" t="str">
            <v>Event</v>
          </cell>
          <cell r="I100">
            <v>0</v>
          </cell>
        </row>
        <row r="101">
          <cell r="B101" t="str">
            <v>P2U_Index_D</v>
          </cell>
          <cell r="C101" t="str">
            <v>P2U_Index_D</v>
          </cell>
          <cell r="D101">
            <v>0</v>
          </cell>
          <cell r="E101" t="str">
            <v>0x1D0141EE</v>
          </cell>
          <cell r="F101">
            <v>8</v>
          </cell>
          <cell r="G101" t="str">
            <v>PC</v>
          </cell>
          <cell r="H101" t="str">
            <v>Event</v>
          </cell>
          <cell r="I101">
            <v>0</v>
          </cell>
        </row>
        <row r="102">
          <cell r="B102" t="str">
            <v>U2P_Index_D</v>
          </cell>
          <cell r="C102" t="str">
            <v>U2P_Index_D</v>
          </cell>
          <cell r="D102">
            <v>0</v>
          </cell>
          <cell r="E102" t="str">
            <v>0x0A00EE41</v>
          </cell>
          <cell r="F102">
            <v>8</v>
          </cell>
          <cell r="G102" t="str">
            <v>BMU</v>
          </cell>
          <cell r="H102" t="str">
            <v>Event</v>
          </cell>
          <cell r="I102">
            <v>0</v>
          </cell>
        </row>
        <row r="103">
          <cell r="B103" t="str">
            <v>C2U2A_Stats1_D</v>
          </cell>
          <cell r="C103" t="str">
            <v>C2U2A_Stats1_D__[n]</v>
          </cell>
          <cell r="D103">
            <v>0</v>
          </cell>
          <cell r="E103" t="str">
            <v>0x0A02FF(01~18)</v>
          </cell>
          <cell r="F103">
            <v>8</v>
          </cell>
          <cell r="G103" t="str">
            <v>CSC_[n]</v>
          </cell>
          <cell r="H103" t="str">
            <v>Cyclic+Event</v>
          </cell>
          <cell r="I103">
            <v>500</v>
          </cell>
        </row>
        <row r="104">
          <cell r="B104" t="str">
            <v>C2U2A_Stats5_D</v>
          </cell>
          <cell r="C104" t="str">
            <v>C2U2A_Stats5_D__[n]</v>
          </cell>
          <cell r="D104">
            <v>0</v>
          </cell>
          <cell r="E104" t="str">
            <v>0x0A08FF(01~18)</v>
          </cell>
          <cell r="F104">
            <v>8</v>
          </cell>
          <cell r="G104" t="str">
            <v>CSC_[n]</v>
          </cell>
          <cell r="H104" t="str">
            <v>Cyclic+Event</v>
          </cell>
          <cell r="I104">
            <v>1000</v>
          </cell>
        </row>
        <row r="105">
          <cell r="B105" t="str">
            <v>R2U_RQPNSN</v>
          </cell>
          <cell r="C105" t="str">
            <v>R2U_RQPNSN</v>
          </cell>
          <cell r="D105">
            <v>0</v>
          </cell>
          <cell r="E105" t="str">
            <v>0x0102FFFE</v>
          </cell>
          <cell r="F105">
            <v>8</v>
          </cell>
          <cell r="G105" t="str">
            <v>RDB</v>
          </cell>
          <cell r="H105" t="str">
            <v>Event</v>
          </cell>
          <cell r="I105">
            <v>0</v>
          </cell>
        </row>
        <row r="106">
          <cell r="B106" t="str">
            <v>C2U2A_PN</v>
          </cell>
          <cell r="C106" t="str">
            <v>C2U2A_PN__[n]</v>
          </cell>
          <cell r="D106">
            <v>0</v>
          </cell>
          <cell r="E106" t="str">
            <v>0x080AFF(01~18)</v>
          </cell>
          <cell r="F106">
            <v>8</v>
          </cell>
          <cell r="G106" t="str">
            <v>CSC_[n]</v>
          </cell>
          <cell r="H106" t="str">
            <v>Event</v>
          </cell>
          <cell r="I106">
            <v>0</v>
          </cell>
        </row>
        <row r="107">
          <cell r="B107" t="str">
            <v>C2U2A_SN</v>
          </cell>
          <cell r="C107" t="str">
            <v>C2U2A_SN__[n]</v>
          </cell>
          <cell r="D107">
            <v>0</v>
          </cell>
          <cell r="E107" t="str">
            <v>0x080BFF(01~18)</v>
          </cell>
          <cell r="F107">
            <v>8</v>
          </cell>
          <cell r="G107" t="str">
            <v>CSC_[n]</v>
          </cell>
          <cell r="H107" t="str">
            <v>Event</v>
          </cell>
          <cell r="I107">
            <v>0</v>
          </cell>
        </row>
        <row r="108">
          <cell r="B108" t="str">
            <v>U2P_CheckResult</v>
          </cell>
          <cell r="C108" t="str">
            <v>U2P_CheckResult</v>
          </cell>
          <cell r="D108">
            <v>0</v>
          </cell>
          <cell r="E108" t="str">
            <v>0x0A01EE41</v>
          </cell>
          <cell r="F108">
            <v>8</v>
          </cell>
          <cell r="G108" t="str">
            <v>BMU</v>
          </cell>
          <cell r="H108" t="str">
            <v>Event</v>
          </cell>
          <cell r="I108">
            <v>0</v>
          </cell>
        </row>
      </sheetData>
      <sheetData sheetId="3"/>
      <sheetData sheetId="4"/>
      <sheetData sheetId="5"/>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264"/>
  <sheetViews>
    <sheetView showGridLines="0" tabSelected="1" topLeftCell="H1" zoomScaleNormal="100" workbookViewId="0">
      <pane ySplit="1" topLeftCell="A47" activePane="bottomLeft" state="frozen"/>
      <selection activeCell="A26" sqref="A26"/>
      <selection pane="bottomLeft" activeCell="U54" sqref="U54"/>
    </sheetView>
  </sheetViews>
  <sheetFormatPr defaultRowHeight="15"/>
  <cols>
    <col min="1" max="1" width="5.125" style="33" customWidth="1"/>
    <col min="2" max="2" width="16.125" style="34" customWidth="1"/>
    <col min="3" max="3" width="9.375" style="34" customWidth="1"/>
    <col min="4" max="4" width="13.875" style="34" bestFit="1" customWidth="1"/>
    <col min="5" max="5" width="18" style="34" customWidth="1"/>
    <col min="6" max="6" width="4.375" style="34" customWidth="1"/>
    <col min="7" max="7" width="14.625" style="34" bestFit="1" customWidth="1"/>
    <col min="8" max="8" width="10.5" style="34" customWidth="1"/>
    <col min="9" max="10" width="7.375" style="34" customWidth="1"/>
    <col min="11" max="11" width="19.75" style="34" customWidth="1"/>
    <col min="12" max="12" width="6" style="34" customWidth="1"/>
    <col min="13" max="13" width="6.125" style="34" customWidth="1"/>
    <col min="14" max="14" width="6.125" style="34" hidden="1" customWidth="1"/>
    <col min="15" max="15" width="6" style="34" hidden="1" customWidth="1"/>
    <col min="16" max="16" width="9.125" style="34" hidden="1" customWidth="1"/>
    <col min="17" max="17" width="4.5" style="34" hidden="1" customWidth="1"/>
    <col min="18" max="18" width="5.5" style="34" hidden="1" customWidth="1"/>
    <col min="19" max="19" width="6.75" style="34" hidden="1" customWidth="1"/>
    <col min="20" max="20" width="10" style="34" hidden="1" customWidth="1"/>
    <col min="21" max="21" width="24.375" style="35" customWidth="1"/>
    <col min="22" max="22" width="21.875" style="36" customWidth="1"/>
    <col min="23" max="24" width="13.25" style="37" customWidth="1"/>
    <col min="25" max="25" width="19.75" style="37" bestFit="1" customWidth="1"/>
    <col min="26" max="16384" width="9" style="30"/>
  </cols>
  <sheetData>
    <row r="1" spans="1:25">
      <c r="A1" s="1" t="s">
        <v>232</v>
      </c>
      <c r="B1" s="1" t="s">
        <v>233</v>
      </c>
      <c r="C1" s="1" t="s">
        <v>234</v>
      </c>
      <c r="D1" s="1" t="s">
        <v>235</v>
      </c>
      <c r="E1" s="1" t="s">
        <v>236</v>
      </c>
      <c r="F1" s="1" t="s">
        <v>237</v>
      </c>
      <c r="G1" s="1" t="s">
        <v>238</v>
      </c>
      <c r="H1" s="1" t="s">
        <v>239</v>
      </c>
      <c r="I1" s="1" t="s">
        <v>240</v>
      </c>
      <c r="J1" s="1" t="s">
        <v>241</v>
      </c>
      <c r="K1" s="1" t="s">
        <v>242</v>
      </c>
      <c r="L1" s="1" t="s">
        <v>243</v>
      </c>
      <c r="M1" s="1" t="s">
        <v>244</v>
      </c>
      <c r="N1" s="1" t="s">
        <v>245</v>
      </c>
      <c r="O1" s="1" t="s">
        <v>246</v>
      </c>
      <c r="P1" s="1" t="s">
        <v>247</v>
      </c>
      <c r="Q1" s="1" t="s">
        <v>248</v>
      </c>
      <c r="R1" s="1" t="s">
        <v>249</v>
      </c>
      <c r="S1" s="1" t="s">
        <v>250</v>
      </c>
      <c r="T1" s="1" t="s">
        <v>251</v>
      </c>
      <c r="U1" s="1" t="s">
        <v>252</v>
      </c>
      <c r="V1" s="1" t="s">
        <v>1025</v>
      </c>
      <c r="W1" s="1" t="s">
        <v>857</v>
      </c>
      <c r="X1" s="2" t="s">
        <v>1023</v>
      </c>
      <c r="Y1" s="2" t="s">
        <v>1130</v>
      </c>
    </row>
    <row r="2" spans="1:25" s="31" customFormat="1">
      <c r="A2" s="3">
        <v>1</v>
      </c>
      <c r="B2" s="4" t="s">
        <v>253</v>
      </c>
      <c r="C2" s="4">
        <f>MATCH($E2,[1]Message!$C:$C,0)</f>
        <v>10</v>
      </c>
      <c r="D2" s="4" t="str">
        <f>VLOOKUP($E2,[1]Message!$C:$I,3,FALSE)</f>
        <v>0x0401EE41</v>
      </c>
      <c r="E2" s="4" t="str">
        <f>VLOOKUP($B2,[1]Message!$B:$C,2,FALSE)</f>
        <v>U2P_ALARM1</v>
      </c>
      <c r="F2" s="4">
        <f>VLOOKUP($E2,[1]Message!$C:$I,4,FALSE)</f>
        <v>8</v>
      </c>
      <c r="G2" s="4" t="str">
        <f>VLOOKUP($E2,[1]Message!$C:$I,5,FALSE)</f>
        <v>BMU</v>
      </c>
      <c r="H2" s="4" t="str">
        <f>VLOOKUP($E2,[1]Message!$C:$I,6,FALSE)</f>
        <v>Event</v>
      </c>
      <c r="I2" s="4">
        <f>VLOOKUP($E2,[1]Message!$C:$I,7,FALSE)</f>
        <v>0</v>
      </c>
      <c r="J2" s="4"/>
      <c r="K2" s="4" t="s">
        <v>254</v>
      </c>
      <c r="L2" s="4">
        <v>0</v>
      </c>
      <c r="M2" s="4">
        <v>2</v>
      </c>
      <c r="N2" s="4">
        <v>1</v>
      </c>
      <c r="O2" s="4">
        <v>0</v>
      </c>
      <c r="P2" s="4">
        <v>0</v>
      </c>
      <c r="Q2" s="4"/>
      <c r="R2" s="4">
        <f t="shared" ref="R2:R65" si="0">0*N2+O2</f>
        <v>0</v>
      </c>
      <c r="S2" s="4">
        <f t="shared" ref="S2:S65" si="1">(2^(M2)-1)*N2+O2</f>
        <v>3</v>
      </c>
      <c r="T2" s="4" t="s">
        <v>255</v>
      </c>
      <c r="U2" s="4" t="s">
        <v>256</v>
      </c>
      <c r="V2" s="4" t="s">
        <v>257</v>
      </c>
      <c r="W2" s="3" t="s">
        <v>858</v>
      </c>
      <c r="X2" s="3">
        <v>2000</v>
      </c>
      <c r="Y2" s="5" t="s">
        <v>1022</v>
      </c>
    </row>
    <row r="3" spans="1:25" s="31" customFormat="1">
      <c r="A3" s="3">
        <v>2</v>
      </c>
      <c r="B3" s="4" t="s">
        <v>253</v>
      </c>
      <c r="C3" s="4">
        <f>MATCH($E3,[1]Message!$C:$C,0)</f>
        <v>10</v>
      </c>
      <c r="D3" s="4" t="str">
        <f>VLOOKUP($E3,[1]Message!$C:$I,3,FALSE)</f>
        <v>0x0401EE41</v>
      </c>
      <c r="E3" s="4" t="str">
        <f>VLOOKUP($B3,[1]Message!$B:$C,2,FALSE)</f>
        <v>U2P_ALARM1</v>
      </c>
      <c r="F3" s="4">
        <f>VLOOKUP($E3,[1]Message!$C:$I,4,FALSE)</f>
        <v>8</v>
      </c>
      <c r="G3" s="4" t="str">
        <f>VLOOKUP($E3,[1]Message!$C:$I,5,FALSE)</f>
        <v>BMU</v>
      </c>
      <c r="H3" s="4" t="str">
        <f>VLOOKUP($E3,[1]Message!$C:$I,6,FALSE)</f>
        <v>Event</v>
      </c>
      <c r="I3" s="4">
        <f>VLOOKUP($E3,[1]Message!$C:$I,7,FALSE)</f>
        <v>0</v>
      </c>
      <c r="J3" s="4"/>
      <c r="K3" s="4" t="s">
        <v>258</v>
      </c>
      <c r="L3" s="4">
        <v>2</v>
      </c>
      <c r="M3" s="4">
        <v>2</v>
      </c>
      <c r="N3" s="4">
        <v>1</v>
      </c>
      <c r="O3" s="4">
        <v>0</v>
      </c>
      <c r="P3" s="4">
        <v>0</v>
      </c>
      <c r="Q3" s="4"/>
      <c r="R3" s="4">
        <f t="shared" si="0"/>
        <v>0</v>
      </c>
      <c r="S3" s="4">
        <f t="shared" si="1"/>
        <v>3</v>
      </c>
      <c r="T3" s="4" t="s">
        <v>255</v>
      </c>
      <c r="U3" s="4" t="s">
        <v>259</v>
      </c>
      <c r="V3" s="4" t="s">
        <v>257</v>
      </c>
      <c r="W3" s="3" t="s">
        <v>858</v>
      </c>
      <c r="X3" s="3">
        <v>2005</v>
      </c>
      <c r="Y3" s="5" t="s">
        <v>1022</v>
      </c>
    </row>
    <row r="4" spans="1:25" s="31" customFormat="1">
      <c r="A4" s="3">
        <v>3</v>
      </c>
      <c r="B4" s="4" t="s">
        <v>253</v>
      </c>
      <c r="C4" s="4">
        <f>MATCH($E4,[1]Message!$C:$C,0)</f>
        <v>10</v>
      </c>
      <c r="D4" s="4" t="str">
        <f>VLOOKUP($E4,[1]Message!$C:$I,3,FALSE)</f>
        <v>0x0401EE41</v>
      </c>
      <c r="E4" s="4" t="str">
        <f>VLOOKUP($B4,[1]Message!$B:$C,2,FALSE)</f>
        <v>U2P_ALARM1</v>
      </c>
      <c r="F4" s="4">
        <f>VLOOKUP($E4,[1]Message!$C:$I,4,FALSE)</f>
        <v>8</v>
      </c>
      <c r="G4" s="4" t="str">
        <f>VLOOKUP($E4,[1]Message!$C:$I,5,FALSE)</f>
        <v>BMU</v>
      </c>
      <c r="H4" s="4" t="str">
        <f>VLOOKUP($E4,[1]Message!$C:$I,6,FALSE)</f>
        <v>Event</v>
      </c>
      <c r="I4" s="4">
        <f>VLOOKUP($E4,[1]Message!$C:$I,7,FALSE)</f>
        <v>0</v>
      </c>
      <c r="J4" s="4"/>
      <c r="K4" s="4" t="s">
        <v>260</v>
      </c>
      <c r="L4" s="4">
        <v>4</v>
      </c>
      <c r="M4" s="4">
        <v>2</v>
      </c>
      <c r="N4" s="4">
        <v>1</v>
      </c>
      <c r="O4" s="4">
        <v>0</v>
      </c>
      <c r="P4" s="4">
        <v>0</v>
      </c>
      <c r="Q4" s="4"/>
      <c r="R4" s="4">
        <f t="shared" si="0"/>
        <v>0</v>
      </c>
      <c r="S4" s="4">
        <f t="shared" si="1"/>
        <v>3</v>
      </c>
      <c r="T4" s="4" t="s">
        <v>255</v>
      </c>
      <c r="U4" s="4" t="s">
        <v>261</v>
      </c>
      <c r="V4" s="4" t="s">
        <v>257</v>
      </c>
      <c r="W4" s="3" t="s">
        <v>858</v>
      </c>
      <c r="X4" s="3">
        <v>2010</v>
      </c>
      <c r="Y4" s="5" t="s">
        <v>1022</v>
      </c>
    </row>
    <row r="5" spans="1:25" s="31" customFormat="1">
      <c r="A5" s="3">
        <v>4</v>
      </c>
      <c r="B5" s="4" t="s">
        <v>253</v>
      </c>
      <c r="C5" s="4">
        <f>MATCH($E5,[1]Message!$C:$C,0)</f>
        <v>10</v>
      </c>
      <c r="D5" s="4" t="str">
        <f>VLOOKUP($E5,[1]Message!$C:$I,3,FALSE)</f>
        <v>0x0401EE41</v>
      </c>
      <c r="E5" s="4" t="str">
        <f>VLOOKUP($B5,[1]Message!$B:$C,2,FALSE)</f>
        <v>U2P_ALARM1</v>
      </c>
      <c r="F5" s="4">
        <f>VLOOKUP($E5,[1]Message!$C:$I,4,FALSE)</f>
        <v>8</v>
      </c>
      <c r="G5" s="4" t="str">
        <f>VLOOKUP($E5,[1]Message!$C:$I,5,FALSE)</f>
        <v>BMU</v>
      </c>
      <c r="H5" s="4" t="str">
        <f>VLOOKUP($E5,[1]Message!$C:$I,6,FALSE)</f>
        <v>Event</v>
      </c>
      <c r="I5" s="4">
        <f>VLOOKUP($E5,[1]Message!$C:$I,7,FALSE)</f>
        <v>0</v>
      </c>
      <c r="J5" s="4"/>
      <c r="K5" s="4" t="s">
        <v>262</v>
      </c>
      <c r="L5" s="4">
        <v>6</v>
      </c>
      <c r="M5" s="4">
        <v>2</v>
      </c>
      <c r="N5" s="4">
        <v>1</v>
      </c>
      <c r="O5" s="4">
        <v>0</v>
      </c>
      <c r="P5" s="4">
        <v>0</v>
      </c>
      <c r="Q5" s="4"/>
      <c r="R5" s="4">
        <f t="shared" si="0"/>
        <v>0</v>
      </c>
      <c r="S5" s="4">
        <f t="shared" si="1"/>
        <v>3</v>
      </c>
      <c r="T5" s="4" t="s">
        <v>255</v>
      </c>
      <c r="U5" s="4" t="s">
        <v>263</v>
      </c>
      <c r="V5" s="4" t="s">
        <v>257</v>
      </c>
      <c r="W5" s="3" t="s">
        <v>859</v>
      </c>
      <c r="X5" s="3">
        <v>2015</v>
      </c>
      <c r="Y5" s="38" t="s">
        <v>1022</v>
      </c>
    </row>
    <row r="6" spans="1:25" s="31" customFormat="1">
      <c r="A6" s="3">
        <v>5</v>
      </c>
      <c r="B6" s="4" t="s">
        <v>253</v>
      </c>
      <c r="C6" s="4">
        <f>MATCH($E6,[1]Message!$C:$C,0)</f>
        <v>10</v>
      </c>
      <c r="D6" s="4" t="str">
        <f>VLOOKUP($E6,[1]Message!$C:$I,3,FALSE)</f>
        <v>0x0401EE41</v>
      </c>
      <c r="E6" s="4" t="str">
        <f>VLOOKUP($B6,[1]Message!$B:$C,2,FALSE)</f>
        <v>U2P_ALARM1</v>
      </c>
      <c r="F6" s="4">
        <f>VLOOKUP($E6,[1]Message!$C:$I,4,FALSE)</f>
        <v>8</v>
      </c>
      <c r="G6" s="4" t="str">
        <f>VLOOKUP($E6,[1]Message!$C:$I,5,FALSE)</f>
        <v>BMU</v>
      </c>
      <c r="H6" s="4" t="str">
        <f>VLOOKUP($E6,[1]Message!$C:$I,6,FALSE)</f>
        <v>Event</v>
      </c>
      <c r="I6" s="4">
        <f>VLOOKUP($E6,[1]Message!$C:$I,7,FALSE)</f>
        <v>0</v>
      </c>
      <c r="J6" s="4"/>
      <c r="K6" s="4" t="s">
        <v>264</v>
      </c>
      <c r="L6" s="4">
        <v>8</v>
      </c>
      <c r="M6" s="4">
        <v>2</v>
      </c>
      <c r="N6" s="4">
        <v>1</v>
      </c>
      <c r="O6" s="4">
        <v>0</v>
      </c>
      <c r="P6" s="4">
        <v>0</v>
      </c>
      <c r="Q6" s="4"/>
      <c r="R6" s="4">
        <f t="shared" si="0"/>
        <v>0</v>
      </c>
      <c r="S6" s="4">
        <f t="shared" si="1"/>
        <v>3</v>
      </c>
      <c r="T6" s="4" t="s">
        <v>255</v>
      </c>
      <c r="U6" s="4" t="s">
        <v>265</v>
      </c>
      <c r="V6" s="4" t="s">
        <v>257</v>
      </c>
      <c r="W6" s="3" t="s">
        <v>859</v>
      </c>
      <c r="X6" s="3">
        <v>2020</v>
      </c>
      <c r="Y6" s="5" t="s">
        <v>1022</v>
      </c>
    </row>
    <row r="7" spans="1:25" s="31" customFormat="1">
      <c r="A7" s="3">
        <v>6</v>
      </c>
      <c r="B7" s="4" t="s">
        <v>253</v>
      </c>
      <c r="C7" s="4">
        <f>MATCH($E7,[1]Message!$C:$C,0)</f>
        <v>10</v>
      </c>
      <c r="D7" s="4" t="str">
        <f>VLOOKUP($E7,[1]Message!$C:$I,3,FALSE)</f>
        <v>0x0401EE41</v>
      </c>
      <c r="E7" s="4" t="str">
        <f>VLOOKUP($B7,[1]Message!$B:$C,2,FALSE)</f>
        <v>U2P_ALARM1</v>
      </c>
      <c r="F7" s="4">
        <f>VLOOKUP($E7,[1]Message!$C:$I,4,FALSE)</f>
        <v>8</v>
      </c>
      <c r="G7" s="4" t="str">
        <f>VLOOKUP($E7,[1]Message!$C:$I,5,FALSE)</f>
        <v>BMU</v>
      </c>
      <c r="H7" s="4" t="str">
        <f>VLOOKUP($E7,[1]Message!$C:$I,6,FALSE)</f>
        <v>Event</v>
      </c>
      <c r="I7" s="4">
        <f>VLOOKUP($E7,[1]Message!$C:$I,7,FALSE)</f>
        <v>0</v>
      </c>
      <c r="J7" s="4"/>
      <c r="K7" s="4" t="s">
        <v>266</v>
      </c>
      <c r="L7" s="4">
        <v>10</v>
      </c>
      <c r="M7" s="4">
        <v>2</v>
      </c>
      <c r="N7" s="4">
        <v>1</v>
      </c>
      <c r="O7" s="4">
        <v>0</v>
      </c>
      <c r="P7" s="4">
        <v>0</v>
      </c>
      <c r="Q7" s="4"/>
      <c r="R7" s="4">
        <f t="shared" si="0"/>
        <v>0</v>
      </c>
      <c r="S7" s="4">
        <f t="shared" si="1"/>
        <v>3</v>
      </c>
      <c r="T7" s="4" t="s">
        <v>255</v>
      </c>
      <c r="U7" s="4" t="s">
        <v>267</v>
      </c>
      <c r="V7" s="4" t="s">
        <v>257</v>
      </c>
      <c r="W7" s="3" t="s">
        <v>859</v>
      </c>
      <c r="X7" s="3">
        <v>2025</v>
      </c>
      <c r="Y7" s="5" t="s">
        <v>1022</v>
      </c>
    </row>
    <row r="8" spans="1:25" s="31" customFormat="1">
      <c r="A8" s="39">
        <v>7</v>
      </c>
      <c r="B8" s="26" t="s">
        <v>253</v>
      </c>
      <c r="C8" s="26">
        <f>MATCH($E8,[1]Message!$C:$C,0)</f>
        <v>10</v>
      </c>
      <c r="D8" s="26" t="str">
        <f>VLOOKUP($E8,[1]Message!$C:$I,3,FALSE)</f>
        <v>0x0401EE41</v>
      </c>
      <c r="E8" s="26" t="str">
        <f>VLOOKUP($B8,[1]Message!$B:$C,2,FALSE)</f>
        <v>U2P_ALARM1</v>
      </c>
      <c r="F8" s="26">
        <f>VLOOKUP($E8,[1]Message!$C:$I,4,FALSE)</f>
        <v>8</v>
      </c>
      <c r="G8" s="26" t="str">
        <f>VLOOKUP($E8,[1]Message!$C:$I,5,FALSE)</f>
        <v>BMU</v>
      </c>
      <c r="H8" s="26" t="str">
        <f>VLOOKUP($E8,[1]Message!$C:$I,6,FALSE)</f>
        <v>Event</v>
      </c>
      <c r="I8" s="26">
        <f>VLOOKUP($E8,[1]Message!$C:$I,7,FALSE)</f>
        <v>0</v>
      </c>
      <c r="J8" s="26"/>
      <c r="K8" s="26" t="s">
        <v>268</v>
      </c>
      <c r="L8" s="26">
        <v>12</v>
      </c>
      <c r="M8" s="26">
        <v>1</v>
      </c>
      <c r="N8" s="26">
        <v>1</v>
      </c>
      <c r="O8" s="26">
        <v>0</v>
      </c>
      <c r="P8" s="26"/>
      <c r="Q8" s="26"/>
      <c r="R8" s="26">
        <f t="shared" si="0"/>
        <v>0</v>
      </c>
      <c r="S8" s="26">
        <f t="shared" si="1"/>
        <v>1</v>
      </c>
      <c r="T8" s="26" t="s">
        <v>255</v>
      </c>
      <c r="U8" s="26" t="s">
        <v>1147</v>
      </c>
      <c r="V8" s="26" t="s">
        <v>270</v>
      </c>
      <c r="W8" s="39" t="s">
        <v>859</v>
      </c>
      <c r="X8" s="39">
        <v>2030</v>
      </c>
      <c r="Y8" s="39">
        <v>2030</v>
      </c>
    </row>
    <row r="9" spans="1:25" s="31" customFormat="1">
      <c r="A9" s="39">
        <v>8</v>
      </c>
      <c r="B9" s="26" t="s">
        <v>253</v>
      </c>
      <c r="C9" s="26">
        <f>MATCH($E9,[1]Message!$C:$C,0)</f>
        <v>10</v>
      </c>
      <c r="D9" s="26" t="str">
        <f>VLOOKUP($E9,[1]Message!$C:$I,3,FALSE)</f>
        <v>0x0401EE41</v>
      </c>
      <c r="E9" s="26" t="str">
        <f>VLOOKUP($B9,[1]Message!$B:$C,2,FALSE)</f>
        <v>U2P_ALARM1</v>
      </c>
      <c r="F9" s="26">
        <f>VLOOKUP($E9,[1]Message!$C:$I,4,FALSE)</f>
        <v>8</v>
      </c>
      <c r="G9" s="26" t="str">
        <f>VLOOKUP($E9,[1]Message!$C:$I,5,FALSE)</f>
        <v>BMU</v>
      </c>
      <c r="H9" s="26" t="str">
        <f>VLOOKUP($E9,[1]Message!$C:$I,6,FALSE)</f>
        <v>Event</v>
      </c>
      <c r="I9" s="26">
        <f>VLOOKUP($E9,[1]Message!$C:$I,7,FALSE)</f>
        <v>0</v>
      </c>
      <c r="J9" s="26"/>
      <c r="K9" s="26" t="s">
        <v>1148</v>
      </c>
      <c r="L9" s="26">
        <v>13</v>
      </c>
      <c r="M9" s="26">
        <v>1</v>
      </c>
      <c r="N9" s="26">
        <v>1</v>
      </c>
      <c r="O9" s="26">
        <v>0</v>
      </c>
      <c r="P9" s="26"/>
      <c r="Q9" s="26"/>
      <c r="R9" s="26">
        <f t="shared" si="0"/>
        <v>0</v>
      </c>
      <c r="S9" s="26">
        <f t="shared" si="1"/>
        <v>1</v>
      </c>
      <c r="T9" s="26" t="s">
        <v>255</v>
      </c>
      <c r="U9" s="26" t="s">
        <v>1149</v>
      </c>
      <c r="V9" s="26" t="s">
        <v>270</v>
      </c>
      <c r="W9" s="39" t="s">
        <v>859</v>
      </c>
      <c r="X9" s="39">
        <v>2035</v>
      </c>
      <c r="Y9" s="39">
        <v>2035</v>
      </c>
    </row>
    <row r="10" spans="1:25" s="31" customFormat="1">
      <c r="A10" s="39">
        <v>9</v>
      </c>
      <c r="B10" s="26" t="s">
        <v>253</v>
      </c>
      <c r="C10" s="26">
        <f>MATCH($E10,[1]Message!$C:$C,0)</f>
        <v>10</v>
      </c>
      <c r="D10" s="26" t="str">
        <f>VLOOKUP($E10,[1]Message!$C:$I,3,FALSE)</f>
        <v>0x0401EE41</v>
      </c>
      <c r="E10" s="26" t="str">
        <f>VLOOKUP($B10,[1]Message!$B:$C,2,FALSE)</f>
        <v>U2P_ALARM1</v>
      </c>
      <c r="F10" s="26">
        <f>VLOOKUP($E10,[1]Message!$C:$I,4,FALSE)</f>
        <v>8</v>
      </c>
      <c r="G10" s="26" t="str">
        <f>VLOOKUP($E10,[1]Message!$C:$I,5,FALSE)</f>
        <v>BMU</v>
      </c>
      <c r="H10" s="26" t="str">
        <f>VLOOKUP($E10,[1]Message!$C:$I,6,FALSE)</f>
        <v>Event</v>
      </c>
      <c r="I10" s="26">
        <f>VLOOKUP($E10,[1]Message!$C:$I,7,FALSE)</f>
        <v>0</v>
      </c>
      <c r="J10" s="26"/>
      <c r="K10" s="26" t="s">
        <v>1150</v>
      </c>
      <c r="L10" s="26">
        <v>14</v>
      </c>
      <c r="M10" s="26">
        <v>1</v>
      </c>
      <c r="N10" s="26">
        <v>1</v>
      </c>
      <c r="O10" s="26">
        <v>0</v>
      </c>
      <c r="P10" s="26"/>
      <c r="Q10" s="26"/>
      <c r="R10" s="26">
        <f t="shared" si="0"/>
        <v>0</v>
      </c>
      <c r="S10" s="26">
        <f t="shared" si="1"/>
        <v>1</v>
      </c>
      <c r="T10" s="26" t="s">
        <v>255</v>
      </c>
      <c r="U10" s="26" t="s">
        <v>1152</v>
      </c>
      <c r="V10" s="26" t="s">
        <v>270</v>
      </c>
      <c r="W10" s="39" t="s">
        <v>859</v>
      </c>
      <c r="X10" s="39">
        <v>2040</v>
      </c>
      <c r="Y10" s="39">
        <v>2040</v>
      </c>
    </row>
    <row r="11" spans="1:25" s="31" customFormat="1">
      <c r="A11" s="39">
        <v>10</v>
      </c>
      <c r="B11" s="26" t="s">
        <v>253</v>
      </c>
      <c r="C11" s="26">
        <f>MATCH($E11,[1]Message!$C:$C,0)</f>
        <v>10</v>
      </c>
      <c r="D11" s="26" t="str">
        <f>VLOOKUP($E11,[1]Message!$C:$I,3,FALSE)</f>
        <v>0x0401EE41</v>
      </c>
      <c r="E11" s="26" t="str">
        <f>VLOOKUP($B11,[1]Message!$B:$C,2,FALSE)</f>
        <v>U2P_ALARM1</v>
      </c>
      <c r="F11" s="26">
        <f>VLOOKUP($E11,[1]Message!$C:$I,4,FALSE)</f>
        <v>8</v>
      </c>
      <c r="G11" s="26" t="str">
        <f>VLOOKUP($E11,[1]Message!$C:$I,5,FALSE)</f>
        <v>BMU</v>
      </c>
      <c r="H11" s="26" t="str">
        <f>VLOOKUP($E11,[1]Message!$C:$I,6,FALSE)</f>
        <v>Event</v>
      </c>
      <c r="I11" s="26">
        <f>VLOOKUP($E11,[1]Message!$C:$I,7,FALSE)</f>
        <v>0</v>
      </c>
      <c r="J11" s="26"/>
      <c r="K11" s="26" t="s">
        <v>1151</v>
      </c>
      <c r="L11" s="26">
        <v>15</v>
      </c>
      <c r="M11" s="26">
        <v>1</v>
      </c>
      <c r="N11" s="26">
        <v>1</v>
      </c>
      <c r="O11" s="26">
        <v>0</v>
      </c>
      <c r="P11" s="26"/>
      <c r="Q11" s="26"/>
      <c r="R11" s="26">
        <f t="shared" si="0"/>
        <v>0</v>
      </c>
      <c r="S11" s="26">
        <f t="shared" si="1"/>
        <v>1</v>
      </c>
      <c r="T11" s="26" t="s">
        <v>255</v>
      </c>
      <c r="U11" s="26" t="s">
        <v>1153</v>
      </c>
      <c r="V11" s="26" t="s">
        <v>270</v>
      </c>
      <c r="W11" s="39" t="s">
        <v>859</v>
      </c>
      <c r="X11" s="39">
        <v>2045</v>
      </c>
      <c r="Y11" s="39">
        <v>2045</v>
      </c>
    </row>
    <row r="12" spans="1:25" s="31" customFormat="1">
      <c r="A12" s="3">
        <v>11</v>
      </c>
      <c r="B12" s="4" t="s">
        <v>253</v>
      </c>
      <c r="C12" s="4">
        <f>MATCH($E12,[1]Message!$C:$C,0)</f>
        <v>10</v>
      </c>
      <c r="D12" s="4" t="str">
        <f>VLOOKUP($E12,[1]Message!$C:$I,3,FALSE)</f>
        <v>0x0401EE41</v>
      </c>
      <c r="E12" s="4" t="str">
        <f>VLOOKUP($B12,[1]Message!$B:$C,2,FALSE)</f>
        <v>U2P_ALARM1</v>
      </c>
      <c r="F12" s="4">
        <f>VLOOKUP($E12,[1]Message!$C:$I,4,FALSE)</f>
        <v>8</v>
      </c>
      <c r="G12" s="4" t="str">
        <f>VLOOKUP($E12,[1]Message!$C:$I,5,FALSE)</f>
        <v>BMU</v>
      </c>
      <c r="H12" s="4" t="str">
        <f>VLOOKUP($E12,[1]Message!$C:$I,6,FALSE)</f>
        <v>Event</v>
      </c>
      <c r="I12" s="4">
        <f>VLOOKUP($E12,[1]Message!$C:$I,7,FALSE)</f>
        <v>0</v>
      </c>
      <c r="J12" s="4"/>
      <c r="K12" s="4" t="s">
        <v>274</v>
      </c>
      <c r="L12" s="4">
        <v>16</v>
      </c>
      <c r="M12" s="4">
        <v>2</v>
      </c>
      <c r="N12" s="4">
        <v>1</v>
      </c>
      <c r="O12" s="4">
        <v>0</v>
      </c>
      <c r="P12" s="4">
        <v>0</v>
      </c>
      <c r="Q12" s="4"/>
      <c r="R12" s="4">
        <f t="shared" si="0"/>
        <v>0</v>
      </c>
      <c r="S12" s="4">
        <f t="shared" si="1"/>
        <v>3</v>
      </c>
      <c r="T12" s="4" t="s">
        <v>255</v>
      </c>
      <c r="U12" s="4" t="s">
        <v>1142</v>
      </c>
      <c r="V12" s="4" t="s">
        <v>257</v>
      </c>
      <c r="W12" s="3" t="s">
        <v>859</v>
      </c>
      <c r="X12" s="3">
        <v>2050</v>
      </c>
      <c r="Y12" s="5" t="s">
        <v>1022</v>
      </c>
    </row>
    <row r="13" spans="1:25" s="31" customFormat="1">
      <c r="A13" s="3">
        <v>12</v>
      </c>
      <c r="B13" s="4" t="s">
        <v>253</v>
      </c>
      <c r="C13" s="4">
        <f>MATCH($E13,[1]Message!$C:$C,0)</f>
        <v>10</v>
      </c>
      <c r="D13" s="4" t="str">
        <f>VLOOKUP($E13,[1]Message!$C:$I,3,FALSE)</f>
        <v>0x0401EE41</v>
      </c>
      <c r="E13" s="4" t="str">
        <f>VLOOKUP($B13,[1]Message!$B:$C,2,FALSE)</f>
        <v>U2P_ALARM1</v>
      </c>
      <c r="F13" s="4">
        <f>VLOOKUP($E13,[1]Message!$C:$I,4,FALSE)</f>
        <v>8</v>
      </c>
      <c r="G13" s="4" t="str">
        <f>VLOOKUP($E13,[1]Message!$C:$I,5,FALSE)</f>
        <v>BMU</v>
      </c>
      <c r="H13" s="4" t="str">
        <f>VLOOKUP($E13,[1]Message!$C:$I,6,FALSE)</f>
        <v>Event</v>
      </c>
      <c r="I13" s="4">
        <f>VLOOKUP($E13,[1]Message!$C:$I,7,FALSE)</f>
        <v>0</v>
      </c>
      <c r="J13" s="4"/>
      <c r="K13" s="4" t="s">
        <v>275</v>
      </c>
      <c r="L13" s="4">
        <v>18</v>
      </c>
      <c r="M13" s="4">
        <v>2</v>
      </c>
      <c r="N13" s="4">
        <v>1</v>
      </c>
      <c r="O13" s="4">
        <v>0</v>
      </c>
      <c r="P13" s="4">
        <v>0</v>
      </c>
      <c r="Q13" s="4"/>
      <c r="R13" s="4">
        <f t="shared" si="0"/>
        <v>0</v>
      </c>
      <c r="S13" s="4">
        <f t="shared" si="1"/>
        <v>3</v>
      </c>
      <c r="T13" s="4" t="s">
        <v>255</v>
      </c>
      <c r="U13" s="4" t="s">
        <v>276</v>
      </c>
      <c r="V13" s="4" t="s">
        <v>257</v>
      </c>
      <c r="W13" s="3" t="s">
        <v>860</v>
      </c>
      <c r="X13" s="3">
        <v>2055</v>
      </c>
      <c r="Y13" s="5" t="s">
        <v>1022</v>
      </c>
    </row>
    <row r="14" spans="1:25" s="31" customFormat="1">
      <c r="A14" s="3">
        <v>13</v>
      </c>
      <c r="B14" s="4" t="s">
        <v>253</v>
      </c>
      <c r="C14" s="4">
        <f>MATCH($E14,[1]Message!$C:$C,0)</f>
        <v>10</v>
      </c>
      <c r="D14" s="4" t="str">
        <f>VLOOKUP($E14,[1]Message!$C:$I,3,FALSE)</f>
        <v>0x0401EE41</v>
      </c>
      <c r="E14" s="4" t="str">
        <f>VLOOKUP($B14,[1]Message!$B:$C,2,FALSE)</f>
        <v>U2P_ALARM1</v>
      </c>
      <c r="F14" s="4">
        <f>VLOOKUP($E14,[1]Message!$C:$I,4,FALSE)</f>
        <v>8</v>
      </c>
      <c r="G14" s="4" t="str">
        <f>VLOOKUP($E14,[1]Message!$C:$I,5,FALSE)</f>
        <v>BMU</v>
      </c>
      <c r="H14" s="4" t="str">
        <f>VLOOKUP($E14,[1]Message!$C:$I,6,FALSE)</f>
        <v>Event</v>
      </c>
      <c r="I14" s="4">
        <f>VLOOKUP($E14,[1]Message!$C:$I,7,FALSE)</f>
        <v>0</v>
      </c>
      <c r="J14" s="4"/>
      <c r="K14" s="4" t="s">
        <v>277</v>
      </c>
      <c r="L14" s="4">
        <v>20</v>
      </c>
      <c r="M14" s="4">
        <v>2</v>
      </c>
      <c r="N14" s="4">
        <v>1</v>
      </c>
      <c r="O14" s="4">
        <v>0</v>
      </c>
      <c r="P14" s="4">
        <v>0</v>
      </c>
      <c r="Q14" s="4"/>
      <c r="R14" s="4">
        <f t="shared" si="0"/>
        <v>0</v>
      </c>
      <c r="S14" s="4">
        <f t="shared" si="1"/>
        <v>3</v>
      </c>
      <c r="T14" s="4" t="s">
        <v>255</v>
      </c>
      <c r="U14" s="4" t="s">
        <v>861</v>
      </c>
      <c r="V14" s="4" t="s">
        <v>257</v>
      </c>
      <c r="W14" s="3" t="s">
        <v>860</v>
      </c>
      <c r="X14" s="3" t="s">
        <v>1059</v>
      </c>
      <c r="Y14" s="3" t="s">
        <v>1059</v>
      </c>
    </row>
    <row r="15" spans="1:25" s="31" customFormat="1">
      <c r="A15" s="3">
        <v>14</v>
      </c>
      <c r="B15" s="4" t="s">
        <v>253</v>
      </c>
      <c r="C15" s="4">
        <f>MATCH($E15,[1]Message!$C:$C,0)</f>
        <v>10</v>
      </c>
      <c r="D15" s="4" t="str">
        <f>VLOOKUP($E15,[1]Message!$C:$I,3,FALSE)</f>
        <v>0x0401EE41</v>
      </c>
      <c r="E15" s="4" t="str">
        <f>VLOOKUP($B15,[1]Message!$B:$C,2,FALSE)</f>
        <v>U2P_ALARM1</v>
      </c>
      <c r="F15" s="4">
        <f>VLOOKUP($E15,[1]Message!$C:$I,4,FALSE)</f>
        <v>8</v>
      </c>
      <c r="G15" s="4" t="str">
        <f>VLOOKUP($E15,[1]Message!$C:$I,5,FALSE)</f>
        <v>BMU</v>
      </c>
      <c r="H15" s="4" t="str">
        <f>VLOOKUP($E15,[1]Message!$C:$I,6,FALSE)</f>
        <v>Event</v>
      </c>
      <c r="I15" s="4">
        <f>VLOOKUP($E15,[1]Message!$C:$I,7,FALSE)</f>
        <v>0</v>
      </c>
      <c r="J15" s="4"/>
      <c r="K15" s="4" t="s">
        <v>278</v>
      </c>
      <c r="L15" s="4">
        <v>22</v>
      </c>
      <c r="M15" s="4">
        <v>2</v>
      </c>
      <c r="N15" s="4">
        <v>1</v>
      </c>
      <c r="O15" s="4">
        <v>0</v>
      </c>
      <c r="P15" s="4">
        <v>0</v>
      </c>
      <c r="Q15" s="4"/>
      <c r="R15" s="4">
        <f t="shared" si="0"/>
        <v>0</v>
      </c>
      <c r="S15" s="4">
        <f t="shared" si="1"/>
        <v>3</v>
      </c>
      <c r="T15" s="4" t="s">
        <v>255</v>
      </c>
      <c r="U15" s="4" t="s">
        <v>862</v>
      </c>
      <c r="V15" s="4" t="s">
        <v>257</v>
      </c>
      <c r="W15" s="3" t="s">
        <v>860</v>
      </c>
      <c r="X15" s="3" t="s">
        <v>1059</v>
      </c>
      <c r="Y15" s="3" t="s">
        <v>1059</v>
      </c>
    </row>
    <row r="16" spans="1:25" s="31" customFormat="1">
      <c r="A16" s="3">
        <v>15</v>
      </c>
      <c r="B16" s="4" t="s">
        <v>253</v>
      </c>
      <c r="C16" s="4">
        <f>MATCH($E16,[1]Message!$C:$C,0)</f>
        <v>10</v>
      </c>
      <c r="D16" s="4" t="str">
        <f>VLOOKUP($E16,[1]Message!$C:$I,3,FALSE)</f>
        <v>0x0401EE41</v>
      </c>
      <c r="E16" s="4" t="str">
        <f>VLOOKUP($B16,[1]Message!$B:$C,2,FALSE)</f>
        <v>U2P_ALARM1</v>
      </c>
      <c r="F16" s="4">
        <f>VLOOKUP($E16,[1]Message!$C:$I,4,FALSE)</f>
        <v>8</v>
      </c>
      <c r="G16" s="4" t="str">
        <f>VLOOKUP($E16,[1]Message!$C:$I,5,FALSE)</f>
        <v>BMU</v>
      </c>
      <c r="H16" s="4" t="str">
        <f>VLOOKUP($E16,[1]Message!$C:$I,6,FALSE)</f>
        <v>Event</v>
      </c>
      <c r="I16" s="4">
        <f>VLOOKUP($E16,[1]Message!$C:$I,7,FALSE)</f>
        <v>0</v>
      </c>
      <c r="J16" s="4"/>
      <c r="K16" s="4" t="s">
        <v>279</v>
      </c>
      <c r="L16" s="4">
        <v>24</v>
      </c>
      <c r="M16" s="4">
        <v>2</v>
      </c>
      <c r="N16" s="4">
        <v>1</v>
      </c>
      <c r="O16" s="4">
        <v>0</v>
      </c>
      <c r="P16" s="4">
        <v>0</v>
      </c>
      <c r="Q16" s="4"/>
      <c r="R16" s="4">
        <f t="shared" si="0"/>
        <v>0</v>
      </c>
      <c r="S16" s="4">
        <f t="shared" si="1"/>
        <v>3</v>
      </c>
      <c r="T16" s="4" t="s">
        <v>255</v>
      </c>
      <c r="U16" s="4" t="s">
        <v>967</v>
      </c>
      <c r="V16" s="4" t="s">
        <v>257</v>
      </c>
      <c r="W16" s="3" t="s">
        <v>860</v>
      </c>
      <c r="X16" s="3">
        <v>2070</v>
      </c>
      <c r="Y16" s="5" t="s">
        <v>1022</v>
      </c>
    </row>
    <row r="17" spans="1:25" s="31" customFormat="1">
      <c r="A17" s="3">
        <v>16</v>
      </c>
      <c r="B17" s="4" t="s">
        <v>253</v>
      </c>
      <c r="C17" s="4">
        <f>MATCH($E17,[1]Message!$C:$C,0)</f>
        <v>10</v>
      </c>
      <c r="D17" s="4" t="str">
        <f>VLOOKUP($E17,[1]Message!$C:$I,3,FALSE)</f>
        <v>0x0401EE41</v>
      </c>
      <c r="E17" s="4" t="str">
        <f>VLOOKUP($B17,[1]Message!$B:$C,2,FALSE)</f>
        <v>U2P_ALARM1</v>
      </c>
      <c r="F17" s="4">
        <f>VLOOKUP($E17,[1]Message!$C:$I,4,FALSE)</f>
        <v>8</v>
      </c>
      <c r="G17" s="4" t="str">
        <f>VLOOKUP($E17,[1]Message!$C:$I,5,FALSE)</f>
        <v>BMU</v>
      </c>
      <c r="H17" s="4" t="str">
        <f>VLOOKUP($E17,[1]Message!$C:$I,6,FALSE)</f>
        <v>Event</v>
      </c>
      <c r="I17" s="4">
        <f>VLOOKUP($E17,[1]Message!$C:$I,7,FALSE)</f>
        <v>0</v>
      </c>
      <c r="J17" s="4"/>
      <c r="K17" s="4" t="s">
        <v>280</v>
      </c>
      <c r="L17" s="4">
        <v>26</v>
      </c>
      <c r="M17" s="4">
        <v>2</v>
      </c>
      <c r="N17" s="4">
        <v>1</v>
      </c>
      <c r="O17" s="4">
        <v>0</v>
      </c>
      <c r="P17" s="4">
        <v>0</v>
      </c>
      <c r="Q17" s="4"/>
      <c r="R17" s="4">
        <f t="shared" si="0"/>
        <v>0</v>
      </c>
      <c r="S17" s="4">
        <f t="shared" si="1"/>
        <v>3</v>
      </c>
      <c r="T17" s="4" t="s">
        <v>255</v>
      </c>
      <c r="U17" s="4" t="s">
        <v>281</v>
      </c>
      <c r="V17" s="4" t="s">
        <v>257</v>
      </c>
      <c r="W17" s="3" t="s">
        <v>860</v>
      </c>
      <c r="X17" s="3">
        <v>2075</v>
      </c>
      <c r="Y17" s="5" t="s">
        <v>1022</v>
      </c>
    </row>
    <row r="18" spans="1:25" s="31" customFormat="1">
      <c r="A18" s="3">
        <v>17</v>
      </c>
      <c r="B18" s="4" t="s">
        <v>253</v>
      </c>
      <c r="C18" s="4">
        <f>MATCH($E18,[1]Message!$C:$C,0)</f>
        <v>10</v>
      </c>
      <c r="D18" s="4" t="str">
        <f>VLOOKUP($E18,[1]Message!$C:$I,3,FALSE)</f>
        <v>0x0401EE41</v>
      </c>
      <c r="E18" s="4" t="str">
        <f>VLOOKUP($B18,[1]Message!$B:$C,2,FALSE)</f>
        <v>U2P_ALARM1</v>
      </c>
      <c r="F18" s="4">
        <f>VLOOKUP($E18,[1]Message!$C:$I,4,FALSE)</f>
        <v>8</v>
      </c>
      <c r="G18" s="4" t="str">
        <f>VLOOKUP($E18,[1]Message!$C:$I,5,FALSE)</f>
        <v>BMU</v>
      </c>
      <c r="H18" s="4" t="str">
        <f>VLOOKUP($E18,[1]Message!$C:$I,6,FALSE)</f>
        <v>Event</v>
      </c>
      <c r="I18" s="4">
        <f>VLOOKUP($E18,[1]Message!$C:$I,7,FALSE)</f>
        <v>0</v>
      </c>
      <c r="J18" s="4"/>
      <c r="K18" s="4" t="s">
        <v>282</v>
      </c>
      <c r="L18" s="4">
        <v>28</v>
      </c>
      <c r="M18" s="4">
        <v>2</v>
      </c>
      <c r="N18" s="4">
        <v>1</v>
      </c>
      <c r="O18" s="4">
        <v>0</v>
      </c>
      <c r="P18" s="4">
        <v>0</v>
      </c>
      <c r="Q18" s="4"/>
      <c r="R18" s="4">
        <f t="shared" si="0"/>
        <v>0</v>
      </c>
      <c r="S18" s="4">
        <f t="shared" si="1"/>
        <v>3</v>
      </c>
      <c r="T18" s="4" t="s">
        <v>255</v>
      </c>
      <c r="U18" s="4" t="s">
        <v>283</v>
      </c>
      <c r="V18" s="4" t="s">
        <v>257</v>
      </c>
      <c r="W18" s="3" t="s">
        <v>860</v>
      </c>
      <c r="X18" s="3">
        <v>2080</v>
      </c>
      <c r="Y18" s="5" t="s">
        <v>1022</v>
      </c>
    </row>
    <row r="19" spans="1:25" s="31" customFormat="1">
      <c r="A19" s="3">
        <v>18</v>
      </c>
      <c r="B19" s="4" t="s">
        <v>253</v>
      </c>
      <c r="C19" s="4">
        <f>MATCH($E19,[1]Message!$C:$C,0)</f>
        <v>10</v>
      </c>
      <c r="D19" s="4" t="str">
        <f>VLOOKUP($E19,[1]Message!$C:$I,3,FALSE)</f>
        <v>0x0401EE41</v>
      </c>
      <c r="E19" s="4" t="str">
        <f>VLOOKUP($B19,[1]Message!$B:$C,2,FALSE)</f>
        <v>U2P_ALARM1</v>
      </c>
      <c r="F19" s="4">
        <f>VLOOKUP($E19,[1]Message!$C:$I,4,FALSE)</f>
        <v>8</v>
      </c>
      <c r="G19" s="4" t="str">
        <f>VLOOKUP($E19,[1]Message!$C:$I,5,FALSE)</f>
        <v>BMU</v>
      </c>
      <c r="H19" s="4" t="str">
        <f>VLOOKUP($E19,[1]Message!$C:$I,6,FALSE)</f>
        <v>Event</v>
      </c>
      <c r="I19" s="4">
        <f>VLOOKUP($E19,[1]Message!$C:$I,7,FALSE)</f>
        <v>0</v>
      </c>
      <c r="J19" s="4"/>
      <c r="K19" s="4" t="s">
        <v>284</v>
      </c>
      <c r="L19" s="4">
        <v>30</v>
      </c>
      <c r="M19" s="4">
        <v>2</v>
      </c>
      <c r="N19" s="4">
        <v>1</v>
      </c>
      <c r="O19" s="4">
        <v>0</v>
      </c>
      <c r="P19" s="4">
        <v>0</v>
      </c>
      <c r="Q19" s="4"/>
      <c r="R19" s="4">
        <f t="shared" si="0"/>
        <v>0</v>
      </c>
      <c r="S19" s="4">
        <f t="shared" si="1"/>
        <v>3</v>
      </c>
      <c r="T19" s="4" t="s">
        <v>255</v>
      </c>
      <c r="U19" s="4" t="s">
        <v>968</v>
      </c>
      <c r="V19" s="4" t="s">
        <v>257</v>
      </c>
      <c r="W19" s="3" t="s">
        <v>859</v>
      </c>
      <c r="X19" s="3">
        <v>2085</v>
      </c>
      <c r="Y19" s="5" t="s">
        <v>1022</v>
      </c>
    </row>
    <row r="20" spans="1:25" s="31" customFormat="1">
      <c r="A20" s="3">
        <v>19</v>
      </c>
      <c r="B20" s="4" t="s">
        <v>253</v>
      </c>
      <c r="C20" s="4">
        <f>MATCH($E20,[1]Message!$C:$C,0)</f>
        <v>10</v>
      </c>
      <c r="D20" s="4" t="str">
        <f>VLOOKUP($E20,[1]Message!$C:$I,3,FALSE)</f>
        <v>0x0401EE41</v>
      </c>
      <c r="E20" s="4" t="str">
        <f>VLOOKUP($B20,[1]Message!$B:$C,2,FALSE)</f>
        <v>U2P_ALARM1</v>
      </c>
      <c r="F20" s="4">
        <f>VLOOKUP($E20,[1]Message!$C:$I,4,FALSE)</f>
        <v>8</v>
      </c>
      <c r="G20" s="4" t="str">
        <f>VLOOKUP($E20,[1]Message!$C:$I,5,FALSE)</f>
        <v>BMU</v>
      </c>
      <c r="H20" s="4" t="str">
        <f>VLOOKUP($E20,[1]Message!$C:$I,6,FALSE)</f>
        <v>Event</v>
      </c>
      <c r="I20" s="4">
        <f>VLOOKUP($E20,[1]Message!$C:$I,7,FALSE)</f>
        <v>0</v>
      </c>
      <c r="J20" s="4"/>
      <c r="K20" s="4" t="s">
        <v>285</v>
      </c>
      <c r="L20" s="4">
        <v>32</v>
      </c>
      <c r="M20" s="4">
        <v>2</v>
      </c>
      <c r="N20" s="4">
        <v>1</v>
      </c>
      <c r="O20" s="4">
        <v>0</v>
      </c>
      <c r="P20" s="4">
        <v>0</v>
      </c>
      <c r="Q20" s="4"/>
      <c r="R20" s="4">
        <f t="shared" si="0"/>
        <v>0</v>
      </c>
      <c r="S20" s="4">
        <f t="shared" si="1"/>
        <v>3</v>
      </c>
      <c r="T20" s="4" t="s">
        <v>255</v>
      </c>
      <c r="U20" s="4" t="s">
        <v>286</v>
      </c>
      <c r="V20" s="4" t="s">
        <v>257</v>
      </c>
      <c r="W20" s="3" t="s">
        <v>863</v>
      </c>
      <c r="X20" s="3">
        <v>2090</v>
      </c>
      <c r="Y20" s="5" t="s">
        <v>1022</v>
      </c>
    </row>
    <row r="21" spans="1:25" s="31" customFormat="1">
      <c r="A21" s="39">
        <v>20</v>
      </c>
      <c r="B21" s="26" t="s">
        <v>253</v>
      </c>
      <c r="C21" s="26">
        <f>MATCH($E21,[1]Message!$C:$C,0)</f>
        <v>10</v>
      </c>
      <c r="D21" s="26" t="str">
        <f>VLOOKUP($E21,[1]Message!$C:$I,3,FALSE)</f>
        <v>0x0401EE41</v>
      </c>
      <c r="E21" s="26" t="str">
        <f>VLOOKUP($B21,[1]Message!$B:$C,2,FALSE)</f>
        <v>U2P_ALARM1</v>
      </c>
      <c r="F21" s="26">
        <f>VLOOKUP($E21,[1]Message!$C:$I,4,FALSE)</f>
        <v>8</v>
      </c>
      <c r="G21" s="26" t="str">
        <f>VLOOKUP($E21,[1]Message!$C:$I,5,FALSE)</f>
        <v>BMU</v>
      </c>
      <c r="H21" s="26" t="str">
        <f>VLOOKUP($E21,[1]Message!$C:$I,6,FALSE)</f>
        <v>Event</v>
      </c>
      <c r="I21" s="26">
        <f>VLOOKUP($E21,[1]Message!$C:$I,7,FALSE)</f>
        <v>0</v>
      </c>
      <c r="J21" s="26"/>
      <c r="K21" s="26" t="s">
        <v>287</v>
      </c>
      <c r="L21" s="26">
        <v>34</v>
      </c>
      <c r="M21" s="26">
        <v>1</v>
      </c>
      <c r="N21" s="4">
        <v>1</v>
      </c>
      <c r="O21" s="4">
        <v>0</v>
      </c>
      <c r="P21" s="4"/>
      <c r="Q21" s="4"/>
      <c r="R21" s="4">
        <f t="shared" si="0"/>
        <v>0</v>
      </c>
      <c r="S21" s="4">
        <f t="shared" si="1"/>
        <v>1</v>
      </c>
      <c r="T21" s="4" t="s">
        <v>255</v>
      </c>
      <c r="U21" s="26" t="s">
        <v>864</v>
      </c>
      <c r="V21" s="26" t="s">
        <v>270</v>
      </c>
      <c r="W21" s="39" t="s">
        <v>863</v>
      </c>
      <c r="X21" s="39">
        <v>2095</v>
      </c>
      <c r="Y21" s="39">
        <v>2095</v>
      </c>
    </row>
    <row r="22" spans="1:25" s="31" customFormat="1">
      <c r="A22" s="39">
        <v>21</v>
      </c>
      <c r="B22" s="26" t="s">
        <v>253</v>
      </c>
      <c r="C22" s="26">
        <f>MATCH($E22,[1]Message!$C:$C,0)</f>
        <v>10</v>
      </c>
      <c r="D22" s="26" t="str">
        <f>VLOOKUP($E22,[1]Message!$C:$I,3,FALSE)</f>
        <v>0x0401EE41</v>
      </c>
      <c r="E22" s="26" t="str">
        <f>VLOOKUP($B22,[1]Message!$B:$C,2,FALSE)</f>
        <v>U2P_ALARM1</v>
      </c>
      <c r="F22" s="26">
        <f>VLOOKUP($E22,[1]Message!$C:$I,4,FALSE)</f>
        <v>8</v>
      </c>
      <c r="G22" s="26" t="str">
        <f>VLOOKUP($E22,[1]Message!$C:$I,5,FALSE)</f>
        <v>BMU</v>
      </c>
      <c r="H22" s="26" t="str">
        <f>VLOOKUP($E22,[1]Message!$C:$I,6,FALSE)</f>
        <v>Event</v>
      </c>
      <c r="I22" s="26">
        <f>VLOOKUP($E22,[1]Message!$C:$I,7,FALSE)</f>
        <v>0</v>
      </c>
      <c r="J22" s="26"/>
      <c r="K22" s="26" t="s">
        <v>288</v>
      </c>
      <c r="L22" s="26">
        <v>35</v>
      </c>
      <c r="M22" s="26">
        <v>1</v>
      </c>
      <c r="N22" s="4">
        <v>1</v>
      </c>
      <c r="O22" s="4">
        <v>0</v>
      </c>
      <c r="P22" s="4"/>
      <c r="Q22" s="4"/>
      <c r="R22" s="4">
        <f t="shared" si="0"/>
        <v>0</v>
      </c>
      <c r="S22" s="4">
        <f t="shared" si="1"/>
        <v>1</v>
      </c>
      <c r="T22" s="4" t="s">
        <v>255</v>
      </c>
      <c r="U22" s="26" t="s">
        <v>865</v>
      </c>
      <c r="V22" s="26" t="s">
        <v>270</v>
      </c>
      <c r="W22" s="39" t="s">
        <v>863</v>
      </c>
      <c r="X22" s="39">
        <v>2100</v>
      </c>
      <c r="Y22" s="39">
        <v>2100</v>
      </c>
    </row>
    <row r="23" spans="1:25" s="31" customFormat="1">
      <c r="A23" s="39">
        <v>22</v>
      </c>
      <c r="B23" s="26" t="s">
        <v>253</v>
      </c>
      <c r="C23" s="26">
        <f>MATCH($E23,[1]Message!$C:$C,0)</f>
        <v>10</v>
      </c>
      <c r="D23" s="26" t="str">
        <f>VLOOKUP($E23,[1]Message!$C:$I,3,FALSE)</f>
        <v>0x0401EE41</v>
      </c>
      <c r="E23" s="26" t="str">
        <f>VLOOKUP($B23,[1]Message!$B:$C,2,FALSE)</f>
        <v>U2P_ALARM1</v>
      </c>
      <c r="F23" s="26">
        <f>VLOOKUP($E23,[1]Message!$C:$I,4,FALSE)</f>
        <v>8</v>
      </c>
      <c r="G23" s="26" t="str">
        <f>VLOOKUP($E23,[1]Message!$C:$I,5,FALSE)</f>
        <v>BMU</v>
      </c>
      <c r="H23" s="26" t="str">
        <f>VLOOKUP($E23,[1]Message!$C:$I,6,FALSE)</f>
        <v>Event</v>
      </c>
      <c r="I23" s="26">
        <f>VLOOKUP($E23,[1]Message!$C:$I,7,FALSE)</f>
        <v>0</v>
      </c>
      <c r="J23" s="26"/>
      <c r="K23" s="26" t="s">
        <v>289</v>
      </c>
      <c r="L23" s="26">
        <v>36</v>
      </c>
      <c r="M23" s="26">
        <v>1</v>
      </c>
      <c r="N23" s="4">
        <v>1</v>
      </c>
      <c r="O23" s="4">
        <v>0</v>
      </c>
      <c r="P23" s="4"/>
      <c r="Q23" s="4"/>
      <c r="R23" s="4">
        <f t="shared" si="0"/>
        <v>0</v>
      </c>
      <c r="S23" s="4">
        <f t="shared" si="1"/>
        <v>1</v>
      </c>
      <c r="T23" s="4" t="s">
        <v>255</v>
      </c>
      <c r="U23" s="26" t="s">
        <v>1154</v>
      </c>
      <c r="V23" s="26" t="s">
        <v>270</v>
      </c>
      <c r="W23" s="39" t="s">
        <v>863</v>
      </c>
      <c r="X23" s="39">
        <v>2105</v>
      </c>
      <c r="Y23" s="39">
        <v>2105</v>
      </c>
    </row>
    <row r="24" spans="1:25" s="31" customFormat="1">
      <c r="A24" s="3">
        <v>23</v>
      </c>
      <c r="B24" s="4" t="s">
        <v>253</v>
      </c>
      <c r="C24" s="4">
        <f>MATCH($E24,[1]Message!$C:$C,0)</f>
        <v>10</v>
      </c>
      <c r="D24" s="4" t="str">
        <f>VLOOKUP($E24,[1]Message!$C:$I,3,FALSE)</f>
        <v>0x0401EE41</v>
      </c>
      <c r="E24" s="4" t="str">
        <f>VLOOKUP($B24,[1]Message!$B:$C,2,FALSE)</f>
        <v>U2P_ALARM1</v>
      </c>
      <c r="F24" s="4">
        <f>VLOOKUP($E24,[1]Message!$C:$I,4,FALSE)</f>
        <v>8</v>
      </c>
      <c r="G24" s="4" t="str">
        <f>VLOOKUP($E24,[1]Message!$C:$I,5,FALSE)</f>
        <v>BMU</v>
      </c>
      <c r="H24" s="4" t="str">
        <f>VLOOKUP($E24,[1]Message!$C:$I,6,FALSE)</f>
        <v>Event</v>
      </c>
      <c r="I24" s="4">
        <f>VLOOKUP($E24,[1]Message!$C:$I,7,FALSE)</f>
        <v>0</v>
      </c>
      <c r="J24" s="4"/>
      <c r="K24" s="4" t="s">
        <v>290</v>
      </c>
      <c r="L24" s="4">
        <v>37</v>
      </c>
      <c r="M24" s="4">
        <v>1</v>
      </c>
      <c r="N24" s="4">
        <v>1</v>
      </c>
      <c r="O24" s="4">
        <v>0</v>
      </c>
      <c r="P24" s="4">
        <v>0</v>
      </c>
      <c r="Q24" s="4"/>
      <c r="R24" s="4">
        <f t="shared" si="0"/>
        <v>0</v>
      </c>
      <c r="S24" s="4">
        <f t="shared" si="1"/>
        <v>1</v>
      </c>
      <c r="T24" s="4" t="s">
        <v>255</v>
      </c>
      <c r="U24" s="4" t="s">
        <v>291</v>
      </c>
      <c r="V24" s="4" t="s">
        <v>270</v>
      </c>
      <c r="W24" s="3" t="s">
        <v>863</v>
      </c>
      <c r="X24" s="3">
        <v>2110</v>
      </c>
      <c r="Y24" s="3">
        <v>2110</v>
      </c>
    </row>
    <row r="25" spans="1:25" s="31" customFormat="1">
      <c r="A25" s="3">
        <v>24</v>
      </c>
      <c r="B25" s="4" t="s">
        <v>253</v>
      </c>
      <c r="C25" s="4">
        <f>MATCH($E25,[1]Message!$C:$C,0)</f>
        <v>10</v>
      </c>
      <c r="D25" s="4" t="str">
        <f>VLOOKUP($E25,[1]Message!$C:$I,3,FALSE)</f>
        <v>0x0401EE41</v>
      </c>
      <c r="E25" s="4" t="str">
        <f>VLOOKUP($B25,[1]Message!$B:$C,2,FALSE)</f>
        <v>U2P_ALARM1</v>
      </c>
      <c r="F25" s="4">
        <f>VLOOKUP($E25,[1]Message!$C:$I,4,FALSE)</f>
        <v>8</v>
      </c>
      <c r="G25" s="4" t="str">
        <f>VLOOKUP($E25,[1]Message!$C:$I,5,FALSE)</f>
        <v>BMU</v>
      </c>
      <c r="H25" s="4" t="str">
        <f>VLOOKUP($E25,[1]Message!$C:$I,6,FALSE)</f>
        <v>Event</v>
      </c>
      <c r="I25" s="4">
        <f>VLOOKUP($E25,[1]Message!$C:$I,7,FALSE)</f>
        <v>0</v>
      </c>
      <c r="J25" s="4"/>
      <c r="K25" s="4" t="s">
        <v>292</v>
      </c>
      <c r="L25" s="4">
        <v>38</v>
      </c>
      <c r="M25" s="4">
        <v>1</v>
      </c>
      <c r="N25" s="4">
        <v>1</v>
      </c>
      <c r="O25" s="4">
        <v>0</v>
      </c>
      <c r="P25" s="4">
        <v>0</v>
      </c>
      <c r="Q25" s="4"/>
      <c r="R25" s="4">
        <f t="shared" si="0"/>
        <v>0</v>
      </c>
      <c r="S25" s="4">
        <f t="shared" si="1"/>
        <v>1</v>
      </c>
      <c r="T25" s="4" t="s">
        <v>255</v>
      </c>
      <c r="U25" s="4" t="s">
        <v>867</v>
      </c>
      <c r="V25" s="4" t="s">
        <v>270</v>
      </c>
      <c r="W25" s="3" t="s">
        <v>863</v>
      </c>
      <c r="X25" s="3">
        <v>2115</v>
      </c>
      <c r="Y25" s="3">
        <v>2115</v>
      </c>
    </row>
    <row r="26" spans="1:25" s="31" customFormat="1">
      <c r="A26" s="3">
        <v>25</v>
      </c>
      <c r="B26" s="4" t="s">
        <v>293</v>
      </c>
      <c r="C26" s="4">
        <f>MATCH($E26,[1]Message!$C:$C,0)</f>
        <v>10</v>
      </c>
      <c r="D26" s="4" t="str">
        <f>VLOOKUP($E26,[1]Message!$C:$I,3,FALSE)</f>
        <v>0x0401EE41</v>
      </c>
      <c r="E26" s="4" t="str">
        <f>VLOOKUP($B26,[1]Message!$B:$C,2,FALSE)</f>
        <v>U2P_ALARM1</v>
      </c>
      <c r="F26" s="4">
        <f>VLOOKUP($E26,[1]Message!$C:$I,4,FALSE)</f>
        <v>8</v>
      </c>
      <c r="G26" s="4" t="str">
        <f>VLOOKUP($E26,[1]Message!$C:$I,5,FALSE)</f>
        <v>BMU</v>
      </c>
      <c r="H26" s="4" t="str">
        <f>VLOOKUP($E26,[1]Message!$C:$I,6,FALSE)</f>
        <v>Event</v>
      </c>
      <c r="I26" s="4">
        <f>VLOOKUP($E26,[1]Message!$C:$I,7,FALSE)</f>
        <v>0</v>
      </c>
      <c r="J26" s="4"/>
      <c r="K26" s="4" t="s">
        <v>294</v>
      </c>
      <c r="L26" s="4">
        <v>39</v>
      </c>
      <c r="M26" s="4">
        <v>1</v>
      </c>
      <c r="N26" s="4">
        <v>1</v>
      </c>
      <c r="O26" s="4">
        <v>0</v>
      </c>
      <c r="P26" s="4">
        <v>0</v>
      </c>
      <c r="Q26" s="4"/>
      <c r="R26" s="4">
        <f t="shared" si="0"/>
        <v>0</v>
      </c>
      <c r="S26" s="4">
        <f t="shared" si="1"/>
        <v>1</v>
      </c>
      <c r="T26" s="4" t="s">
        <v>295</v>
      </c>
      <c r="U26" s="4" t="s">
        <v>868</v>
      </c>
      <c r="V26" s="4" t="s">
        <v>296</v>
      </c>
      <c r="W26" s="3" t="s">
        <v>863</v>
      </c>
      <c r="X26" s="3">
        <v>2120</v>
      </c>
      <c r="Y26" s="3">
        <v>2120</v>
      </c>
    </row>
    <row r="27" spans="1:25" s="31" customFormat="1">
      <c r="A27" s="3">
        <v>26</v>
      </c>
      <c r="B27" s="4" t="s">
        <v>253</v>
      </c>
      <c r="C27" s="4">
        <f>MATCH($E27,[1]Message!$C:$C,0)</f>
        <v>10</v>
      </c>
      <c r="D27" s="4" t="str">
        <f>VLOOKUP($E27,[1]Message!$C:$I,3,FALSE)</f>
        <v>0x0401EE41</v>
      </c>
      <c r="E27" s="4" t="str">
        <f>VLOOKUP($B27,[1]Message!$B:$C,2,FALSE)</f>
        <v>U2P_ALARM1</v>
      </c>
      <c r="F27" s="4">
        <f>VLOOKUP($E27,[1]Message!$C:$I,4,FALSE)</f>
        <v>8</v>
      </c>
      <c r="G27" s="4" t="str">
        <f>VLOOKUP($E27,[1]Message!$C:$I,5,FALSE)</f>
        <v>BMU</v>
      </c>
      <c r="H27" s="4" t="str">
        <f>VLOOKUP($E27,[1]Message!$C:$I,6,FALSE)</f>
        <v>Event</v>
      </c>
      <c r="I27" s="4">
        <f>VLOOKUP($E27,[1]Message!$C:$I,7,FALSE)</f>
        <v>0</v>
      </c>
      <c r="J27" s="4"/>
      <c r="K27" s="4" t="s">
        <v>297</v>
      </c>
      <c r="L27" s="4">
        <v>40</v>
      </c>
      <c r="M27" s="4">
        <v>1</v>
      </c>
      <c r="N27" s="4">
        <v>1</v>
      </c>
      <c r="O27" s="4">
        <v>0</v>
      </c>
      <c r="P27" s="4">
        <v>0</v>
      </c>
      <c r="Q27" s="4"/>
      <c r="R27" s="4">
        <f t="shared" si="0"/>
        <v>0</v>
      </c>
      <c r="S27" s="4">
        <f t="shared" si="1"/>
        <v>1</v>
      </c>
      <c r="T27" s="4" t="s">
        <v>298</v>
      </c>
      <c r="U27" s="4" t="s">
        <v>299</v>
      </c>
      <c r="V27" s="4" t="s">
        <v>300</v>
      </c>
      <c r="W27" s="3" t="s">
        <v>863</v>
      </c>
      <c r="X27" s="3">
        <v>2125</v>
      </c>
      <c r="Y27" s="3">
        <v>2125</v>
      </c>
    </row>
    <row r="28" spans="1:25" s="31" customFormat="1">
      <c r="A28" s="3">
        <v>27</v>
      </c>
      <c r="B28" s="4" t="s">
        <v>253</v>
      </c>
      <c r="C28" s="4">
        <f>MATCH($E28,[1]Message!$C:$C,0)</f>
        <v>10</v>
      </c>
      <c r="D28" s="4" t="str">
        <f>VLOOKUP($E28,[1]Message!$C:$I,3,FALSE)</f>
        <v>0x0401EE41</v>
      </c>
      <c r="E28" s="4" t="str">
        <f>VLOOKUP($B28,[1]Message!$B:$C,2,FALSE)</f>
        <v>U2P_ALARM1</v>
      </c>
      <c r="F28" s="4">
        <f>VLOOKUP($E28,[1]Message!$C:$I,4,FALSE)</f>
        <v>8</v>
      </c>
      <c r="G28" s="4" t="str">
        <f>VLOOKUP($E28,[1]Message!$C:$I,5,FALSE)</f>
        <v>BMU</v>
      </c>
      <c r="H28" s="4" t="str">
        <f>VLOOKUP($E28,[1]Message!$C:$I,6,FALSE)</f>
        <v>Event</v>
      </c>
      <c r="I28" s="4">
        <f>VLOOKUP($E28,[1]Message!$C:$I,7,FALSE)</f>
        <v>0</v>
      </c>
      <c r="J28" s="4"/>
      <c r="K28" s="4" t="s">
        <v>301</v>
      </c>
      <c r="L28" s="4">
        <v>41</v>
      </c>
      <c r="M28" s="4">
        <v>1</v>
      </c>
      <c r="N28" s="4">
        <v>1</v>
      </c>
      <c r="O28" s="4">
        <v>0</v>
      </c>
      <c r="P28" s="4">
        <v>0</v>
      </c>
      <c r="Q28" s="4"/>
      <c r="R28" s="4">
        <f t="shared" si="0"/>
        <v>0</v>
      </c>
      <c r="S28" s="4">
        <f t="shared" si="1"/>
        <v>1</v>
      </c>
      <c r="T28" s="4" t="s">
        <v>298</v>
      </c>
      <c r="U28" s="4" t="s">
        <v>869</v>
      </c>
      <c r="V28" s="4" t="s">
        <v>300</v>
      </c>
      <c r="W28" s="3" t="s">
        <v>863</v>
      </c>
      <c r="X28" s="3">
        <v>2130</v>
      </c>
      <c r="Y28" s="3">
        <v>2130</v>
      </c>
    </row>
    <row r="29" spans="1:25" s="31" customFormat="1">
      <c r="A29" s="39">
        <v>28</v>
      </c>
      <c r="B29" s="26" t="s">
        <v>253</v>
      </c>
      <c r="C29" s="26">
        <f>MATCH($E29,[1]Message!$C:$C,0)</f>
        <v>10</v>
      </c>
      <c r="D29" s="26" t="str">
        <f>VLOOKUP($E29,[1]Message!$C:$I,3,FALSE)</f>
        <v>0x0401EE41</v>
      </c>
      <c r="E29" s="26" t="str">
        <f>VLOOKUP($B29,[1]Message!$B:$C,2,FALSE)</f>
        <v>U2P_ALARM1</v>
      </c>
      <c r="F29" s="26">
        <f>VLOOKUP($E29,[1]Message!$C:$I,4,FALSE)</f>
        <v>8</v>
      </c>
      <c r="G29" s="26" t="str">
        <f>VLOOKUP($E29,[1]Message!$C:$I,5,FALSE)</f>
        <v>BMU</v>
      </c>
      <c r="H29" s="26" t="str">
        <f>VLOOKUP($E29,[1]Message!$C:$I,6,FALSE)</f>
        <v>Event</v>
      </c>
      <c r="I29" s="26">
        <f>VLOOKUP($E29,[1]Message!$C:$I,7,FALSE)</f>
        <v>0</v>
      </c>
      <c r="J29" s="26"/>
      <c r="K29" s="26" t="s">
        <v>1155</v>
      </c>
      <c r="L29" s="26">
        <v>42</v>
      </c>
      <c r="M29" s="26">
        <v>1</v>
      </c>
      <c r="N29" s="4">
        <v>1</v>
      </c>
      <c r="O29" s="4">
        <v>0</v>
      </c>
      <c r="P29" s="6"/>
      <c r="Q29" s="4"/>
      <c r="R29" s="4">
        <f t="shared" si="0"/>
        <v>0</v>
      </c>
      <c r="S29" s="4">
        <f t="shared" si="1"/>
        <v>1</v>
      </c>
      <c r="T29" s="4" t="s">
        <v>298</v>
      </c>
      <c r="U29" s="26" t="s">
        <v>1156</v>
      </c>
      <c r="V29" s="26" t="s">
        <v>300</v>
      </c>
      <c r="W29" s="39" t="s">
        <v>863</v>
      </c>
      <c r="X29" s="39">
        <v>2135</v>
      </c>
      <c r="Y29" s="39">
        <v>2135</v>
      </c>
    </row>
    <row r="30" spans="1:25" s="31" customFormat="1">
      <c r="A30" s="39">
        <v>29</v>
      </c>
      <c r="B30" s="26" t="s">
        <v>253</v>
      </c>
      <c r="C30" s="26">
        <f>MATCH($E30,[1]Message!$C:$C,0)</f>
        <v>10</v>
      </c>
      <c r="D30" s="26" t="str">
        <f>VLOOKUP($E30,[1]Message!$C:$I,3,FALSE)</f>
        <v>0x0401EE41</v>
      </c>
      <c r="E30" s="26" t="str">
        <f>VLOOKUP($B30,[1]Message!$B:$C,2,FALSE)</f>
        <v>U2P_ALARM1</v>
      </c>
      <c r="F30" s="26">
        <f>VLOOKUP($E30,[1]Message!$C:$I,4,FALSE)</f>
        <v>8</v>
      </c>
      <c r="G30" s="26" t="str">
        <f>VLOOKUP($E30,[1]Message!$C:$I,5,FALSE)</f>
        <v>BMU</v>
      </c>
      <c r="H30" s="26" t="str">
        <f>VLOOKUP($E30,[1]Message!$C:$I,6,FALSE)</f>
        <v>Event</v>
      </c>
      <c r="I30" s="26">
        <f>VLOOKUP($E30,[1]Message!$C:$I,7,FALSE)</f>
        <v>0</v>
      </c>
      <c r="J30" s="26"/>
      <c r="K30" s="26" t="s">
        <v>1157</v>
      </c>
      <c r="L30" s="26">
        <v>43</v>
      </c>
      <c r="M30" s="26">
        <v>1</v>
      </c>
      <c r="N30" s="4">
        <v>1</v>
      </c>
      <c r="O30" s="4">
        <v>0</v>
      </c>
      <c r="P30" s="4"/>
      <c r="Q30" s="4"/>
      <c r="R30" s="4">
        <f t="shared" si="0"/>
        <v>0</v>
      </c>
      <c r="S30" s="4">
        <f t="shared" si="1"/>
        <v>1</v>
      </c>
      <c r="T30" s="4" t="s">
        <v>298</v>
      </c>
      <c r="U30" s="26" t="s">
        <v>1158</v>
      </c>
      <c r="V30" s="26" t="s">
        <v>300</v>
      </c>
      <c r="W30" s="39" t="s">
        <v>863</v>
      </c>
      <c r="X30" s="39">
        <v>2140</v>
      </c>
      <c r="Y30" s="39">
        <v>2140</v>
      </c>
    </row>
    <row r="31" spans="1:25" s="31" customFormat="1">
      <c r="A31" s="39">
        <v>30</v>
      </c>
      <c r="B31" s="26" t="s">
        <v>253</v>
      </c>
      <c r="C31" s="26">
        <f>MATCH($E31,[1]Message!$C:$C,0)</f>
        <v>10</v>
      </c>
      <c r="D31" s="26" t="str">
        <f>VLOOKUP($E31,[1]Message!$C:$I,3,FALSE)</f>
        <v>0x0401EE41</v>
      </c>
      <c r="E31" s="26" t="str">
        <f>VLOOKUP($B31,[1]Message!$B:$C,2,FALSE)</f>
        <v>U2P_ALARM1</v>
      </c>
      <c r="F31" s="26">
        <f>VLOOKUP($E31,[1]Message!$C:$I,4,FALSE)</f>
        <v>8</v>
      </c>
      <c r="G31" s="26" t="str">
        <f>VLOOKUP($E31,[1]Message!$C:$I,5,FALSE)</f>
        <v>BMU</v>
      </c>
      <c r="H31" s="26" t="str">
        <f>VLOOKUP($E31,[1]Message!$C:$I,6,FALSE)</f>
        <v>Event</v>
      </c>
      <c r="I31" s="26">
        <f>VLOOKUP($E31,[1]Message!$C:$I,7,FALSE)</f>
        <v>0</v>
      </c>
      <c r="J31" s="26"/>
      <c r="K31" s="26" t="s">
        <v>1159</v>
      </c>
      <c r="L31" s="26">
        <v>44</v>
      </c>
      <c r="M31" s="26">
        <v>1</v>
      </c>
      <c r="N31" s="4">
        <v>1</v>
      </c>
      <c r="O31" s="4">
        <v>0</v>
      </c>
      <c r="P31" s="4"/>
      <c r="Q31" s="4"/>
      <c r="R31" s="4">
        <f t="shared" si="0"/>
        <v>0</v>
      </c>
      <c r="S31" s="4">
        <f t="shared" si="1"/>
        <v>1</v>
      </c>
      <c r="T31" s="4" t="s">
        <v>298</v>
      </c>
      <c r="U31" s="26" t="s">
        <v>1162</v>
      </c>
      <c r="V31" s="26" t="s">
        <v>300</v>
      </c>
      <c r="W31" s="39" t="s">
        <v>863</v>
      </c>
      <c r="X31" s="39">
        <v>2145</v>
      </c>
      <c r="Y31" s="39">
        <v>2145</v>
      </c>
    </row>
    <row r="32" spans="1:25" s="31" customFormat="1">
      <c r="A32" s="39">
        <v>31</v>
      </c>
      <c r="B32" s="26" t="s">
        <v>253</v>
      </c>
      <c r="C32" s="26">
        <f>MATCH($E32,[1]Message!$C:$C,0)</f>
        <v>10</v>
      </c>
      <c r="D32" s="26" t="str">
        <f>VLOOKUP($E32,[1]Message!$C:$I,3,FALSE)</f>
        <v>0x0401EE41</v>
      </c>
      <c r="E32" s="26" t="str">
        <f>VLOOKUP($B32,[1]Message!$B:$C,2,FALSE)</f>
        <v>U2P_ALARM1</v>
      </c>
      <c r="F32" s="26">
        <f>VLOOKUP($E32,[1]Message!$C:$I,4,FALSE)</f>
        <v>8</v>
      </c>
      <c r="G32" s="26" t="str">
        <f>VLOOKUP($E32,[1]Message!$C:$I,5,FALSE)</f>
        <v>BMU</v>
      </c>
      <c r="H32" s="26" t="str">
        <f>VLOOKUP($E32,[1]Message!$C:$I,6,FALSE)</f>
        <v>Event</v>
      </c>
      <c r="I32" s="26">
        <f>VLOOKUP($E32,[1]Message!$C:$I,7,FALSE)</f>
        <v>0</v>
      </c>
      <c r="J32" s="26"/>
      <c r="K32" s="26" t="s">
        <v>1160</v>
      </c>
      <c r="L32" s="26">
        <v>45</v>
      </c>
      <c r="M32" s="26">
        <v>1</v>
      </c>
      <c r="N32" s="4">
        <v>1</v>
      </c>
      <c r="O32" s="4">
        <v>0</v>
      </c>
      <c r="P32" s="4"/>
      <c r="Q32" s="4"/>
      <c r="R32" s="4">
        <f t="shared" si="0"/>
        <v>0</v>
      </c>
      <c r="S32" s="4">
        <f t="shared" si="1"/>
        <v>1</v>
      </c>
      <c r="T32" s="4" t="s">
        <v>298</v>
      </c>
      <c r="U32" s="26" t="s">
        <v>1163</v>
      </c>
      <c r="V32" s="26" t="s">
        <v>300</v>
      </c>
      <c r="W32" s="39" t="s">
        <v>863</v>
      </c>
      <c r="X32" s="39">
        <v>2150</v>
      </c>
      <c r="Y32" s="39">
        <v>2150</v>
      </c>
    </row>
    <row r="33" spans="1:25" s="31" customFormat="1">
      <c r="A33" s="39">
        <v>32</v>
      </c>
      <c r="B33" s="26" t="s">
        <v>253</v>
      </c>
      <c r="C33" s="26">
        <f>MATCH($E33,[1]Message!$C:$C,0)</f>
        <v>10</v>
      </c>
      <c r="D33" s="26" t="str">
        <f>VLOOKUP($E33,[1]Message!$C:$I,3,FALSE)</f>
        <v>0x0401EE41</v>
      </c>
      <c r="E33" s="26" t="str">
        <f>VLOOKUP($B33,[1]Message!$B:$C,2,FALSE)</f>
        <v>U2P_ALARM1</v>
      </c>
      <c r="F33" s="26">
        <f>VLOOKUP($E33,[1]Message!$C:$I,4,FALSE)</f>
        <v>8</v>
      </c>
      <c r="G33" s="26" t="str">
        <f>VLOOKUP($E33,[1]Message!$C:$I,5,FALSE)</f>
        <v>BMU</v>
      </c>
      <c r="H33" s="26" t="str">
        <f>VLOOKUP($E33,[1]Message!$C:$I,6,FALSE)</f>
        <v>Event</v>
      </c>
      <c r="I33" s="26">
        <f>VLOOKUP($E33,[1]Message!$C:$I,7,FALSE)</f>
        <v>0</v>
      </c>
      <c r="J33" s="26"/>
      <c r="K33" s="26" t="s">
        <v>1161</v>
      </c>
      <c r="L33" s="26">
        <v>46</v>
      </c>
      <c r="M33" s="26">
        <v>1</v>
      </c>
      <c r="N33" s="4">
        <v>1</v>
      </c>
      <c r="O33" s="4">
        <v>0</v>
      </c>
      <c r="P33" s="4"/>
      <c r="Q33" s="4"/>
      <c r="R33" s="4">
        <f t="shared" si="0"/>
        <v>0</v>
      </c>
      <c r="S33" s="4">
        <f t="shared" si="1"/>
        <v>1</v>
      </c>
      <c r="T33" s="4" t="s">
        <v>298</v>
      </c>
      <c r="U33" s="26" t="s">
        <v>1164</v>
      </c>
      <c r="V33" s="26" t="s">
        <v>300</v>
      </c>
      <c r="W33" s="39" t="s">
        <v>863</v>
      </c>
      <c r="X33" s="39">
        <v>2155</v>
      </c>
      <c r="Y33" s="39">
        <v>2155</v>
      </c>
    </row>
    <row r="34" spans="1:25" s="31" customFormat="1">
      <c r="A34" s="3">
        <v>33</v>
      </c>
      <c r="B34" s="4" t="s">
        <v>253</v>
      </c>
      <c r="C34" s="4">
        <f>MATCH($E34,[1]Message!$C:$C,0)</f>
        <v>10</v>
      </c>
      <c r="D34" s="4" t="str">
        <f>VLOOKUP($E34,[1]Message!$C:$I,3,FALSE)</f>
        <v>0x0401EE41</v>
      </c>
      <c r="E34" s="4" t="str">
        <f>VLOOKUP($B34,[1]Message!$B:$C,2,FALSE)</f>
        <v>U2P_ALARM1</v>
      </c>
      <c r="F34" s="4">
        <f>VLOOKUP($E34,[1]Message!$C:$I,4,FALSE)</f>
        <v>8</v>
      </c>
      <c r="G34" s="4" t="str">
        <f>VLOOKUP($E34,[1]Message!$C:$I,5,FALSE)</f>
        <v>BMU</v>
      </c>
      <c r="H34" s="4" t="str">
        <f>VLOOKUP($E34,[1]Message!$C:$I,6,FALSE)</f>
        <v>Event</v>
      </c>
      <c r="I34" s="4">
        <f>VLOOKUP($E34,[1]Message!$C:$I,7,FALSE)</f>
        <v>0</v>
      </c>
      <c r="J34" s="4"/>
      <c r="K34" s="4" t="s">
        <v>302</v>
      </c>
      <c r="L34" s="4">
        <v>47</v>
      </c>
      <c r="M34" s="4">
        <v>1</v>
      </c>
      <c r="N34" s="4">
        <v>1</v>
      </c>
      <c r="O34" s="4">
        <v>0</v>
      </c>
      <c r="P34" s="4">
        <v>0</v>
      </c>
      <c r="Q34" s="4"/>
      <c r="R34" s="4">
        <f t="shared" si="0"/>
        <v>0</v>
      </c>
      <c r="S34" s="4">
        <f t="shared" si="1"/>
        <v>1</v>
      </c>
      <c r="T34" s="4" t="s">
        <v>298</v>
      </c>
      <c r="U34" s="4" t="s">
        <v>303</v>
      </c>
      <c r="V34" s="4" t="s">
        <v>300</v>
      </c>
      <c r="W34" s="3" t="s">
        <v>863</v>
      </c>
      <c r="X34" s="3">
        <v>2160</v>
      </c>
      <c r="Y34" s="3">
        <v>2160</v>
      </c>
    </row>
    <row r="35" spans="1:25" s="31" customFormat="1">
      <c r="A35" s="39">
        <v>34</v>
      </c>
      <c r="B35" s="26" t="s">
        <v>253</v>
      </c>
      <c r="C35" s="26">
        <f>MATCH($E35,[1]Message!$C:$C,0)</f>
        <v>10</v>
      </c>
      <c r="D35" s="26" t="str">
        <f>VLOOKUP($E35,[1]Message!$C:$I,3,FALSE)</f>
        <v>0x0401EE41</v>
      </c>
      <c r="E35" s="26" t="str">
        <f>VLOOKUP($B35,[1]Message!$B:$C,2,FALSE)</f>
        <v>U2P_ALARM1</v>
      </c>
      <c r="F35" s="26">
        <f>VLOOKUP($E35,[1]Message!$C:$I,4,FALSE)</f>
        <v>8</v>
      </c>
      <c r="G35" s="26" t="str">
        <f>VLOOKUP($E35,[1]Message!$C:$I,5,FALSE)</f>
        <v>BMU</v>
      </c>
      <c r="H35" s="26" t="str">
        <f>VLOOKUP($E35,[1]Message!$C:$I,6,FALSE)</f>
        <v>Event</v>
      </c>
      <c r="I35" s="26">
        <f>VLOOKUP($E35,[1]Message!$C:$I,7,FALSE)</f>
        <v>0</v>
      </c>
      <c r="J35" s="26"/>
      <c r="K35" s="26" t="s">
        <v>1166</v>
      </c>
      <c r="L35" s="26">
        <v>48</v>
      </c>
      <c r="M35" s="26">
        <v>1</v>
      </c>
      <c r="N35" s="4">
        <v>1</v>
      </c>
      <c r="O35" s="4">
        <v>0</v>
      </c>
      <c r="P35" s="4"/>
      <c r="Q35" s="4"/>
      <c r="R35" s="4">
        <f t="shared" si="0"/>
        <v>0</v>
      </c>
      <c r="S35" s="4">
        <f t="shared" si="1"/>
        <v>1</v>
      </c>
      <c r="T35" s="4" t="s">
        <v>298</v>
      </c>
      <c r="U35" s="26" t="s">
        <v>1167</v>
      </c>
      <c r="V35" s="26" t="s">
        <v>300</v>
      </c>
      <c r="W35" s="39" t="s">
        <v>863</v>
      </c>
      <c r="X35" s="39">
        <v>2165</v>
      </c>
      <c r="Y35" s="39">
        <v>2165</v>
      </c>
    </row>
    <row r="36" spans="1:25" s="31" customFormat="1">
      <c r="A36" s="39">
        <v>35</v>
      </c>
      <c r="B36" s="26" t="s">
        <v>253</v>
      </c>
      <c r="C36" s="26">
        <f>MATCH($E36,[1]Message!$C:$C,0)</f>
        <v>10</v>
      </c>
      <c r="D36" s="26" t="str">
        <f>VLOOKUP($E36,[1]Message!$C:$I,3,FALSE)</f>
        <v>0x0401EE41</v>
      </c>
      <c r="E36" s="26" t="str">
        <f>VLOOKUP($B36,[1]Message!$B:$C,2,FALSE)</f>
        <v>U2P_ALARM1</v>
      </c>
      <c r="F36" s="26">
        <f>VLOOKUP($E36,[1]Message!$C:$I,4,FALSE)</f>
        <v>8</v>
      </c>
      <c r="G36" s="26" t="str">
        <f>VLOOKUP($E36,[1]Message!$C:$I,5,FALSE)</f>
        <v>BMU</v>
      </c>
      <c r="H36" s="26" t="str">
        <f>VLOOKUP($E36,[1]Message!$C:$I,6,FALSE)</f>
        <v>Event</v>
      </c>
      <c r="I36" s="26">
        <f>VLOOKUP($E36,[1]Message!$C:$I,7,FALSE)</f>
        <v>0</v>
      </c>
      <c r="J36" s="26"/>
      <c r="K36" s="26" t="s">
        <v>1168</v>
      </c>
      <c r="L36" s="26">
        <v>49</v>
      </c>
      <c r="M36" s="26">
        <v>1</v>
      </c>
      <c r="N36" s="4">
        <v>1</v>
      </c>
      <c r="O36" s="4">
        <v>0</v>
      </c>
      <c r="P36" s="4"/>
      <c r="Q36" s="4"/>
      <c r="R36" s="4">
        <f t="shared" si="0"/>
        <v>0</v>
      </c>
      <c r="S36" s="4">
        <f t="shared" si="1"/>
        <v>1</v>
      </c>
      <c r="T36" s="4" t="s">
        <v>298</v>
      </c>
      <c r="U36" s="26" t="s">
        <v>1169</v>
      </c>
      <c r="V36" s="26" t="s">
        <v>300</v>
      </c>
      <c r="W36" s="39" t="s">
        <v>863</v>
      </c>
      <c r="X36" s="39">
        <v>2170</v>
      </c>
      <c r="Y36" s="39">
        <v>2170</v>
      </c>
    </row>
    <row r="37" spans="1:25" s="31" customFormat="1">
      <c r="A37" s="3">
        <v>36</v>
      </c>
      <c r="B37" s="4" t="s">
        <v>253</v>
      </c>
      <c r="C37" s="4">
        <f>MATCH($E37,[1]Message!$C:$C,0)</f>
        <v>10</v>
      </c>
      <c r="D37" s="4" t="str">
        <f>VLOOKUP($E37,[1]Message!$C:$I,3,FALSE)</f>
        <v>0x0401EE41</v>
      </c>
      <c r="E37" s="4" t="str">
        <f>VLOOKUP($B37,[1]Message!$B:$C,2,FALSE)</f>
        <v>U2P_ALARM1</v>
      </c>
      <c r="F37" s="4">
        <f>VLOOKUP($E37,[1]Message!$C:$I,4,FALSE)</f>
        <v>8</v>
      </c>
      <c r="G37" s="4" t="str">
        <f>VLOOKUP($E37,[1]Message!$C:$I,5,FALSE)</f>
        <v>BMU</v>
      </c>
      <c r="H37" s="4" t="str">
        <f>VLOOKUP($E37,[1]Message!$C:$I,6,FALSE)</f>
        <v>Event</v>
      </c>
      <c r="I37" s="4">
        <f>VLOOKUP($E37,[1]Message!$C:$I,7,FALSE)</f>
        <v>0</v>
      </c>
      <c r="J37" s="4"/>
      <c r="K37" s="4" t="s">
        <v>304</v>
      </c>
      <c r="L37" s="4">
        <v>50</v>
      </c>
      <c r="M37" s="4">
        <v>1</v>
      </c>
      <c r="N37" s="4">
        <v>1</v>
      </c>
      <c r="O37" s="4">
        <v>0</v>
      </c>
      <c r="P37" s="4">
        <v>0</v>
      </c>
      <c r="Q37" s="4"/>
      <c r="R37" s="4">
        <f t="shared" si="0"/>
        <v>0</v>
      </c>
      <c r="S37" s="4">
        <f t="shared" si="1"/>
        <v>1</v>
      </c>
      <c r="T37" s="4" t="s">
        <v>298</v>
      </c>
      <c r="U37" s="4" t="s">
        <v>877</v>
      </c>
      <c r="V37" s="4" t="s">
        <v>300</v>
      </c>
      <c r="W37" s="3" t="s">
        <v>863</v>
      </c>
      <c r="X37" s="3">
        <v>2175</v>
      </c>
      <c r="Y37" s="3">
        <v>2175</v>
      </c>
    </row>
    <row r="38" spans="1:25" s="31" customFormat="1">
      <c r="A38" s="3">
        <v>37</v>
      </c>
      <c r="B38" s="4" t="s">
        <v>253</v>
      </c>
      <c r="C38" s="4">
        <f>MATCH($E38,[1]Message!$C:$C,0)</f>
        <v>10</v>
      </c>
      <c r="D38" s="4" t="str">
        <f>VLOOKUP($E38,[1]Message!$C:$I,3,FALSE)</f>
        <v>0x0401EE41</v>
      </c>
      <c r="E38" s="4" t="str">
        <f>VLOOKUP($B38,[1]Message!$B:$C,2,FALSE)</f>
        <v>U2P_ALARM1</v>
      </c>
      <c r="F38" s="4">
        <f>VLOOKUP($E38,[1]Message!$C:$I,4,FALSE)</f>
        <v>8</v>
      </c>
      <c r="G38" s="4" t="str">
        <f>VLOOKUP($E38,[1]Message!$C:$I,5,FALSE)</f>
        <v>BMU</v>
      </c>
      <c r="H38" s="4" t="str">
        <f>VLOOKUP($E38,[1]Message!$C:$I,6,FALSE)</f>
        <v>Event</v>
      </c>
      <c r="I38" s="4">
        <f>VLOOKUP($E38,[1]Message!$C:$I,7,FALSE)</f>
        <v>0</v>
      </c>
      <c r="J38" s="4"/>
      <c r="K38" s="4" t="s">
        <v>305</v>
      </c>
      <c r="L38" s="4">
        <v>51</v>
      </c>
      <c r="M38" s="4">
        <v>1</v>
      </c>
      <c r="N38" s="4">
        <v>1</v>
      </c>
      <c r="O38" s="4">
        <v>0</v>
      </c>
      <c r="P38" s="4">
        <v>0</v>
      </c>
      <c r="Q38" s="4"/>
      <c r="R38" s="4">
        <f t="shared" si="0"/>
        <v>0</v>
      </c>
      <c r="S38" s="4">
        <f t="shared" si="1"/>
        <v>1</v>
      </c>
      <c r="T38" s="4" t="s">
        <v>298</v>
      </c>
      <c r="U38" s="4" t="s">
        <v>306</v>
      </c>
      <c r="V38" s="4" t="s">
        <v>300</v>
      </c>
      <c r="W38" s="3" t="s">
        <v>863</v>
      </c>
      <c r="X38" s="3">
        <v>2180</v>
      </c>
      <c r="Y38" s="3">
        <v>2180</v>
      </c>
    </row>
    <row r="39" spans="1:25" s="31" customFormat="1">
      <c r="A39" s="3">
        <v>38</v>
      </c>
      <c r="B39" s="4" t="s">
        <v>253</v>
      </c>
      <c r="C39" s="4">
        <f>MATCH($E39,[1]Message!$C:$C,0)</f>
        <v>10</v>
      </c>
      <c r="D39" s="4" t="str">
        <f>VLOOKUP($E39,[1]Message!$C:$I,3,FALSE)</f>
        <v>0x0401EE41</v>
      </c>
      <c r="E39" s="4" t="str">
        <f>VLOOKUP($B39,[1]Message!$B:$C,2,FALSE)</f>
        <v>U2P_ALARM1</v>
      </c>
      <c r="F39" s="4">
        <f>VLOOKUP($E39,[1]Message!$C:$I,4,FALSE)</f>
        <v>8</v>
      </c>
      <c r="G39" s="4" t="str">
        <f>VLOOKUP($E39,[1]Message!$C:$I,5,FALSE)</f>
        <v>BMU</v>
      </c>
      <c r="H39" s="4" t="str">
        <f>VLOOKUP($E39,[1]Message!$C:$I,6,FALSE)</f>
        <v>Event</v>
      </c>
      <c r="I39" s="4">
        <f>VLOOKUP($E39,[1]Message!$C:$I,7,FALSE)</f>
        <v>0</v>
      </c>
      <c r="J39" s="4"/>
      <c r="K39" s="4" t="s">
        <v>307</v>
      </c>
      <c r="L39" s="4">
        <v>52</v>
      </c>
      <c r="M39" s="4">
        <v>1</v>
      </c>
      <c r="N39" s="4">
        <v>1</v>
      </c>
      <c r="O39" s="4">
        <v>0</v>
      </c>
      <c r="P39" s="4">
        <v>0</v>
      </c>
      <c r="Q39" s="4"/>
      <c r="R39" s="4">
        <f t="shared" si="0"/>
        <v>0</v>
      </c>
      <c r="S39" s="4">
        <f t="shared" si="1"/>
        <v>1</v>
      </c>
      <c r="T39" s="4" t="s">
        <v>298</v>
      </c>
      <c r="U39" s="4" t="s">
        <v>1143</v>
      </c>
      <c r="V39" s="4" t="s">
        <v>300</v>
      </c>
      <c r="W39" s="3" t="s">
        <v>863</v>
      </c>
      <c r="X39" s="3">
        <v>2185</v>
      </c>
      <c r="Y39" s="3">
        <v>2185</v>
      </c>
    </row>
    <row r="40" spans="1:25" s="31" customFormat="1">
      <c r="A40" s="3">
        <v>39</v>
      </c>
      <c r="B40" s="4" t="s">
        <v>253</v>
      </c>
      <c r="C40" s="4">
        <f>MATCH($E40,[1]Message!$C:$C,0)</f>
        <v>10</v>
      </c>
      <c r="D40" s="4" t="str">
        <f>VLOOKUP($E40,[1]Message!$C:$I,3,FALSE)</f>
        <v>0x0401EE41</v>
      </c>
      <c r="E40" s="4" t="str">
        <f>VLOOKUP($B40,[1]Message!$B:$C,2,FALSE)</f>
        <v>U2P_ALARM1</v>
      </c>
      <c r="F40" s="4">
        <f>VLOOKUP($E40,[1]Message!$C:$I,4,FALSE)</f>
        <v>8</v>
      </c>
      <c r="G40" s="4" t="str">
        <f>VLOOKUP($E40,[1]Message!$C:$I,5,FALSE)</f>
        <v>BMU</v>
      </c>
      <c r="H40" s="4" t="str">
        <f>VLOOKUP($E40,[1]Message!$C:$I,6,FALSE)</f>
        <v>Event</v>
      </c>
      <c r="I40" s="4">
        <f>VLOOKUP($E40,[1]Message!$C:$I,7,FALSE)</f>
        <v>0</v>
      </c>
      <c r="J40" s="4"/>
      <c r="K40" s="4" t="s">
        <v>308</v>
      </c>
      <c r="L40" s="4">
        <v>53</v>
      </c>
      <c r="M40" s="4">
        <v>1</v>
      </c>
      <c r="N40" s="4">
        <v>1</v>
      </c>
      <c r="O40" s="4">
        <v>0</v>
      </c>
      <c r="P40" s="4">
        <v>0</v>
      </c>
      <c r="Q40" s="4"/>
      <c r="R40" s="4">
        <f t="shared" si="0"/>
        <v>0</v>
      </c>
      <c r="S40" s="4">
        <f t="shared" si="1"/>
        <v>1</v>
      </c>
      <c r="T40" s="4" t="s">
        <v>298</v>
      </c>
      <c r="U40" s="4" t="s">
        <v>878</v>
      </c>
      <c r="V40" s="4" t="s">
        <v>300</v>
      </c>
      <c r="W40" s="3" t="s">
        <v>860</v>
      </c>
      <c r="X40" s="3">
        <v>2190</v>
      </c>
      <c r="Y40" s="3">
        <v>2190</v>
      </c>
    </row>
    <row r="41" spans="1:25" s="31" customFormat="1">
      <c r="A41" s="3">
        <v>40</v>
      </c>
      <c r="B41" s="4" t="s">
        <v>309</v>
      </c>
      <c r="C41" s="4">
        <f>MATCH($E41,[1]Message!$C:$C,0)</f>
        <v>10</v>
      </c>
      <c r="D41" s="4" t="str">
        <f>VLOOKUP($E41,[1]Message!$C:$I,3,FALSE)</f>
        <v>0x0401EE41</v>
      </c>
      <c r="E41" s="4" t="str">
        <f>VLOOKUP($B41,[1]Message!$B:$C,2,FALSE)</f>
        <v>U2P_ALARM1</v>
      </c>
      <c r="F41" s="4">
        <f>VLOOKUP($E41,[1]Message!$C:$I,4,FALSE)</f>
        <v>8</v>
      </c>
      <c r="G41" s="4" t="str">
        <f>VLOOKUP($E41,[1]Message!$C:$I,5,FALSE)</f>
        <v>BMU</v>
      </c>
      <c r="H41" s="4" t="str">
        <f>VLOOKUP($E41,[1]Message!$C:$I,6,FALSE)</f>
        <v>Event</v>
      </c>
      <c r="I41" s="4">
        <f>VLOOKUP($E41,[1]Message!$C:$I,7,FALSE)</f>
        <v>0</v>
      </c>
      <c r="J41" s="4"/>
      <c r="K41" s="4" t="s">
        <v>310</v>
      </c>
      <c r="L41" s="4">
        <v>54</v>
      </c>
      <c r="M41" s="4">
        <v>10</v>
      </c>
      <c r="N41" s="4">
        <v>1</v>
      </c>
      <c r="O41" s="4">
        <v>0</v>
      </c>
      <c r="P41" s="4">
        <v>0</v>
      </c>
      <c r="Q41" s="4"/>
      <c r="R41" s="4">
        <f t="shared" si="0"/>
        <v>0</v>
      </c>
      <c r="S41" s="4">
        <f t="shared" si="1"/>
        <v>1023</v>
      </c>
      <c r="T41" s="4" t="s">
        <v>298</v>
      </c>
      <c r="U41" s="4" t="s">
        <v>1144</v>
      </c>
      <c r="V41" s="4"/>
      <c r="W41" s="3" t="s">
        <v>1026</v>
      </c>
      <c r="X41" s="3" t="s">
        <v>1059</v>
      </c>
      <c r="Y41" s="3" t="s">
        <v>1024</v>
      </c>
    </row>
    <row r="42" spans="1:25" s="31" customFormat="1">
      <c r="A42" s="3">
        <v>41</v>
      </c>
      <c r="B42" s="4" t="s">
        <v>311</v>
      </c>
      <c r="C42" s="4">
        <f>MATCH($E42,[1]Message!$C:$C,0)</f>
        <v>11</v>
      </c>
      <c r="D42" s="4" t="str">
        <f>VLOOKUP($E42,[1]Message!$C:$I,3,FALSE)</f>
        <v>0x0402EE41</v>
      </c>
      <c r="E42" s="4" t="str">
        <f>VLOOKUP($B42,[1]Message!$B:$C,2,FALSE)</f>
        <v>U2P_ALARM2</v>
      </c>
      <c r="F42" s="4">
        <f>VLOOKUP($E42,[1]Message!$C:$I,4,FALSE)</f>
        <v>8</v>
      </c>
      <c r="G42" s="4" t="str">
        <f>VLOOKUP($E42,[1]Message!$C:$I,5,FALSE)</f>
        <v>BMU</v>
      </c>
      <c r="H42" s="4" t="str">
        <f>VLOOKUP($E42,[1]Message!$C:$I,6,FALSE)</f>
        <v>Event</v>
      </c>
      <c r="I42" s="4">
        <f>VLOOKUP($E42,[1]Message!$C:$I,7,FALSE)</f>
        <v>0</v>
      </c>
      <c r="J42" s="4"/>
      <c r="K42" s="4" t="s">
        <v>312</v>
      </c>
      <c r="L42" s="4">
        <v>0</v>
      </c>
      <c r="M42" s="4">
        <v>2</v>
      </c>
      <c r="N42" s="4">
        <v>1</v>
      </c>
      <c r="O42" s="4">
        <v>0</v>
      </c>
      <c r="P42" s="4">
        <v>0</v>
      </c>
      <c r="Q42" s="4"/>
      <c r="R42" s="4">
        <f t="shared" si="0"/>
        <v>0</v>
      </c>
      <c r="S42" s="4">
        <f t="shared" si="1"/>
        <v>3</v>
      </c>
      <c r="T42" s="4" t="s">
        <v>298</v>
      </c>
      <c r="U42" s="4" t="s">
        <v>880</v>
      </c>
      <c r="V42" s="4" t="s">
        <v>313</v>
      </c>
      <c r="W42" s="3" t="s">
        <v>860</v>
      </c>
      <c r="X42" s="3">
        <v>2195</v>
      </c>
      <c r="Y42" s="5" t="s">
        <v>1022</v>
      </c>
    </row>
    <row r="43" spans="1:25" s="31" customFormat="1">
      <c r="A43" s="3">
        <v>42</v>
      </c>
      <c r="B43" s="4" t="s">
        <v>311</v>
      </c>
      <c r="C43" s="4">
        <f>MATCH($E43,[1]Message!$C:$C,0)</f>
        <v>11</v>
      </c>
      <c r="D43" s="4" t="str">
        <f>VLOOKUP($E43,[1]Message!$C:$I,3,FALSE)</f>
        <v>0x0402EE41</v>
      </c>
      <c r="E43" s="4" t="str">
        <f>VLOOKUP($B43,[1]Message!$B:$C,2,FALSE)</f>
        <v>U2P_ALARM2</v>
      </c>
      <c r="F43" s="4">
        <f>VLOOKUP($E43,[1]Message!$C:$I,4,FALSE)</f>
        <v>8</v>
      </c>
      <c r="G43" s="4" t="str">
        <f>VLOOKUP($E43,[1]Message!$C:$I,5,FALSE)</f>
        <v>BMU</v>
      </c>
      <c r="H43" s="4" t="str">
        <f>VLOOKUP($E43,[1]Message!$C:$I,6,FALSE)</f>
        <v>Event</v>
      </c>
      <c r="I43" s="4">
        <f>VLOOKUP($E43,[1]Message!$C:$I,7,FALSE)</f>
        <v>0</v>
      </c>
      <c r="J43" s="4"/>
      <c r="K43" s="4" t="s">
        <v>314</v>
      </c>
      <c r="L43" s="4">
        <v>2</v>
      </c>
      <c r="M43" s="4">
        <v>1</v>
      </c>
      <c r="N43" s="4">
        <v>1</v>
      </c>
      <c r="O43" s="4">
        <v>0</v>
      </c>
      <c r="P43" s="4">
        <v>0</v>
      </c>
      <c r="Q43" s="4"/>
      <c r="R43" s="4">
        <f t="shared" si="0"/>
        <v>0</v>
      </c>
      <c r="S43" s="4">
        <f t="shared" si="1"/>
        <v>1</v>
      </c>
      <c r="T43" s="4" t="s">
        <v>298</v>
      </c>
      <c r="U43" s="4" t="s">
        <v>881</v>
      </c>
      <c r="V43" s="4" t="s">
        <v>300</v>
      </c>
      <c r="W43" s="3" t="s">
        <v>860</v>
      </c>
      <c r="X43" s="3">
        <v>2200</v>
      </c>
      <c r="Y43" s="3">
        <v>2200</v>
      </c>
    </row>
    <row r="44" spans="1:25" s="31" customFormat="1">
      <c r="A44" s="3">
        <v>43</v>
      </c>
      <c r="B44" s="4" t="s">
        <v>311</v>
      </c>
      <c r="C44" s="4">
        <f>MATCH($E44,[1]Message!$C:$C,0)</f>
        <v>11</v>
      </c>
      <c r="D44" s="4" t="str">
        <f>VLOOKUP($E44,[1]Message!$C:$I,3,FALSE)</f>
        <v>0x0402EE41</v>
      </c>
      <c r="E44" s="4" t="str">
        <f>VLOOKUP($B44,[1]Message!$B:$C,2,FALSE)</f>
        <v>U2P_ALARM2</v>
      </c>
      <c r="F44" s="4">
        <f>VLOOKUP($E44,[1]Message!$C:$I,4,FALSE)</f>
        <v>8</v>
      </c>
      <c r="G44" s="4" t="str">
        <f>VLOOKUP($E44,[1]Message!$C:$I,5,FALSE)</f>
        <v>BMU</v>
      </c>
      <c r="H44" s="4" t="str">
        <f>VLOOKUP($E44,[1]Message!$C:$I,6,FALSE)</f>
        <v>Event</v>
      </c>
      <c r="I44" s="4">
        <f>VLOOKUP($E44,[1]Message!$C:$I,7,FALSE)</f>
        <v>0</v>
      </c>
      <c r="J44" s="4"/>
      <c r="K44" s="4" t="s">
        <v>315</v>
      </c>
      <c r="L44" s="4">
        <v>3</v>
      </c>
      <c r="M44" s="4">
        <v>1</v>
      </c>
      <c r="N44" s="4">
        <v>1</v>
      </c>
      <c r="O44" s="4">
        <v>0</v>
      </c>
      <c r="P44" s="4">
        <v>0</v>
      </c>
      <c r="Q44" s="4"/>
      <c r="R44" s="4">
        <f t="shared" si="0"/>
        <v>0</v>
      </c>
      <c r="S44" s="4">
        <f t="shared" si="1"/>
        <v>1</v>
      </c>
      <c r="T44" s="4" t="s">
        <v>298</v>
      </c>
      <c r="U44" s="4" t="s">
        <v>882</v>
      </c>
      <c r="V44" s="4" t="s">
        <v>300</v>
      </c>
      <c r="W44" s="3" t="s">
        <v>860</v>
      </c>
      <c r="X44" s="3">
        <v>2205</v>
      </c>
      <c r="Y44" s="3">
        <v>2205</v>
      </c>
    </row>
    <row r="45" spans="1:25" s="31" customFormat="1">
      <c r="A45" s="39">
        <v>44</v>
      </c>
      <c r="B45" s="26" t="s">
        <v>311</v>
      </c>
      <c r="C45" s="26">
        <f>MATCH($E45,[1]Message!$C:$C,0)</f>
        <v>11</v>
      </c>
      <c r="D45" s="26" t="str">
        <f>VLOOKUP($E45,[1]Message!$C:$I,3,FALSE)</f>
        <v>0x0402EE41</v>
      </c>
      <c r="E45" s="26" t="str">
        <f>VLOOKUP($B45,[1]Message!$B:$C,2,FALSE)</f>
        <v>U2P_ALARM2</v>
      </c>
      <c r="F45" s="26">
        <f>VLOOKUP($E45,[1]Message!$C:$I,4,FALSE)</f>
        <v>8</v>
      </c>
      <c r="G45" s="26" t="str">
        <f>VLOOKUP($E45,[1]Message!$C:$I,5,FALSE)</f>
        <v>BMU</v>
      </c>
      <c r="H45" s="26" t="str">
        <f>VLOOKUP($E45,[1]Message!$C:$I,6,FALSE)</f>
        <v>Event</v>
      </c>
      <c r="I45" s="26">
        <f>VLOOKUP($E45,[1]Message!$C:$I,7,FALSE)</f>
        <v>0</v>
      </c>
      <c r="J45" s="26"/>
      <c r="K45" s="26" t="s">
        <v>316</v>
      </c>
      <c r="L45" s="26">
        <v>4</v>
      </c>
      <c r="M45" s="26">
        <v>1</v>
      </c>
      <c r="N45" s="4">
        <v>1</v>
      </c>
      <c r="O45" s="4">
        <v>0</v>
      </c>
      <c r="P45" s="4"/>
      <c r="Q45" s="4"/>
      <c r="R45" s="4">
        <f t="shared" si="0"/>
        <v>0</v>
      </c>
      <c r="S45" s="4">
        <f t="shared" si="1"/>
        <v>1</v>
      </c>
      <c r="T45" s="4" t="s">
        <v>298</v>
      </c>
      <c r="U45" s="26" t="s">
        <v>883</v>
      </c>
      <c r="V45" s="26" t="s">
        <v>300</v>
      </c>
      <c r="W45" s="39" t="s">
        <v>860</v>
      </c>
      <c r="X45" s="39">
        <v>2210</v>
      </c>
      <c r="Y45" s="39">
        <v>2210</v>
      </c>
    </row>
    <row r="46" spans="1:25" s="31" customFormat="1">
      <c r="A46" s="39">
        <v>45</v>
      </c>
      <c r="B46" s="26" t="s">
        <v>311</v>
      </c>
      <c r="C46" s="26">
        <f>MATCH($E46,[1]Message!$C:$C,0)</f>
        <v>11</v>
      </c>
      <c r="D46" s="26" t="str">
        <f>VLOOKUP($E46,[1]Message!$C:$I,3,FALSE)</f>
        <v>0x0402EE41</v>
      </c>
      <c r="E46" s="26" t="str">
        <f>VLOOKUP($B46,[1]Message!$B:$C,2,FALSE)</f>
        <v>U2P_ALARM2</v>
      </c>
      <c r="F46" s="26">
        <f>VLOOKUP($E46,[1]Message!$C:$I,4,FALSE)</f>
        <v>8</v>
      </c>
      <c r="G46" s="26" t="str">
        <f>VLOOKUP($E46,[1]Message!$C:$I,5,FALSE)</f>
        <v>BMU</v>
      </c>
      <c r="H46" s="26" t="str">
        <f>VLOOKUP($E46,[1]Message!$C:$I,6,FALSE)</f>
        <v>Event</v>
      </c>
      <c r="I46" s="26">
        <f>VLOOKUP($E46,[1]Message!$C:$I,7,FALSE)</f>
        <v>0</v>
      </c>
      <c r="J46" s="26"/>
      <c r="K46" s="26" t="s">
        <v>317</v>
      </c>
      <c r="L46" s="26">
        <v>5</v>
      </c>
      <c r="M46" s="26">
        <v>1</v>
      </c>
      <c r="N46" s="4">
        <v>1</v>
      </c>
      <c r="O46" s="4">
        <v>0</v>
      </c>
      <c r="P46" s="4"/>
      <c r="Q46" s="4"/>
      <c r="R46" s="4">
        <f t="shared" si="0"/>
        <v>0</v>
      </c>
      <c r="S46" s="4">
        <f t="shared" si="1"/>
        <v>1</v>
      </c>
      <c r="T46" s="4" t="s">
        <v>298</v>
      </c>
      <c r="U46" s="26" t="s">
        <v>884</v>
      </c>
      <c r="V46" s="26" t="s">
        <v>1165</v>
      </c>
      <c r="W46" s="39" t="s">
        <v>860</v>
      </c>
      <c r="X46" s="39">
        <v>2215</v>
      </c>
      <c r="Y46" s="39">
        <v>2215</v>
      </c>
    </row>
    <row r="47" spans="1:25" s="31" customFormat="1">
      <c r="A47" s="3">
        <v>46</v>
      </c>
      <c r="B47" s="4" t="s">
        <v>311</v>
      </c>
      <c r="C47" s="4">
        <f>MATCH($E47,[1]Message!$C:$C,0)</f>
        <v>11</v>
      </c>
      <c r="D47" s="4" t="str">
        <f>VLOOKUP($E47,[1]Message!$C:$I,3,FALSE)</f>
        <v>0x0402EE41</v>
      </c>
      <c r="E47" s="4" t="str">
        <f>VLOOKUP($B47,[1]Message!$B:$C,2,FALSE)</f>
        <v>U2P_ALARM2</v>
      </c>
      <c r="F47" s="4">
        <f>VLOOKUP($E47,[1]Message!$C:$I,4,FALSE)</f>
        <v>8</v>
      </c>
      <c r="G47" s="4" t="str">
        <f>VLOOKUP($E47,[1]Message!$C:$I,5,FALSE)</f>
        <v>BMU</v>
      </c>
      <c r="H47" s="4" t="str">
        <f>VLOOKUP($E47,[1]Message!$C:$I,6,FALSE)</f>
        <v>Event</v>
      </c>
      <c r="I47" s="4">
        <f>VLOOKUP($E47,[1]Message!$C:$I,7,FALSE)</f>
        <v>0</v>
      </c>
      <c r="J47" s="4"/>
      <c r="K47" s="4" t="s">
        <v>318</v>
      </c>
      <c r="L47" s="4">
        <v>6</v>
      </c>
      <c r="M47" s="4">
        <v>2</v>
      </c>
      <c r="N47" s="4">
        <v>1</v>
      </c>
      <c r="O47" s="4">
        <v>0</v>
      </c>
      <c r="P47" s="4">
        <v>0</v>
      </c>
      <c r="Q47" s="4"/>
      <c r="R47" s="4">
        <f t="shared" si="0"/>
        <v>0</v>
      </c>
      <c r="S47" s="4">
        <f t="shared" si="1"/>
        <v>3</v>
      </c>
      <c r="T47" s="4" t="s">
        <v>298</v>
      </c>
      <c r="U47" s="4" t="s">
        <v>885</v>
      </c>
      <c r="V47" s="4" t="s">
        <v>313</v>
      </c>
      <c r="W47" s="3" t="s">
        <v>860</v>
      </c>
      <c r="X47" s="3">
        <v>2220</v>
      </c>
      <c r="Y47" s="5" t="s">
        <v>1022</v>
      </c>
    </row>
    <row r="48" spans="1:25" s="31" customFormat="1">
      <c r="A48" s="3">
        <v>47</v>
      </c>
      <c r="B48" s="4" t="s">
        <v>311</v>
      </c>
      <c r="C48" s="4">
        <f>MATCH($E48,[1]Message!$C:$C,0)</f>
        <v>11</v>
      </c>
      <c r="D48" s="4" t="str">
        <f>VLOOKUP($E48,[1]Message!$C:$I,3,FALSE)</f>
        <v>0x0402EE41</v>
      </c>
      <c r="E48" s="4" t="str">
        <f>VLOOKUP($B48,[1]Message!$B:$C,2,FALSE)</f>
        <v>U2P_ALARM2</v>
      </c>
      <c r="F48" s="4">
        <f>VLOOKUP($E48,[1]Message!$C:$I,4,FALSE)</f>
        <v>8</v>
      </c>
      <c r="G48" s="4" t="str">
        <f>VLOOKUP($E48,[1]Message!$C:$I,5,FALSE)</f>
        <v>BMU</v>
      </c>
      <c r="H48" s="4" t="str">
        <f>VLOOKUP($E48,[1]Message!$C:$I,6,FALSE)</f>
        <v>Event</v>
      </c>
      <c r="I48" s="4">
        <f>VLOOKUP($E48,[1]Message!$C:$I,7,FALSE)</f>
        <v>0</v>
      </c>
      <c r="J48" s="4"/>
      <c r="K48" s="4" t="s">
        <v>319</v>
      </c>
      <c r="L48" s="4">
        <v>8</v>
      </c>
      <c r="M48" s="4">
        <v>2</v>
      </c>
      <c r="N48" s="4">
        <v>1</v>
      </c>
      <c r="O48" s="4">
        <v>0</v>
      </c>
      <c r="P48" s="4">
        <v>0</v>
      </c>
      <c r="Q48" s="4"/>
      <c r="R48" s="4">
        <f t="shared" si="0"/>
        <v>0</v>
      </c>
      <c r="S48" s="4">
        <f t="shared" si="1"/>
        <v>3</v>
      </c>
      <c r="T48" s="4" t="s">
        <v>298</v>
      </c>
      <c r="U48" s="4" t="s">
        <v>886</v>
      </c>
      <c r="V48" s="4" t="s">
        <v>313</v>
      </c>
      <c r="W48" s="3" t="s">
        <v>1131</v>
      </c>
      <c r="X48" s="3">
        <v>2225</v>
      </c>
      <c r="Y48" s="5" t="s">
        <v>1022</v>
      </c>
    </row>
    <row r="49" spans="1:25" s="31" customFormat="1" ht="13.5" customHeight="1">
      <c r="A49" s="3">
        <v>48</v>
      </c>
      <c r="B49" s="4" t="s">
        <v>311</v>
      </c>
      <c r="C49" s="4">
        <f>MATCH($E49,[1]Message!$C:$C,0)</f>
        <v>11</v>
      </c>
      <c r="D49" s="4" t="str">
        <f>VLOOKUP($E49,[1]Message!$C:$I,3,FALSE)</f>
        <v>0x0402EE41</v>
      </c>
      <c r="E49" s="4" t="str">
        <f>VLOOKUP($B49,[1]Message!$B:$C,2,FALSE)</f>
        <v>U2P_ALARM2</v>
      </c>
      <c r="F49" s="4">
        <f>VLOOKUP($E49,[1]Message!$C:$I,4,FALSE)</f>
        <v>8</v>
      </c>
      <c r="G49" s="4" t="str">
        <f>VLOOKUP($E49,[1]Message!$C:$I,5,FALSE)</f>
        <v>BMU</v>
      </c>
      <c r="H49" s="4" t="str">
        <f>VLOOKUP($E49,[1]Message!$C:$I,6,FALSE)</f>
        <v>Event</v>
      </c>
      <c r="I49" s="4">
        <f>VLOOKUP($E49,[1]Message!$C:$I,7,FALSE)</f>
        <v>0</v>
      </c>
      <c r="J49" s="4"/>
      <c r="K49" s="4" t="s">
        <v>320</v>
      </c>
      <c r="L49" s="4">
        <v>10</v>
      </c>
      <c r="M49" s="4">
        <v>2</v>
      </c>
      <c r="N49" s="4">
        <v>1</v>
      </c>
      <c r="O49" s="4">
        <v>0</v>
      </c>
      <c r="P49" s="4">
        <v>0</v>
      </c>
      <c r="Q49" s="4"/>
      <c r="R49" s="4">
        <f t="shared" si="0"/>
        <v>0</v>
      </c>
      <c r="S49" s="4">
        <f t="shared" si="1"/>
        <v>3</v>
      </c>
      <c r="T49" s="4" t="s">
        <v>298</v>
      </c>
      <c r="U49" s="4" t="s">
        <v>887</v>
      </c>
      <c r="V49" s="4" t="s">
        <v>313</v>
      </c>
      <c r="W49" s="3" t="s">
        <v>1131</v>
      </c>
      <c r="X49" s="3">
        <v>2230</v>
      </c>
      <c r="Y49" s="5" t="s">
        <v>1022</v>
      </c>
    </row>
    <row r="50" spans="1:25" s="32" customFormat="1">
      <c r="A50" s="3">
        <v>49</v>
      </c>
      <c r="B50" s="4" t="s">
        <v>311</v>
      </c>
      <c r="C50" s="4">
        <f>MATCH($E50,[1]Message!$C:$C,0)</f>
        <v>11</v>
      </c>
      <c r="D50" s="4" t="str">
        <f>VLOOKUP($E50,[1]Message!$C:$I,3,FALSE)</f>
        <v>0x0402EE41</v>
      </c>
      <c r="E50" s="4" t="str">
        <f>VLOOKUP($B50,[1]Message!$B:$C,2,FALSE)</f>
        <v>U2P_ALARM2</v>
      </c>
      <c r="F50" s="4">
        <f>VLOOKUP($E50,[1]Message!$C:$I,4,FALSE)</f>
        <v>8</v>
      </c>
      <c r="G50" s="4" t="str">
        <f>VLOOKUP($E50,[1]Message!$C:$I,5,FALSE)</f>
        <v>BMU</v>
      </c>
      <c r="H50" s="4" t="str">
        <f>VLOOKUP($E50,[1]Message!$C:$I,6,FALSE)</f>
        <v>Event</v>
      </c>
      <c r="I50" s="4">
        <f>VLOOKUP($E50,[1]Message!$C:$I,7,FALSE)</f>
        <v>0</v>
      </c>
      <c r="J50" s="4"/>
      <c r="K50" s="4" t="s">
        <v>321</v>
      </c>
      <c r="L50" s="4">
        <v>12</v>
      </c>
      <c r="M50" s="4">
        <v>1</v>
      </c>
      <c r="N50" s="4">
        <v>1</v>
      </c>
      <c r="O50" s="4">
        <v>0</v>
      </c>
      <c r="P50" s="4"/>
      <c r="Q50" s="4"/>
      <c r="R50" s="4">
        <v>0</v>
      </c>
      <c r="S50" s="4">
        <v>1</v>
      </c>
      <c r="T50" s="4" t="s">
        <v>298</v>
      </c>
      <c r="U50" s="4" t="s">
        <v>888</v>
      </c>
      <c r="V50" s="4" t="s">
        <v>300</v>
      </c>
      <c r="W50" s="3" t="s">
        <v>889</v>
      </c>
      <c r="X50" s="3"/>
      <c r="Y50" s="3"/>
    </row>
    <row r="51" spans="1:25" s="32" customFormat="1">
      <c r="A51" s="3">
        <v>50</v>
      </c>
      <c r="B51" s="4" t="s">
        <v>311</v>
      </c>
      <c r="C51" s="4">
        <f>MATCH($E51,[1]Message!$C:$C,0)</f>
        <v>11</v>
      </c>
      <c r="D51" s="4" t="str">
        <f>VLOOKUP($E51,[1]Message!$C:$I,3,FALSE)</f>
        <v>0x0402EE41</v>
      </c>
      <c r="E51" s="4" t="str">
        <f>VLOOKUP($B51,[1]Message!$B:$C,2,FALSE)</f>
        <v>U2P_ALARM2</v>
      </c>
      <c r="F51" s="4">
        <f>VLOOKUP($E51,[1]Message!$C:$I,4,FALSE)</f>
        <v>8</v>
      </c>
      <c r="G51" s="4" t="str">
        <f>VLOOKUP($E51,[1]Message!$C:$I,5,FALSE)</f>
        <v>BMU</v>
      </c>
      <c r="H51" s="4" t="str">
        <f>VLOOKUP($E51,[1]Message!$C:$I,6,FALSE)</f>
        <v>Event</v>
      </c>
      <c r="I51" s="4">
        <f>VLOOKUP($E51,[1]Message!$C:$I,7,FALSE)</f>
        <v>0</v>
      </c>
      <c r="J51" s="4"/>
      <c r="K51" s="4" t="s">
        <v>322</v>
      </c>
      <c r="L51" s="4">
        <v>13</v>
      </c>
      <c r="M51" s="4">
        <v>1</v>
      </c>
      <c r="N51" s="4">
        <v>1</v>
      </c>
      <c r="O51" s="4">
        <v>0</v>
      </c>
      <c r="P51" s="4"/>
      <c r="Q51" s="4"/>
      <c r="R51" s="4">
        <v>0</v>
      </c>
      <c r="S51" s="4">
        <v>1</v>
      </c>
      <c r="T51" s="4" t="s">
        <v>298</v>
      </c>
      <c r="U51" s="4" t="s">
        <v>890</v>
      </c>
      <c r="V51" s="4" t="s">
        <v>300</v>
      </c>
      <c r="W51" s="3" t="s">
        <v>889</v>
      </c>
      <c r="X51" s="3"/>
      <c r="Y51" s="3"/>
    </row>
    <row r="52" spans="1:25" s="32" customFormat="1">
      <c r="A52" s="3">
        <v>51</v>
      </c>
      <c r="B52" s="4" t="s">
        <v>311</v>
      </c>
      <c r="C52" s="4">
        <f>MATCH($E52,[1]Message!$C:$C,0)</f>
        <v>11</v>
      </c>
      <c r="D52" s="4" t="str">
        <f>VLOOKUP($E52,[1]Message!$C:$I,3,FALSE)</f>
        <v>0x0402EE41</v>
      </c>
      <c r="E52" s="4" t="str">
        <f>VLOOKUP($B52,[1]Message!$B:$C,2,FALSE)</f>
        <v>U2P_ALARM2</v>
      </c>
      <c r="F52" s="4">
        <f>VLOOKUP($E52,[1]Message!$C:$I,4,FALSE)</f>
        <v>8</v>
      </c>
      <c r="G52" s="4" t="str">
        <f>VLOOKUP($E52,[1]Message!$C:$I,5,FALSE)</f>
        <v>BMU</v>
      </c>
      <c r="H52" s="4" t="str">
        <f>VLOOKUP($E52,[1]Message!$C:$I,6,FALSE)</f>
        <v>Event</v>
      </c>
      <c r="I52" s="4">
        <f>VLOOKUP($E52,[1]Message!$C:$I,7,FALSE)</f>
        <v>0</v>
      </c>
      <c r="J52" s="4"/>
      <c r="K52" s="4" t="s">
        <v>323</v>
      </c>
      <c r="L52" s="4">
        <v>14</v>
      </c>
      <c r="M52" s="4">
        <v>1</v>
      </c>
      <c r="N52" s="4">
        <v>1</v>
      </c>
      <c r="O52" s="4">
        <v>0</v>
      </c>
      <c r="P52" s="4"/>
      <c r="Q52" s="4"/>
      <c r="R52" s="4">
        <v>0</v>
      </c>
      <c r="S52" s="4">
        <v>1</v>
      </c>
      <c r="T52" s="4" t="s">
        <v>298</v>
      </c>
      <c r="U52" s="4" t="s">
        <v>891</v>
      </c>
      <c r="V52" s="4" t="s">
        <v>300</v>
      </c>
      <c r="W52" s="3" t="s">
        <v>889</v>
      </c>
      <c r="X52" s="3"/>
      <c r="Y52" s="3"/>
    </row>
    <row r="53" spans="1:25" s="32" customFormat="1">
      <c r="A53" s="3">
        <v>52</v>
      </c>
      <c r="B53" s="4" t="s">
        <v>311</v>
      </c>
      <c r="C53" s="4">
        <f>MATCH($E53,[1]Message!$C:$C,0)</f>
        <v>11</v>
      </c>
      <c r="D53" s="4" t="str">
        <f>VLOOKUP($E53,[1]Message!$C:$I,3,FALSE)</f>
        <v>0x0402EE41</v>
      </c>
      <c r="E53" s="4" t="str">
        <f>VLOOKUP($B53,[1]Message!$B:$C,2,FALSE)</f>
        <v>U2P_ALARM2</v>
      </c>
      <c r="F53" s="4">
        <f>VLOOKUP($E53,[1]Message!$C:$I,4,FALSE)</f>
        <v>8</v>
      </c>
      <c r="G53" s="4" t="str">
        <f>VLOOKUP($E53,[1]Message!$C:$I,5,FALSE)</f>
        <v>BMU</v>
      </c>
      <c r="H53" s="4" t="str">
        <f>VLOOKUP($E53,[1]Message!$C:$I,6,FALSE)</f>
        <v>Event</v>
      </c>
      <c r="I53" s="4">
        <f>VLOOKUP($E53,[1]Message!$C:$I,7,FALSE)</f>
        <v>0</v>
      </c>
      <c r="J53" s="4"/>
      <c r="K53" s="4" t="s">
        <v>324</v>
      </c>
      <c r="L53" s="4">
        <v>15</v>
      </c>
      <c r="M53" s="4">
        <v>1</v>
      </c>
      <c r="N53" s="4">
        <v>1</v>
      </c>
      <c r="O53" s="4">
        <v>0</v>
      </c>
      <c r="P53" s="4"/>
      <c r="Q53" s="4"/>
      <c r="R53" s="4">
        <v>0</v>
      </c>
      <c r="S53" s="4">
        <v>1</v>
      </c>
      <c r="T53" s="4" t="s">
        <v>298</v>
      </c>
      <c r="U53" s="4" t="s">
        <v>892</v>
      </c>
      <c r="V53" s="4" t="s">
        <v>300</v>
      </c>
      <c r="W53" s="3" t="s">
        <v>889</v>
      </c>
      <c r="X53" s="3"/>
      <c r="Y53" s="3"/>
    </row>
    <row r="54" spans="1:25" s="31" customFormat="1">
      <c r="A54" s="39">
        <v>53</v>
      </c>
      <c r="B54" s="26" t="s">
        <v>311</v>
      </c>
      <c r="C54" s="26">
        <f>MATCH($E54,[1]Message!$C:$C,0)</f>
        <v>11</v>
      </c>
      <c r="D54" s="26" t="str">
        <f>VLOOKUP($E54,[1]Message!$C:$I,3,FALSE)</f>
        <v>0x0402EE41</v>
      </c>
      <c r="E54" s="26" t="str">
        <f>VLOOKUP($B54,[1]Message!$B:$C,2,FALSE)</f>
        <v>U2P_ALARM2</v>
      </c>
      <c r="F54" s="26">
        <f>VLOOKUP($E54,[1]Message!$C:$I,4,FALSE)</f>
        <v>8</v>
      </c>
      <c r="G54" s="26" t="str">
        <f>VLOOKUP($E54,[1]Message!$C:$I,5,FALSE)</f>
        <v>BMU</v>
      </c>
      <c r="H54" s="26" t="str">
        <f>VLOOKUP($E54,[1]Message!$C:$I,6,FALSE)</f>
        <v>Event</v>
      </c>
      <c r="I54" s="26">
        <f>VLOOKUP($E54,[1]Message!$C:$I,7,FALSE)</f>
        <v>0</v>
      </c>
      <c r="J54" s="26"/>
      <c r="K54" s="26" t="s">
        <v>1170</v>
      </c>
      <c r="L54" s="26">
        <v>16</v>
      </c>
      <c r="M54" s="26">
        <v>1</v>
      </c>
      <c r="N54" s="4">
        <v>1</v>
      </c>
      <c r="O54" s="4">
        <v>0</v>
      </c>
      <c r="P54" s="4"/>
      <c r="Q54" s="4"/>
      <c r="R54" s="4">
        <v>0</v>
      </c>
      <c r="S54" s="4">
        <v>1</v>
      </c>
      <c r="T54" s="4" t="s">
        <v>298</v>
      </c>
      <c r="U54" s="26" t="s">
        <v>1171</v>
      </c>
      <c r="V54" s="26" t="s">
        <v>300</v>
      </c>
      <c r="W54" s="39" t="s">
        <v>860</v>
      </c>
      <c r="X54" s="39">
        <v>2235</v>
      </c>
      <c r="Y54" s="39">
        <v>2235</v>
      </c>
    </row>
    <row r="55" spans="1:25">
      <c r="A55" s="3">
        <v>54</v>
      </c>
      <c r="B55" s="4" t="s">
        <v>311</v>
      </c>
      <c r="C55" s="4">
        <f>MATCH($E55,[1]Message!$C:$C,0)</f>
        <v>11</v>
      </c>
      <c r="D55" s="4" t="str">
        <f>VLOOKUP($E55,[1]Message!$C:$I,3,FALSE)</f>
        <v>0x0402EE41</v>
      </c>
      <c r="E55" s="4" t="str">
        <f>VLOOKUP($B55,[1]Message!$B:$C,2,FALSE)</f>
        <v>U2P_ALARM2</v>
      </c>
      <c r="F55" s="4">
        <f>VLOOKUP($E55,[1]Message!$C:$I,4,FALSE)</f>
        <v>8</v>
      </c>
      <c r="G55" s="4" t="str">
        <f>VLOOKUP($E55,[1]Message!$C:$I,5,FALSE)</f>
        <v>BMU</v>
      </c>
      <c r="H55" s="4" t="str">
        <f>VLOOKUP($E55,[1]Message!$C:$I,6,FALSE)</f>
        <v>Event</v>
      </c>
      <c r="I55" s="4">
        <f>VLOOKUP($E55,[1]Message!$C:$I,7,FALSE)</f>
        <v>0</v>
      </c>
      <c r="J55" s="4"/>
      <c r="K55" s="4" t="s">
        <v>325</v>
      </c>
      <c r="L55" s="4">
        <v>17</v>
      </c>
      <c r="M55" s="4">
        <v>47</v>
      </c>
      <c r="N55" s="4">
        <v>1</v>
      </c>
      <c r="O55" s="4">
        <v>0</v>
      </c>
      <c r="P55" s="4"/>
      <c r="Q55" s="4"/>
      <c r="R55" s="4">
        <f t="shared" si="0"/>
        <v>0</v>
      </c>
      <c r="S55" s="4">
        <f t="shared" si="1"/>
        <v>140737488355327</v>
      </c>
      <c r="T55" s="4" t="s">
        <v>298</v>
      </c>
      <c r="U55" s="4" t="s">
        <v>326</v>
      </c>
      <c r="V55" s="4"/>
      <c r="W55" s="3" t="s">
        <v>849</v>
      </c>
      <c r="X55" s="3"/>
      <c r="Y55" s="3"/>
    </row>
    <row r="56" spans="1:25" s="31" customFormat="1">
      <c r="A56" s="3">
        <v>55</v>
      </c>
      <c r="B56" s="4" t="s">
        <v>327</v>
      </c>
      <c r="C56" s="4">
        <f>MATCH($E56,[1]Message!$C:$C,0)</f>
        <v>12</v>
      </c>
      <c r="D56" s="4" t="str">
        <f>VLOOKUP($E56,[1]Message!$C:$I,3,FALSE)</f>
        <v>0x0801EE41</v>
      </c>
      <c r="E56" s="4" t="str">
        <f>VLOOKUP($B56,[1]Message!$B:$C,2,FALSE)</f>
        <v>U2P_SUMDATA1</v>
      </c>
      <c r="F56" s="4">
        <f>VLOOKUP($E56,[1]Message!$C:$I,4,FALSE)</f>
        <v>8</v>
      </c>
      <c r="G56" s="4" t="str">
        <f>VLOOKUP($E56,[1]Message!$C:$I,5,FALSE)</f>
        <v>BMU</v>
      </c>
      <c r="H56" s="4" t="str">
        <f>VLOOKUP($E56,[1]Message!$C:$I,6,FALSE)</f>
        <v>Event</v>
      </c>
      <c r="I56" s="4">
        <f>VLOOKUP($E56,[1]Message!$C:$I,7,FALSE)</f>
        <v>0</v>
      </c>
      <c r="J56" s="4"/>
      <c r="K56" s="4" t="s">
        <v>328</v>
      </c>
      <c r="L56" s="4">
        <v>0</v>
      </c>
      <c r="M56" s="4">
        <v>16</v>
      </c>
      <c r="N56" s="4">
        <v>0.1</v>
      </c>
      <c r="O56" s="4">
        <v>-2000</v>
      </c>
      <c r="P56" s="4">
        <v>2000</v>
      </c>
      <c r="Q56" s="4" t="s">
        <v>329</v>
      </c>
      <c r="R56" s="4">
        <f t="shared" si="0"/>
        <v>-2000</v>
      </c>
      <c r="S56" s="4">
        <f t="shared" si="1"/>
        <v>4553.5</v>
      </c>
      <c r="T56" s="4" t="s">
        <v>298</v>
      </c>
      <c r="U56" s="4" t="s">
        <v>894</v>
      </c>
      <c r="V56" s="4" t="s">
        <v>330</v>
      </c>
      <c r="W56" s="3" t="s">
        <v>895</v>
      </c>
      <c r="X56" s="3"/>
      <c r="Y56" s="3"/>
    </row>
    <row r="57" spans="1:25" s="31" customFormat="1">
      <c r="A57" s="3">
        <v>56</v>
      </c>
      <c r="B57" s="4" t="s">
        <v>327</v>
      </c>
      <c r="C57" s="4">
        <f>MATCH($E57,[1]Message!$C:$C,0)</f>
        <v>12</v>
      </c>
      <c r="D57" s="4" t="str">
        <f>VLOOKUP($E57,[1]Message!$C:$I,3,FALSE)</f>
        <v>0x0801EE41</v>
      </c>
      <c r="E57" s="4" t="str">
        <f>VLOOKUP($B57,[1]Message!$B:$C,2,FALSE)</f>
        <v>U2P_SUMDATA1</v>
      </c>
      <c r="F57" s="4">
        <f>VLOOKUP($E57,[1]Message!$C:$I,4,FALSE)</f>
        <v>8</v>
      </c>
      <c r="G57" s="4" t="str">
        <f>VLOOKUP($E57,[1]Message!$C:$I,5,FALSE)</f>
        <v>BMU</v>
      </c>
      <c r="H57" s="4" t="str">
        <f>VLOOKUP($E57,[1]Message!$C:$I,6,FALSE)</f>
        <v>Event</v>
      </c>
      <c r="I57" s="4">
        <f>VLOOKUP($E57,[1]Message!$C:$I,7,FALSE)</f>
        <v>0</v>
      </c>
      <c r="J57" s="4"/>
      <c r="K57" s="4" t="s">
        <v>331</v>
      </c>
      <c r="L57" s="4">
        <v>16</v>
      </c>
      <c r="M57" s="4">
        <v>16</v>
      </c>
      <c r="N57" s="4">
        <v>0.1</v>
      </c>
      <c r="O57" s="4">
        <v>0</v>
      </c>
      <c r="P57" s="4">
        <v>0</v>
      </c>
      <c r="Q57" s="4" t="s">
        <v>329</v>
      </c>
      <c r="R57" s="4">
        <f t="shared" si="0"/>
        <v>0</v>
      </c>
      <c r="S57" s="4">
        <f t="shared" si="1"/>
        <v>6553.5</v>
      </c>
      <c r="T57" s="4" t="s">
        <v>298</v>
      </c>
      <c r="U57" s="4" t="s">
        <v>852</v>
      </c>
      <c r="V57" s="4" t="s">
        <v>332</v>
      </c>
      <c r="W57" s="3" t="s">
        <v>895</v>
      </c>
      <c r="X57" s="3"/>
      <c r="Y57" s="3"/>
    </row>
    <row r="58" spans="1:25" s="31" customFormat="1">
      <c r="A58" s="3">
        <v>57</v>
      </c>
      <c r="B58" s="4" t="s">
        <v>327</v>
      </c>
      <c r="C58" s="4">
        <f>MATCH($E58,[1]Message!$C:$C,0)</f>
        <v>12</v>
      </c>
      <c r="D58" s="4" t="str">
        <f>VLOOKUP($E58,[1]Message!$C:$I,3,FALSE)</f>
        <v>0x0801EE41</v>
      </c>
      <c r="E58" s="4" t="str">
        <f>VLOOKUP($B58,[1]Message!$B:$C,2,FALSE)</f>
        <v>U2P_SUMDATA1</v>
      </c>
      <c r="F58" s="4">
        <f>VLOOKUP($E58,[1]Message!$C:$I,4,FALSE)</f>
        <v>8</v>
      </c>
      <c r="G58" s="4" t="str">
        <f>VLOOKUP($E58,[1]Message!$C:$I,5,FALSE)</f>
        <v>BMU</v>
      </c>
      <c r="H58" s="4" t="str">
        <f>VLOOKUP($E58,[1]Message!$C:$I,6,FALSE)</f>
        <v>Event</v>
      </c>
      <c r="I58" s="4">
        <f>VLOOKUP($E58,[1]Message!$C:$I,7,FALSE)</f>
        <v>0</v>
      </c>
      <c r="J58" s="4"/>
      <c r="K58" s="4" t="s">
        <v>333</v>
      </c>
      <c r="L58" s="4">
        <v>32</v>
      </c>
      <c r="M58" s="4">
        <v>16</v>
      </c>
      <c r="N58" s="4">
        <v>0.1</v>
      </c>
      <c r="O58" s="4">
        <v>-2000</v>
      </c>
      <c r="P58" s="4">
        <v>2000</v>
      </c>
      <c r="Q58" s="4" t="s">
        <v>334</v>
      </c>
      <c r="R58" s="4">
        <f t="shared" si="0"/>
        <v>-2000</v>
      </c>
      <c r="S58" s="4">
        <f t="shared" si="1"/>
        <v>4553.5</v>
      </c>
      <c r="T58" s="4" t="s">
        <v>298</v>
      </c>
      <c r="U58" s="4" t="s">
        <v>896</v>
      </c>
      <c r="V58" s="4" t="s">
        <v>330</v>
      </c>
      <c r="W58" s="3" t="s">
        <v>895</v>
      </c>
      <c r="X58" s="3"/>
      <c r="Y58" s="3"/>
    </row>
    <row r="59" spans="1:25" s="31" customFormat="1">
      <c r="A59" s="3">
        <v>58</v>
      </c>
      <c r="B59" s="4" t="s">
        <v>327</v>
      </c>
      <c r="C59" s="4">
        <f>MATCH($E59,[1]Message!$C:$C,0)</f>
        <v>12</v>
      </c>
      <c r="D59" s="4" t="str">
        <f>VLOOKUP($E59,[1]Message!$C:$I,3,FALSE)</f>
        <v>0x0801EE41</v>
      </c>
      <c r="E59" s="4" t="str">
        <f>VLOOKUP($B59,[1]Message!$B:$C,2,FALSE)</f>
        <v>U2P_SUMDATA1</v>
      </c>
      <c r="F59" s="4">
        <f>VLOOKUP($E59,[1]Message!$C:$I,4,FALSE)</f>
        <v>8</v>
      </c>
      <c r="G59" s="4" t="str">
        <f>VLOOKUP($E59,[1]Message!$C:$I,5,FALSE)</f>
        <v>BMU</v>
      </c>
      <c r="H59" s="4" t="str">
        <f>VLOOKUP($E59,[1]Message!$C:$I,6,FALSE)</f>
        <v>Event</v>
      </c>
      <c r="I59" s="4">
        <f>VLOOKUP($E59,[1]Message!$C:$I,7,FALSE)</f>
        <v>0</v>
      </c>
      <c r="J59" s="4"/>
      <c r="K59" s="4" t="s">
        <v>335</v>
      </c>
      <c r="L59" s="4">
        <v>48</v>
      </c>
      <c r="M59" s="4">
        <v>8</v>
      </c>
      <c r="N59" s="4">
        <v>1</v>
      </c>
      <c r="O59" s="4">
        <v>0</v>
      </c>
      <c r="P59" s="4">
        <v>0</v>
      </c>
      <c r="Q59" s="4" t="s">
        <v>336</v>
      </c>
      <c r="R59" s="4">
        <f t="shared" si="0"/>
        <v>0</v>
      </c>
      <c r="S59" s="4">
        <f t="shared" si="1"/>
        <v>255</v>
      </c>
      <c r="T59" s="4" t="s">
        <v>298</v>
      </c>
      <c r="U59" s="4" t="s">
        <v>897</v>
      </c>
      <c r="V59" s="4" t="s">
        <v>337</v>
      </c>
      <c r="W59" s="3" t="s">
        <v>895</v>
      </c>
      <c r="X59" s="3"/>
      <c r="Y59" s="3"/>
    </row>
    <row r="60" spans="1:25" s="31" customFormat="1">
      <c r="A60" s="3">
        <v>59</v>
      </c>
      <c r="B60" s="4" t="s">
        <v>327</v>
      </c>
      <c r="C60" s="4">
        <f>MATCH($E60,[1]Message!$C:$C,0)</f>
        <v>12</v>
      </c>
      <c r="D60" s="4" t="str">
        <f>VLOOKUP($E60,[1]Message!$C:$I,3,FALSE)</f>
        <v>0x0801EE41</v>
      </c>
      <c r="E60" s="4" t="str">
        <f>VLOOKUP($B60,[1]Message!$B:$C,2,FALSE)</f>
        <v>U2P_SUMDATA1</v>
      </c>
      <c r="F60" s="4">
        <f>VLOOKUP($E60,[1]Message!$C:$I,4,FALSE)</f>
        <v>8</v>
      </c>
      <c r="G60" s="4" t="str">
        <f>VLOOKUP($E60,[1]Message!$C:$I,5,FALSE)</f>
        <v>BMU</v>
      </c>
      <c r="H60" s="4" t="str">
        <f>VLOOKUP($E60,[1]Message!$C:$I,6,FALSE)</f>
        <v>Event</v>
      </c>
      <c r="I60" s="4">
        <f>VLOOKUP($E60,[1]Message!$C:$I,7,FALSE)</f>
        <v>0</v>
      </c>
      <c r="J60" s="4"/>
      <c r="K60" s="4" t="s">
        <v>338</v>
      </c>
      <c r="L60" s="4">
        <v>56</v>
      </c>
      <c r="M60" s="4">
        <v>8</v>
      </c>
      <c r="N60" s="4">
        <v>1</v>
      </c>
      <c r="O60" s="4">
        <v>0</v>
      </c>
      <c r="P60" s="4">
        <v>0</v>
      </c>
      <c r="Q60" s="4" t="s">
        <v>336</v>
      </c>
      <c r="R60" s="4">
        <f t="shared" si="0"/>
        <v>0</v>
      </c>
      <c r="S60" s="4">
        <f t="shared" si="1"/>
        <v>255</v>
      </c>
      <c r="T60" s="4" t="s">
        <v>298</v>
      </c>
      <c r="U60" s="4" t="s">
        <v>898</v>
      </c>
      <c r="V60" s="4" t="s">
        <v>337</v>
      </c>
      <c r="W60" s="3" t="s">
        <v>895</v>
      </c>
      <c r="X60" s="3"/>
      <c r="Y60" s="3"/>
    </row>
    <row r="61" spans="1:25" s="31" customFormat="1">
      <c r="A61" s="3">
        <v>60</v>
      </c>
      <c r="B61" s="4" t="s">
        <v>339</v>
      </c>
      <c r="C61" s="4">
        <f>MATCH($E61,[1]Message!$C:$C,0)</f>
        <v>13</v>
      </c>
      <c r="D61" s="4" t="str">
        <f>VLOOKUP($E61,[1]Message!$C:$I,3,FALSE)</f>
        <v>0x0802EE41</v>
      </c>
      <c r="E61" s="4" t="str">
        <f>VLOOKUP($B61,[1]Message!$B:$C,2,FALSE)</f>
        <v>U2P_SUMDATA2</v>
      </c>
      <c r="F61" s="4">
        <f>VLOOKUP($E61,[1]Message!$C:$I,4,FALSE)</f>
        <v>8</v>
      </c>
      <c r="G61" s="4" t="str">
        <f>VLOOKUP($E61,[1]Message!$C:$I,5,FALSE)</f>
        <v>BMU</v>
      </c>
      <c r="H61" s="4" t="str">
        <f>VLOOKUP($E61,[1]Message!$C:$I,6,FALSE)</f>
        <v>Event</v>
      </c>
      <c r="I61" s="4">
        <f>VLOOKUP($E61,[1]Message!$C:$I,7,FALSE)</f>
        <v>0</v>
      </c>
      <c r="J61" s="4"/>
      <c r="K61" s="4" t="s">
        <v>340</v>
      </c>
      <c r="L61" s="4">
        <v>0</v>
      </c>
      <c r="M61" s="4">
        <v>4</v>
      </c>
      <c r="N61" s="4">
        <v>1</v>
      </c>
      <c r="O61" s="4">
        <v>0</v>
      </c>
      <c r="P61" s="4">
        <v>0</v>
      </c>
      <c r="Q61" s="4"/>
      <c r="R61" s="4">
        <f t="shared" si="0"/>
        <v>0</v>
      </c>
      <c r="S61" s="4">
        <f t="shared" si="1"/>
        <v>15</v>
      </c>
      <c r="T61" s="4" t="s">
        <v>298</v>
      </c>
      <c r="U61" s="4" t="s">
        <v>1145</v>
      </c>
      <c r="V61" s="4"/>
      <c r="W61" s="3" t="s">
        <v>895</v>
      </c>
      <c r="X61" s="3"/>
      <c r="Y61" s="3"/>
    </row>
    <row r="62" spans="1:25">
      <c r="A62" s="3">
        <v>61</v>
      </c>
      <c r="B62" s="4" t="s">
        <v>339</v>
      </c>
      <c r="C62" s="4">
        <f>MATCH($E62,[1]Message!$C:$C,0)</f>
        <v>13</v>
      </c>
      <c r="D62" s="4" t="str">
        <f>VLOOKUP($E62,[1]Message!$C:$I,3,FALSE)</f>
        <v>0x0802EE41</v>
      </c>
      <c r="E62" s="4" t="str">
        <f>VLOOKUP($B62,[1]Message!$B:$C,2,FALSE)</f>
        <v>U2P_SUMDATA2</v>
      </c>
      <c r="F62" s="4">
        <f>VLOOKUP($E62,[1]Message!$C:$I,4,FALSE)</f>
        <v>8</v>
      </c>
      <c r="G62" s="4" t="str">
        <f>VLOOKUP($E62,[1]Message!$C:$I,5,FALSE)</f>
        <v>BMU</v>
      </c>
      <c r="H62" s="4" t="str">
        <f>VLOOKUP($E62,[1]Message!$C:$I,6,FALSE)</f>
        <v>Event</v>
      </c>
      <c r="I62" s="4">
        <f>VLOOKUP($E62,[1]Message!$C:$I,7,FALSE)</f>
        <v>0</v>
      </c>
      <c r="J62" s="4"/>
      <c r="K62" s="4" t="s">
        <v>341</v>
      </c>
      <c r="L62" s="4">
        <v>4</v>
      </c>
      <c r="M62" s="4">
        <v>1</v>
      </c>
      <c r="N62" s="4">
        <v>1</v>
      </c>
      <c r="O62" s="4">
        <v>0</v>
      </c>
      <c r="P62" s="4">
        <v>0</v>
      </c>
      <c r="Q62" s="4"/>
      <c r="R62" s="4">
        <f t="shared" si="0"/>
        <v>0</v>
      </c>
      <c r="S62" s="4">
        <f t="shared" si="1"/>
        <v>1</v>
      </c>
      <c r="T62" s="4" t="s">
        <v>298</v>
      </c>
      <c r="U62" s="4" t="s">
        <v>969</v>
      </c>
      <c r="V62" s="7" t="s">
        <v>342</v>
      </c>
      <c r="W62" s="3" t="s">
        <v>849</v>
      </c>
      <c r="X62" s="3"/>
      <c r="Y62" s="3"/>
    </row>
    <row r="63" spans="1:25">
      <c r="A63" s="3">
        <v>62</v>
      </c>
      <c r="B63" s="7" t="s">
        <v>343</v>
      </c>
      <c r="C63" s="4">
        <f>MATCH($E63,[1]Message!$C:$C,0)</f>
        <v>13</v>
      </c>
      <c r="D63" s="4" t="str">
        <f>VLOOKUP($E63,[1]Message!$C:$I,3,FALSE)</f>
        <v>0x0802EE41</v>
      </c>
      <c r="E63" s="4" t="str">
        <f>VLOOKUP($B63,[1]Message!$B:$C,2,FALSE)</f>
        <v>U2P_SUMDATA2</v>
      </c>
      <c r="F63" s="4">
        <f>VLOOKUP($E63,[1]Message!$C:$I,4,FALSE)</f>
        <v>8</v>
      </c>
      <c r="G63" s="4" t="str">
        <f>VLOOKUP($E63,[1]Message!$C:$I,5,FALSE)</f>
        <v>BMU</v>
      </c>
      <c r="H63" s="4" t="str">
        <f>VLOOKUP($E63,[1]Message!$C:$I,6,FALSE)</f>
        <v>Event</v>
      </c>
      <c r="I63" s="4">
        <f>VLOOKUP($E63,[1]Message!$C:$I,7,FALSE)</f>
        <v>0</v>
      </c>
      <c r="J63" s="4"/>
      <c r="K63" s="8" t="s">
        <v>344</v>
      </c>
      <c r="L63" s="4">
        <v>5</v>
      </c>
      <c r="M63" s="7">
        <v>1</v>
      </c>
      <c r="N63" s="7">
        <v>1</v>
      </c>
      <c r="O63" s="7">
        <v>0</v>
      </c>
      <c r="P63" s="7"/>
      <c r="Q63" s="7"/>
      <c r="R63" s="7">
        <f t="shared" si="0"/>
        <v>0</v>
      </c>
      <c r="S63" s="7">
        <f t="shared" si="1"/>
        <v>1</v>
      </c>
      <c r="T63" s="4" t="s">
        <v>298</v>
      </c>
      <c r="U63" s="4" t="s">
        <v>345</v>
      </c>
      <c r="V63" s="7"/>
      <c r="W63" s="3" t="s">
        <v>849</v>
      </c>
      <c r="X63" s="3"/>
      <c r="Y63" s="3"/>
    </row>
    <row r="64" spans="1:25" s="31" customFormat="1">
      <c r="A64" s="3">
        <v>63</v>
      </c>
      <c r="B64" s="4" t="s">
        <v>339</v>
      </c>
      <c r="C64" s="4">
        <f>MATCH($E64,[1]Message!$C:$C,0)</f>
        <v>13</v>
      </c>
      <c r="D64" s="4" t="str">
        <f>VLOOKUP($E64,[1]Message!$C:$I,3,FALSE)</f>
        <v>0x0802EE41</v>
      </c>
      <c r="E64" s="4" t="str">
        <f>VLOOKUP($B64,[1]Message!$B:$C,2,FALSE)</f>
        <v>U2P_SUMDATA2</v>
      </c>
      <c r="F64" s="4">
        <f>VLOOKUP($E64,[1]Message!$C:$I,4,FALSE)</f>
        <v>8</v>
      </c>
      <c r="G64" s="4" t="str">
        <f>VLOOKUP($E64,[1]Message!$C:$I,5,FALSE)</f>
        <v>BMU</v>
      </c>
      <c r="H64" s="4" t="str">
        <f>VLOOKUP($E64,[1]Message!$C:$I,6,FALSE)</f>
        <v>Event</v>
      </c>
      <c r="I64" s="4">
        <f>VLOOKUP($E64,[1]Message!$C:$I,7,FALSE)</f>
        <v>0</v>
      </c>
      <c r="J64" s="4"/>
      <c r="K64" s="4" t="s">
        <v>346</v>
      </c>
      <c r="L64" s="4">
        <v>6</v>
      </c>
      <c r="M64" s="4">
        <v>1</v>
      </c>
      <c r="N64" s="4">
        <v>1</v>
      </c>
      <c r="O64" s="4">
        <v>0</v>
      </c>
      <c r="P64" s="4">
        <v>0</v>
      </c>
      <c r="Q64" s="4"/>
      <c r="R64" s="4">
        <f t="shared" si="0"/>
        <v>0</v>
      </c>
      <c r="S64" s="4">
        <f t="shared" si="1"/>
        <v>1</v>
      </c>
      <c r="T64" s="4" t="s">
        <v>298</v>
      </c>
      <c r="U64" s="4" t="s">
        <v>899</v>
      </c>
      <c r="V64" s="4" t="s">
        <v>342</v>
      </c>
      <c r="W64" s="3" t="s">
        <v>895</v>
      </c>
      <c r="X64" s="3"/>
      <c r="Y64" s="3"/>
    </row>
    <row r="65" spans="1:25" s="31" customFormat="1">
      <c r="A65" s="3">
        <v>64</v>
      </c>
      <c r="B65" s="4" t="s">
        <v>339</v>
      </c>
      <c r="C65" s="4">
        <f>MATCH($E65,[1]Message!$C:$C,0)</f>
        <v>13</v>
      </c>
      <c r="D65" s="4" t="str">
        <f>VLOOKUP($E65,[1]Message!$C:$I,3,FALSE)</f>
        <v>0x0802EE41</v>
      </c>
      <c r="E65" s="4" t="str">
        <f>VLOOKUP($B65,[1]Message!$B:$C,2,FALSE)</f>
        <v>U2P_SUMDATA2</v>
      </c>
      <c r="F65" s="4">
        <f>VLOOKUP($E65,[1]Message!$C:$I,4,FALSE)</f>
        <v>8</v>
      </c>
      <c r="G65" s="4" t="str">
        <f>VLOOKUP($E65,[1]Message!$C:$I,5,FALSE)</f>
        <v>BMU</v>
      </c>
      <c r="H65" s="4" t="str">
        <f>VLOOKUP($E65,[1]Message!$C:$I,6,FALSE)</f>
        <v>Event</v>
      </c>
      <c r="I65" s="4">
        <f>VLOOKUP($E65,[1]Message!$C:$I,7,FALSE)</f>
        <v>0</v>
      </c>
      <c r="J65" s="4"/>
      <c r="K65" s="4" t="s">
        <v>347</v>
      </c>
      <c r="L65" s="4">
        <v>7</v>
      </c>
      <c r="M65" s="4">
        <v>1</v>
      </c>
      <c r="N65" s="4">
        <v>1</v>
      </c>
      <c r="O65" s="4">
        <v>0</v>
      </c>
      <c r="P65" s="4">
        <v>0</v>
      </c>
      <c r="Q65" s="4"/>
      <c r="R65" s="4">
        <f t="shared" si="0"/>
        <v>0</v>
      </c>
      <c r="S65" s="4">
        <f t="shared" si="1"/>
        <v>1</v>
      </c>
      <c r="T65" s="4" t="s">
        <v>298</v>
      </c>
      <c r="U65" s="4" t="s">
        <v>1146</v>
      </c>
      <c r="V65" s="4" t="s">
        <v>348</v>
      </c>
      <c r="W65" s="3" t="s">
        <v>895</v>
      </c>
      <c r="X65" s="3"/>
      <c r="Y65" s="3"/>
    </row>
    <row r="66" spans="1:25" s="31" customFormat="1">
      <c r="A66" s="3">
        <v>65</v>
      </c>
      <c r="B66" s="4" t="s">
        <v>339</v>
      </c>
      <c r="C66" s="4">
        <f>MATCH($E66,[1]Message!$C:$C,0)</f>
        <v>13</v>
      </c>
      <c r="D66" s="4" t="str">
        <f>VLOOKUP($E66,[1]Message!$C:$I,3,FALSE)</f>
        <v>0x0802EE41</v>
      </c>
      <c r="E66" s="4" t="str">
        <f>VLOOKUP($B66,[1]Message!$B:$C,2,FALSE)</f>
        <v>U2P_SUMDATA2</v>
      </c>
      <c r="F66" s="4">
        <f>VLOOKUP($E66,[1]Message!$C:$I,4,FALSE)</f>
        <v>8</v>
      </c>
      <c r="G66" s="4" t="str">
        <f>VLOOKUP($E66,[1]Message!$C:$I,5,FALSE)</f>
        <v>BMU</v>
      </c>
      <c r="H66" s="4" t="str">
        <f>VLOOKUP($E66,[1]Message!$C:$I,6,FALSE)</f>
        <v>Event</v>
      </c>
      <c r="I66" s="4">
        <f>VLOOKUP($E66,[1]Message!$C:$I,7,FALSE)</f>
        <v>0</v>
      </c>
      <c r="J66" s="4"/>
      <c r="K66" s="4" t="s">
        <v>349</v>
      </c>
      <c r="L66" s="4">
        <v>8</v>
      </c>
      <c r="M66" s="4">
        <v>8</v>
      </c>
      <c r="N66" s="4">
        <v>1</v>
      </c>
      <c r="O66" s="4">
        <v>0</v>
      </c>
      <c r="P66" s="4">
        <v>0</v>
      </c>
      <c r="Q66" s="4"/>
      <c r="R66" s="4">
        <f t="shared" ref="R66:R129" si="2">0*N66+O66</f>
        <v>0</v>
      </c>
      <c r="S66" s="4">
        <f t="shared" ref="S66:S96" si="3">(2^(M66)-1)*N66+O66</f>
        <v>255</v>
      </c>
      <c r="T66" s="4" t="s">
        <v>298</v>
      </c>
      <c r="U66" s="4" t="s">
        <v>350</v>
      </c>
      <c r="V66" s="4" t="s">
        <v>342</v>
      </c>
      <c r="W66" s="3" t="s">
        <v>879</v>
      </c>
      <c r="X66" s="3"/>
      <c r="Y66" s="3"/>
    </row>
    <row r="67" spans="1:25" s="31" customFormat="1">
      <c r="A67" s="3">
        <v>66</v>
      </c>
      <c r="B67" s="4" t="s">
        <v>339</v>
      </c>
      <c r="C67" s="4">
        <f>MATCH($E67,[1]Message!$C:$C,0)</f>
        <v>13</v>
      </c>
      <c r="D67" s="4" t="str">
        <f>VLOOKUP($E67,[1]Message!$C:$I,3,FALSE)</f>
        <v>0x0802EE41</v>
      </c>
      <c r="E67" s="4" t="str">
        <f>VLOOKUP($B67,[1]Message!$B:$C,2,FALSE)</f>
        <v>U2P_SUMDATA2</v>
      </c>
      <c r="F67" s="4">
        <f>VLOOKUP($E67,[1]Message!$C:$I,4,FALSE)</f>
        <v>8</v>
      </c>
      <c r="G67" s="4" t="str">
        <f>VLOOKUP($E67,[1]Message!$C:$I,5,FALSE)</f>
        <v>BMU</v>
      </c>
      <c r="H67" s="4" t="str">
        <f>VLOOKUP($E67,[1]Message!$C:$I,6,FALSE)</f>
        <v>Event</v>
      </c>
      <c r="I67" s="4">
        <f>VLOOKUP($E67,[1]Message!$C:$I,7,FALSE)</f>
        <v>0</v>
      </c>
      <c r="J67" s="4"/>
      <c r="K67" s="4" t="s">
        <v>351</v>
      </c>
      <c r="L67" s="4">
        <v>16</v>
      </c>
      <c r="M67" s="4">
        <v>8</v>
      </c>
      <c r="N67" s="4">
        <v>1</v>
      </c>
      <c r="O67" s="4">
        <v>0</v>
      </c>
      <c r="P67" s="4">
        <v>0</v>
      </c>
      <c r="Q67" s="4"/>
      <c r="R67" s="4">
        <f t="shared" si="2"/>
        <v>0</v>
      </c>
      <c r="S67" s="4">
        <f t="shared" si="3"/>
        <v>255</v>
      </c>
      <c r="T67" s="4" t="s">
        <v>352</v>
      </c>
      <c r="U67" s="4" t="s">
        <v>900</v>
      </c>
      <c r="V67" s="4" t="s">
        <v>353</v>
      </c>
      <c r="W67" s="3" t="s">
        <v>879</v>
      </c>
      <c r="X67" s="3"/>
      <c r="Y67" s="3"/>
    </row>
    <row r="68" spans="1:25" s="31" customFormat="1">
      <c r="A68" s="3">
        <v>67</v>
      </c>
      <c r="B68" s="4" t="s">
        <v>354</v>
      </c>
      <c r="C68" s="4">
        <f>MATCH($E68,[1]Message!$C:$C,0)</f>
        <v>13</v>
      </c>
      <c r="D68" s="4" t="str">
        <f>VLOOKUP($E68,[1]Message!$C:$I,3,FALSE)</f>
        <v>0x0802EE41</v>
      </c>
      <c r="E68" s="4" t="str">
        <f>VLOOKUP($B68,[1]Message!$B:$C,2,FALSE)</f>
        <v>U2P_SUMDATA2</v>
      </c>
      <c r="F68" s="4">
        <f>VLOOKUP($E68,[1]Message!$C:$I,4,FALSE)</f>
        <v>8</v>
      </c>
      <c r="G68" s="4" t="str">
        <f>VLOOKUP($E68,[1]Message!$C:$I,5,FALSE)</f>
        <v>BMU</v>
      </c>
      <c r="H68" s="4" t="str">
        <f>VLOOKUP($E68,[1]Message!$C:$I,6,FALSE)</f>
        <v>Event</v>
      </c>
      <c r="I68" s="4">
        <f>VLOOKUP($E68,[1]Message!$C:$I,7,FALSE)</f>
        <v>0</v>
      </c>
      <c r="J68" s="4"/>
      <c r="K68" s="4" t="s">
        <v>355</v>
      </c>
      <c r="L68" s="4">
        <v>24</v>
      </c>
      <c r="M68" s="4">
        <v>1</v>
      </c>
      <c r="N68" s="4">
        <v>1</v>
      </c>
      <c r="O68" s="4">
        <v>0</v>
      </c>
      <c r="P68" s="4">
        <v>0</v>
      </c>
      <c r="Q68" s="4"/>
      <c r="R68" s="4">
        <f t="shared" si="2"/>
        <v>0</v>
      </c>
      <c r="S68" s="4">
        <v>1</v>
      </c>
      <c r="T68" s="4" t="s">
        <v>298</v>
      </c>
      <c r="U68" s="4" t="s">
        <v>901</v>
      </c>
      <c r="V68" s="4" t="s">
        <v>356</v>
      </c>
      <c r="W68" s="3" t="s">
        <v>889</v>
      </c>
      <c r="X68" s="3"/>
      <c r="Y68" s="3"/>
    </row>
    <row r="69" spans="1:25" s="31" customFormat="1">
      <c r="A69" s="3">
        <v>68</v>
      </c>
      <c r="B69" s="4" t="s">
        <v>339</v>
      </c>
      <c r="C69" s="4">
        <f>MATCH($E69,[1]Message!$C:$C,0)</f>
        <v>13</v>
      </c>
      <c r="D69" s="4" t="str">
        <f>VLOOKUP($E69,[1]Message!$C:$I,3,FALSE)</f>
        <v>0x0802EE41</v>
      </c>
      <c r="E69" s="4" t="str">
        <f>VLOOKUP($B69,[1]Message!$B:$C,2,FALSE)</f>
        <v>U2P_SUMDATA2</v>
      </c>
      <c r="F69" s="4">
        <f>VLOOKUP($E69,[1]Message!$C:$I,4,FALSE)</f>
        <v>8</v>
      </c>
      <c r="G69" s="4" t="str">
        <f>VLOOKUP($E69,[1]Message!$C:$I,5,FALSE)</f>
        <v>BMU</v>
      </c>
      <c r="H69" s="4" t="str">
        <f>VLOOKUP($E69,[1]Message!$C:$I,6,FALSE)</f>
        <v>Event</v>
      </c>
      <c r="I69" s="4">
        <f>VLOOKUP($E69,[1]Message!$C:$I,7,FALSE)</f>
        <v>0</v>
      </c>
      <c r="J69" s="4"/>
      <c r="K69" s="4" t="s">
        <v>357</v>
      </c>
      <c r="L69" s="4">
        <v>25</v>
      </c>
      <c r="M69" s="4">
        <v>1</v>
      </c>
      <c r="N69" s="4">
        <v>1</v>
      </c>
      <c r="O69" s="4">
        <v>0</v>
      </c>
      <c r="P69" s="4">
        <v>0</v>
      </c>
      <c r="Q69" s="4"/>
      <c r="R69" s="4">
        <f t="shared" si="2"/>
        <v>0</v>
      </c>
      <c r="S69" s="4">
        <v>1</v>
      </c>
      <c r="T69" s="4" t="s">
        <v>298</v>
      </c>
      <c r="U69" s="4" t="s">
        <v>902</v>
      </c>
      <c r="V69" s="4" t="s">
        <v>342</v>
      </c>
      <c r="W69" s="3" t="s">
        <v>889</v>
      </c>
      <c r="X69" s="3"/>
      <c r="Y69" s="3"/>
    </row>
    <row r="70" spans="1:25" s="31" customFormat="1">
      <c r="A70" s="3">
        <v>69</v>
      </c>
      <c r="B70" s="4" t="s">
        <v>339</v>
      </c>
      <c r="C70" s="4">
        <f>MATCH($E70,[1]Message!$C:$C,0)</f>
        <v>13</v>
      </c>
      <c r="D70" s="4" t="str">
        <f>VLOOKUP($E70,[1]Message!$C:$I,3,FALSE)</f>
        <v>0x0802EE41</v>
      </c>
      <c r="E70" s="4" t="str">
        <f>VLOOKUP($B70,[1]Message!$B:$C,2,FALSE)</f>
        <v>U2P_SUMDATA2</v>
      </c>
      <c r="F70" s="4">
        <f>VLOOKUP($E70,[1]Message!$C:$I,4,FALSE)</f>
        <v>8</v>
      </c>
      <c r="G70" s="4" t="str">
        <f>VLOOKUP($E70,[1]Message!$C:$I,5,FALSE)</f>
        <v>BMU</v>
      </c>
      <c r="H70" s="4" t="str">
        <f>VLOOKUP($E70,[1]Message!$C:$I,6,FALSE)</f>
        <v>Event</v>
      </c>
      <c r="I70" s="4">
        <f>VLOOKUP($E70,[1]Message!$C:$I,7,FALSE)</f>
        <v>0</v>
      </c>
      <c r="J70" s="4"/>
      <c r="K70" s="4" t="s">
        <v>358</v>
      </c>
      <c r="L70" s="4">
        <v>26</v>
      </c>
      <c r="M70" s="4">
        <v>1</v>
      </c>
      <c r="N70" s="4">
        <v>1</v>
      </c>
      <c r="O70" s="4">
        <v>0</v>
      </c>
      <c r="P70" s="4">
        <v>0</v>
      </c>
      <c r="Q70" s="4"/>
      <c r="R70" s="4">
        <f t="shared" si="2"/>
        <v>0</v>
      </c>
      <c r="S70" s="4">
        <v>1</v>
      </c>
      <c r="T70" s="4" t="s">
        <v>298</v>
      </c>
      <c r="U70" s="4" t="s">
        <v>903</v>
      </c>
      <c r="V70" s="4" t="s">
        <v>356</v>
      </c>
      <c r="W70" s="3" t="s">
        <v>889</v>
      </c>
      <c r="X70" s="3"/>
      <c r="Y70" s="3"/>
    </row>
    <row r="71" spans="1:25" s="31" customFormat="1">
      <c r="A71" s="3">
        <v>70</v>
      </c>
      <c r="B71" s="4" t="s">
        <v>339</v>
      </c>
      <c r="C71" s="4">
        <f>MATCH($E71,[1]Message!$C:$C,0)</f>
        <v>13</v>
      </c>
      <c r="D71" s="4" t="str">
        <f>VLOOKUP($E71,[1]Message!$C:$I,3,FALSE)</f>
        <v>0x0802EE41</v>
      </c>
      <c r="E71" s="4" t="str">
        <f>VLOOKUP($B71,[1]Message!$B:$C,2,FALSE)</f>
        <v>U2P_SUMDATA2</v>
      </c>
      <c r="F71" s="4">
        <f>VLOOKUP($E71,[1]Message!$C:$I,4,FALSE)</f>
        <v>8</v>
      </c>
      <c r="G71" s="4" t="str">
        <f>VLOOKUP($E71,[1]Message!$C:$I,5,FALSE)</f>
        <v>BMU</v>
      </c>
      <c r="H71" s="4" t="str">
        <f>VLOOKUP($E71,[1]Message!$C:$I,6,FALSE)</f>
        <v>Event</v>
      </c>
      <c r="I71" s="4">
        <f>VLOOKUP($E71,[1]Message!$C:$I,7,FALSE)</f>
        <v>0</v>
      </c>
      <c r="J71" s="4"/>
      <c r="K71" s="4" t="s">
        <v>359</v>
      </c>
      <c r="L71" s="4">
        <v>27</v>
      </c>
      <c r="M71" s="4">
        <v>1</v>
      </c>
      <c r="N71" s="4">
        <v>1</v>
      </c>
      <c r="O71" s="4">
        <v>0</v>
      </c>
      <c r="P71" s="4">
        <v>0</v>
      </c>
      <c r="Q71" s="4"/>
      <c r="R71" s="4">
        <f t="shared" si="2"/>
        <v>0</v>
      </c>
      <c r="S71" s="4">
        <v>1</v>
      </c>
      <c r="T71" s="4" t="s">
        <v>360</v>
      </c>
      <c r="U71" s="4" t="s">
        <v>904</v>
      </c>
      <c r="V71" s="4" t="s">
        <v>356</v>
      </c>
      <c r="W71" s="3" t="s">
        <v>889</v>
      </c>
      <c r="X71" s="3"/>
      <c r="Y71" s="3"/>
    </row>
    <row r="72" spans="1:25">
      <c r="A72" s="3">
        <v>71</v>
      </c>
      <c r="B72" s="4" t="s">
        <v>339</v>
      </c>
      <c r="C72" s="4">
        <f>MATCH($E72,[1]Message!$C:$C,0)</f>
        <v>13</v>
      </c>
      <c r="D72" s="4" t="str">
        <f>VLOOKUP($E72,[1]Message!$C:$I,3,FALSE)</f>
        <v>0x0802EE41</v>
      </c>
      <c r="E72" s="4" t="str">
        <f>VLOOKUP($B72,[1]Message!$B:$C,2,FALSE)</f>
        <v>U2P_SUMDATA2</v>
      </c>
      <c r="F72" s="4">
        <f>VLOOKUP($E72,[1]Message!$C:$I,4,FALSE)</f>
        <v>8</v>
      </c>
      <c r="G72" s="4" t="str">
        <f>VLOOKUP($E72,[1]Message!$C:$I,5,FALSE)</f>
        <v>BMU</v>
      </c>
      <c r="H72" s="4" t="str">
        <f>VLOOKUP($E72,[1]Message!$C:$I,6,FALSE)</f>
        <v>Event</v>
      </c>
      <c r="I72" s="4">
        <f>VLOOKUP($E72,[1]Message!$C:$I,7,FALSE)</f>
        <v>0</v>
      </c>
      <c r="J72" s="4"/>
      <c r="K72" s="4" t="s">
        <v>325</v>
      </c>
      <c r="L72" s="4">
        <v>28</v>
      </c>
      <c r="M72" s="4">
        <v>4</v>
      </c>
      <c r="N72" s="4">
        <v>1</v>
      </c>
      <c r="O72" s="4">
        <v>0</v>
      </c>
      <c r="P72" s="4"/>
      <c r="Q72" s="4"/>
      <c r="R72" s="4">
        <f t="shared" si="2"/>
        <v>0</v>
      </c>
      <c r="S72" s="4">
        <f t="shared" si="3"/>
        <v>15</v>
      </c>
      <c r="T72" s="4" t="s">
        <v>298</v>
      </c>
      <c r="U72" s="4" t="s">
        <v>361</v>
      </c>
      <c r="V72" s="4"/>
      <c r="W72" s="3" t="s">
        <v>849</v>
      </c>
      <c r="X72" s="3"/>
      <c r="Y72" s="3"/>
    </row>
    <row r="73" spans="1:25" s="31" customFormat="1">
      <c r="A73" s="3">
        <v>72</v>
      </c>
      <c r="B73" s="4" t="s">
        <v>339</v>
      </c>
      <c r="C73" s="4">
        <f>MATCH($E73,[1]Message!$C:$C,0)</f>
        <v>13</v>
      </c>
      <c r="D73" s="4" t="str">
        <f>VLOOKUP($E73,[1]Message!$C:$I,3,FALSE)</f>
        <v>0x0802EE41</v>
      </c>
      <c r="E73" s="4" t="str">
        <f>VLOOKUP($B73,[1]Message!$B:$C,2,FALSE)</f>
        <v>U2P_SUMDATA2</v>
      </c>
      <c r="F73" s="4">
        <f>VLOOKUP($E73,[1]Message!$C:$I,4,FALSE)</f>
        <v>8</v>
      </c>
      <c r="G73" s="4" t="str">
        <f>VLOOKUP($E73,[1]Message!$C:$I,5,FALSE)</f>
        <v>BMU</v>
      </c>
      <c r="H73" s="4" t="str">
        <f>VLOOKUP($E73,[1]Message!$C:$I,6,FALSE)</f>
        <v>Event</v>
      </c>
      <c r="I73" s="4">
        <f>VLOOKUP($E73,[1]Message!$C:$I,7,FALSE)</f>
        <v>0</v>
      </c>
      <c r="J73" s="4"/>
      <c r="K73" s="4" t="s">
        <v>362</v>
      </c>
      <c r="L73" s="4">
        <v>32</v>
      </c>
      <c r="M73" s="4">
        <v>8</v>
      </c>
      <c r="N73" s="4">
        <v>1</v>
      </c>
      <c r="O73" s="4">
        <v>0</v>
      </c>
      <c r="P73" s="4">
        <v>0</v>
      </c>
      <c r="Q73" s="4"/>
      <c r="R73" s="4">
        <f t="shared" si="2"/>
        <v>0</v>
      </c>
      <c r="S73" s="4">
        <f t="shared" si="3"/>
        <v>255</v>
      </c>
      <c r="T73" s="4" t="s">
        <v>298</v>
      </c>
      <c r="U73" s="4" t="s">
        <v>363</v>
      </c>
      <c r="V73" s="4" t="s">
        <v>342</v>
      </c>
      <c r="W73" s="3" t="s">
        <v>905</v>
      </c>
      <c r="X73" s="3"/>
      <c r="Y73" s="3"/>
    </row>
    <row r="74" spans="1:25" s="31" customFormat="1">
      <c r="A74" s="3">
        <v>73</v>
      </c>
      <c r="B74" s="4" t="s">
        <v>343</v>
      </c>
      <c r="C74" s="4">
        <f>MATCH($E74,[1]Message!$C:$C,0)</f>
        <v>13</v>
      </c>
      <c r="D74" s="4" t="str">
        <f>VLOOKUP($E74,[1]Message!$C:$I,3,FALSE)</f>
        <v>0x0802EE41</v>
      </c>
      <c r="E74" s="4" t="str">
        <f>VLOOKUP($B74,[1]Message!$B:$C,2,FALSE)</f>
        <v>U2P_SUMDATA2</v>
      </c>
      <c r="F74" s="4">
        <f>VLOOKUP($E74,[1]Message!$C:$I,4,FALSE)</f>
        <v>8</v>
      </c>
      <c r="G74" s="4" t="str">
        <f>VLOOKUP($E74,[1]Message!$C:$I,5,FALSE)</f>
        <v>BMU</v>
      </c>
      <c r="H74" s="4" t="str">
        <f>VLOOKUP($E74,[1]Message!$C:$I,6,FALSE)</f>
        <v>Event</v>
      </c>
      <c r="I74" s="4">
        <f>VLOOKUP($E74,[1]Message!$C:$I,7,FALSE)</f>
        <v>0</v>
      </c>
      <c r="J74" s="4"/>
      <c r="K74" s="4" t="s">
        <v>364</v>
      </c>
      <c r="L74" s="4">
        <v>40</v>
      </c>
      <c r="M74" s="4">
        <v>8</v>
      </c>
      <c r="N74" s="4">
        <v>1</v>
      </c>
      <c r="O74" s="4">
        <v>0</v>
      </c>
      <c r="P74" s="4">
        <v>0</v>
      </c>
      <c r="Q74" s="4"/>
      <c r="R74" s="4">
        <f t="shared" si="2"/>
        <v>0</v>
      </c>
      <c r="S74" s="4">
        <f t="shared" si="3"/>
        <v>255</v>
      </c>
      <c r="T74" s="4" t="s">
        <v>352</v>
      </c>
      <c r="U74" s="4" t="s">
        <v>906</v>
      </c>
      <c r="V74" s="4" t="s">
        <v>353</v>
      </c>
      <c r="W74" s="3" t="s">
        <v>905</v>
      </c>
      <c r="X74" s="3"/>
      <c r="Y74" s="3"/>
    </row>
    <row r="75" spans="1:25">
      <c r="A75" s="3">
        <v>74</v>
      </c>
      <c r="B75" s="4" t="s">
        <v>339</v>
      </c>
      <c r="C75" s="4">
        <f>MATCH($E75,[1]Message!$C:$C,0)</f>
        <v>13</v>
      </c>
      <c r="D75" s="4" t="str">
        <f>VLOOKUP($E75,[1]Message!$C:$I,3,FALSE)</f>
        <v>0x0802EE41</v>
      </c>
      <c r="E75" s="4" t="str">
        <f>VLOOKUP($B75,[1]Message!$B:$C,2,FALSE)</f>
        <v>U2P_SUMDATA2</v>
      </c>
      <c r="F75" s="4">
        <f>VLOOKUP($E75,[1]Message!$C:$I,4,FALSE)</f>
        <v>8</v>
      </c>
      <c r="G75" s="4" t="str">
        <f>VLOOKUP($E75,[1]Message!$C:$I,5,FALSE)</f>
        <v>BMU</v>
      </c>
      <c r="H75" s="4" t="str">
        <f>VLOOKUP($E75,[1]Message!$C:$I,6,FALSE)</f>
        <v>Event</v>
      </c>
      <c r="I75" s="4">
        <f>VLOOKUP($E75,[1]Message!$C:$I,7,FALSE)</f>
        <v>0</v>
      </c>
      <c r="J75" s="4"/>
      <c r="K75" s="4" t="s">
        <v>365</v>
      </c>
      <c r="L75" s="4">
        <v>48</v>
      </c>
      <c r="M75" s="4">
        <v>16</v>
      </c>
      <c r="N75" s="4">
        <v>0.1</v>
      </c>
      <c r="O75" s="4">
        <v>-2000</v>
      </c>
      <c r="P75" s="4">
        <v>2000</v>
      </c>
      <c r="Q75" s="4" t="s">
        <v>329</v>
      </c>
      <c r="R75" s="4">
        <f t="shared" si="2"/>
        <v>-2000</v>
      </c>
      <c r="S75" s="4">
        <f t="shared" si="3"/>
        <v>4553.5</v>
      </c>
      <c r="T75" s="4" t="s">
        <v>352</v>
      </c>
      <c r="U75" s="4" t="s">
        <v>970</v>
      </c>
      <c r="V75" s="4" t="s">
        <v>366</v>
      </c>
      <c r="W75" s="3" t="s">
        <v>849</v>
      </c>
      <c r="X75" s="3"/>
      <c r="Y75" s="3"/>
    </row>
    <row r="76" spans="1:25" s="31" customFormat="1">
      <c r="A76" s="3">
        <v>75</v>
      </c>
      <c r="B76" s="4" t="s">
        <v>367</v>
      </c>
      <c r="C76" s="4">
        <f>MATCH($E76,[1]Message!$C:$C,0)</f>
        <v>14</v>
      </c>
      <c r="D76" s="4" t="str">
        <f>VLOOKUP($E76,[1]Message!$C:$I,3,FALSE)</f>
        <v>0x0803EE41</v>
      </c>
      <c r="E76" s="4" t="str">
        <f>VLOOKUP($B76,[1]Message!$B:$C,2,FALSE)</f>
        <v>U2P_SUMDATA3</v>
      </c>
      <c r="F76" s="4">
        <f>VLOOKUP($E76,[1]Message!$C:$I,4,FALSE)</f>
        <v>8</v>
      </c>
      <c r="G76" s="4" t="str">
        <f>VLOOKUP($E76,[1]Message!$C:$I,5,FALSE)</f>
        <v>BMU</v>
      </c>
      <c r="H76" s="4" t="str">
        <f>VLOOKUP($E76,[1]Message!$C:$I,6,FALSE)</f>
        <v>Event</v>
      </c>
      <c r="I76" s="4">
        <f>VLOOKUP($E76,[1]Message!$C:$I,7,FALSE)</f>
        <v>0</v>
      </c>
      <c r="J76" s="4"/>
      <c r="K76" s="4" t="s">
        <v>368</v>
      </c>
      <c r="L76" s="4">
        <v>0</v>
      </c>
      <c r="M76" s="4">
        <v>16</v>
      </c>
      <c r="N76" s="4">
        <v>0.1</v>
      </c>
      <c r="O76" s="4">
        <v>0</v>
      </c>
      <c r="P76" s="4">
        <v>0</v>
      </c>
      <c r="Q76" s="4" t="s">
        <v>334</v>
      </c>
      <c r="R76" s="4">
        <f t="shared" si="2"/>
        <v>0</v>
      </c>
      <c r="S76" s="4">
        <f t="shared" si="3"/>
        <v>6553.5</v>
      </c>
      <c r="T76" s="4" t="s">
        <v>298</v>
      </c>
      <c r="U76" s="4" t="s">
        <v>907</v>
      </c>
      <c r="V76" s="4" t="s">
        <v>330</v>
      </c>
      <c r="W76" s="3" t="s">
        <v>895</v>
      </c>
      <c r="X76" s="3"/>
      <c r="Y76" s="3"/>
    </row>
    <row r="77" spans="1:25" s="31" customFormat="1">
      <c r="A77" s="3">
        <v>76</v>
      </c>
      <c r="B77" s="4" t="s">
        <v>367</v>
      </c>
      <c r="C77" s="4">
        <f>MATCH($E77,[1]Message!$C:$C,0)</f>
        <v>14</v>
      </c>
      <c r="D77" s="4" t="str">
        <f>VLOOKUP($E77,[1]Message!$C:$I,3,FALSE)</f>
        <v>0x0803EE41</v>
      </c>
      <c r="E77" s="4" t="str">
        <f>VLOOKUP($B77,[1]Message!$B:$C,2,FALSE)</f>
        <v>U2P_SUMDATA3</v>
      </c>
      <c r="F77" s="4">
        <f>VLOOKUP($E77,[1]Message!$C:$I,4,FALSE)</f>
        <v>8</v>
      </c>
      <c r="G77" s="4" t="str">
        <f>VLOOKUP($E77,[1]Message!$C:$I,5,FALSE)</f>
        <v>BMU</v>
      </c>
      <c r="H77" s="4" t="str">
        <f>VLOOKUP($E77,[1]Message!$C:$I,6,FALSE)</f>
        <v>Event</v>
      </c>
      <c r="I77" s="4">
        <f>VLOOKUP($E77,[1]Message!$C:$I,7,FALSE)</f>
        <v>0</v>
      </c>
      <c r="J77" s="4"/>
      <c r="K77" s="4" t="s">
        <v>369</v>
      </c>
      <c r="L77" s="4">
        <v>16</v>
      </c>
      <c r="M77" s="4">
        <v>16</v>
      </c>
      <c r="N77" s="4">
        <v>0.1</v>
      </c>
      <c r="O77" s="4">
        <v>0</v>
      </c>
      <c r="P77" s="4">
        <v>0</v>
      </c>
      <c r="Q77" s="4" t="s">
        <v>334</v>
      </c>
      <c r="R77" s="4">
        <f t="shared" si="2"/>
        <v>0</v>
      </c>
      <c r="S77" s="4">
        <f t="shared" si="3"/>
        <v>6553.5</v>
      </c>
      <c r="T77" s="4" t="s">
        <v>298</v>
      </c>
      <c r="U77" s="4" t="s">
        <v>908</v>
      </c>
      <c r="V77" s="4" t="s">
        <v>330</v>
      </c>
      <c r="W77" s="3" t="s">
        <v>905</v>
      </c>
      <c r="X77" s="3"/>
      <c r="Y77" s="3"/>
    </row>
    <row r="78" spans="1:25" s="31" customFormat="1">
      <c r="A78" s="3">
        <v>77</v>
      </c>
      <c r="B78" s="4" t="s">
        <v>367</v>
      </c>
      <c r="C78" s="4">
        <f>MATCH($E78,[1]Message!$C:$C,0)</f>
        <v>14</v>
      </c>
      <c r="D78" s="4" t="str">
        <f>VLOOKUP($E78,[1]Message!$C:$I,3,FALSE)</f>
        <v>0x0803EE41</v>
      </c>
      <c r="E78" s="4" t="str">
        <f>VLOOKUP($B78,[1]Message!$B:$C,2,FALSE)</f>
        <v>U2P_SUMDATA3</v>
      </c>
      <c r="F78" s="4">
        <f>VLOOKUP($E78,[1]Message!$C:$I,4,FALSE)</f>
        <v>8</v>
      </c>
      <c r="G78" s="4" t="str">
        <f>VLOOKUP($E78,[1]Message!$C:$I,5,FALSE)</f>
        <v>BMU</v>
      </c>
      <c r="H78" s="4" t="str">
        <f>VLOOKUP($E78,[1]Message!$C:$I,6,FALSE)</f>
        <v>Event</v>
      </c>
      <c r="I78" s="4">
        <f>VLOOKUP($E78,[1]Message!$C:$I,7,FALSE)</f>
        <v>0</v>
      </c>
      <c r="J78" s="4"/>
      <c r="K78" s="4" t="s">
        <v>370</v>
      </c>
      <c r="L78" s="4">
        <v>32</v>
      </c>
      <c r="M78" s="4">
        <v>16</v>
      </c>
      <c r="N78" s="4">
        <v>1</v>
      </c>
      <c r="O78" s="4">
        <v>0</v>
      </c>
      <c r="P78" s="4">
        <v>0</v>
      </c>
      <c r="Q78" s="4" t="s">
        <v>371</v>
      </c>
      <c r="R78" s="4">
        <f t="shared" si="2"/>
        <v>0</v>
      </c>
      <c r="S78" s="4">
        <f t="shared" si="3"/>
        <v>65535</v>
      </c>
      <c r="T78" s="4" t="s">
        <v>298</v>
      </c>
      <c r="U78" s="4" t="s">
        <v>909</v>
      </c>
      <c r="V78" s="4" t="s">
        <v>330</v>
      </c>
      <c r="W78" s="3" t="s">
        <v>905</v>
      </c>
      <c r="X78" s="3"/>
      <c r="Y78" s="3"/>
    </row>
    <row r="79" spans="1:25" s="31" customFormat="1">
      <c r="A79" s="3">
        <v>78</v>
      </c>
      <c r="B79" s="4" t="s">
        <v>367</v>
      </c>
      <c r="C79" s="4">
        <f>MATCH($E79,[1]Message!$C:$C,0)</f>
        <v>14</v>
      </c>
      <c r="D79" s="4" t="str">
        <f>VLOOKUP($E79,[1]Message!$C:$I,3,FALSE)</f>
        <v>0x0803EE41</v>
      </c>
      <c r="E79" s="4" t="str">
        <f>VLOOKUP($B79,[1]Message!$B:$C,2,FALSE)</f>
        <v>U2P_SUMDATA3</v>
      </c>
      <c r="F79" s="4">
        <f>VLOOKUP($E79,[1]Message!$C:$I,4,FALSE)</f>
        <v>8</v>
      </c>
      <c r="G79" s="4" t="str">
        <f>VLOOKUP($E79,[1]Message!$C:$I,5,FALSE)</f>
        <v>BMU</v>
      </c>
      <c r="H79" s="4" t="str">
        <f>VLOOKUP($E79,[1]Message!$C:$I,6,FALSE)</f>
        <v>Event</v>
      </c>
      <c r="I79" s="4">
        <f>VLOOKUP($E79,[1]Message!$C:$I,7,FALSE)</f>
        <v>0</v>
      </c>
      <c r="J79" s="4"/>
      <c r="K79" s="4" t="s">
        <v>372</v>
      </c>
      <c r="L79" s="4">
        <v>48</v>
      </c>
      <c r="M79" s="4">
        <v>16</v>
      </c>
      <c r="N79" s="4">
        <v>1</v>
      </c>
      <c r="O79" s="4">
        <v>0</v>
      </c>
      <c r="P79" s="4">
        <v>0</v>
      </c>
      <c r="Q79" s="4" t="s">
        <v>371</v>
      </c>
      <c r="R79" s="4">
        <f t="shared" si="2"/>
        <v>0</v>
      </c>
      <c r="S79" s="4">
        <f t="shared" si="3"/>
        <v>65535</v>
      </c>
      <c r="T79" s="4" t="s">
        <v>298</v>
      </c>
      <c r="U79" s="4" t="s">
        <v>910</v>
      </c>
      <c r="V79" s="4" t="s">
        <v>330</v>
      </c>
      <c r="W79" s="3" t="s">
        <v>905</v>
      </c>
      <c r="X79" s="3"/>
      <c r="Y79" s="3"/>
    </row>
    <row r="80" spans="1:25" s="31" customFormat="1">
      <c r="A80" s="3">
        <v>79</v>
      </c>
      <c r="B80" s="4" t="s">
        <v>373</v>
      </c>
      <c r="C80" s="4">
        <f>MATCH($E80,[1]Message!$C:$C,0)</f>
        <v>15</v>
      </c>
      <c r="D80" s="4" t="str">
        <f>VLOOKUP($E80,[1]Message!$C:$I,3,FALSE)</f>
        <v>0x0804EE41</v>
      </c>
      <c r="E80" s="4" t="str">
        <f>VLOOKUP($B80,[1]Message!$B:$C,2,FALSE)</f>
        <v>U2P_SUMDATA4</v>
      </c>
      <c r="F80" s="4">
        <f>VLOOKUP($E80,[1]Message!$C:$I,4,FALSE)</f>
        <v>8</v>
      </c>
      <c r="G80" s="4" t="str">
        <f>VLOOKUP($E80,[1]Message!$C:$I,5,FALSE)</f>
        <v>BMU</v>
      </c>
      <c r="H80" s="4" t="str">
        <f>VLOOKUP($E80,[1]Message!$C:$I,6,FALSE)</f>
        <v>Event</v>
      </c>
      <c r="I80" s="4">
        <f>VLOOKUP($E80,[1]Message!$C:$I,7,FALSE)</f>
        <v>0</v>
      </c>
      <c r="J80" s="4"/>
      <c r="K80" s="4" t="s">
        <v>374</v>
      </c>
      <c r="L80" s="4">
        <v>0</v>
      </c>
      <c r="M80" s="4">
        <v>16</v>
      </c>
      <c r="N80" s="4">
        <v>1</v>
      </c>
      <c r="O80" s="4">
        <v>0</v>
      </c>
      <c r="P80" s="4">
        <v>0</v>
      </c>
      <c r="Q80" s="4" t="s">
        <v>375</v>
      </c>
      <c r="R80" s="4">
        <f t="shared" si="2"/>
        <v>0</v>
      </c>
      <c r="S80" s="4">
        <f t="shared" si="3"/>
        <v>65535</v>
      </c>
      <c r="T80" s="4" t="s">
        <v>352</v>
      </c>
      <c r="U80" s="4" t="s">
        <v>911</v>
      </c>
      <c r="V80" s="4" t="s">
        <v>366</v>
      </c>
      <c r="W80" s="3" t="s">
        <v>905</v>
      </c>
      <c r="X80" s="3"/>
      <c r="Y80" s="3"/>
    </row>
    <row r="81" spans="1:25" s="31" customFormat="1">
      <c r="A81" s="3">
        <v>80</v>
      </c>
      <c r="B81" s="4" t="s">
        <v>373</v>
      </c>
      <c r="C81" s="4">
        <f>MATCH($E81,[1]Message!$C:$C,0)</f>
        <v>15</v>
      </c>
      <c r="D81" s="4" t="str">
        <f>VLOOKUP($E81,[1]Message!$C:$I,3,FALSE)</f>
        <v>0x0804EE41</v>
      </c>
      <c r="E81" s="4" t="str">
        <f>VLOOKUP($B81,[1]Message!$B:$C,2,FALSE)</f>
        <v>U2P_SUMDATA4</v>
      </c>
      <c r="F81" s="4">
        <f>VLOOKUP($E81,[1]Message!$C:$I,4,FALSE)</f>
        <v>8</v>
      </c>
      <c r="G81" s="4" t="str">
        <f>VLOOKUP($E81,[1]Message!$C:$I,5,FALSE)</f>
        <v>BMU</v>
      </c>
      <c r="H81" s="4" t="str">
        <f>VLOOKUP($E81,[1]Message!$C:$I,6,FALSE)</f>
        <v>Event</v>
      </c>
      <c r="I81" s="4">
        <f>VLOOKUP($E81,[1]Message!$C:$I,7,FALSE)</f>
        <v>0</v>
      </c>
      <c r="J81" s="4"/>
      <c r="K81" s="4" t="s">
        <v>376</v>
      </c>
      <c r="L81" s="4">
        <v>16</v>
      </c>
      <c r="M81" s="4">
        <v>16</v>
      </c>
      <c r="N81" s="4">
        <v>1</v>
      </c>
      <c r="O81" s="4">
        <v>0</v>
      </c>
      <c r="P81" s="4">
        <v>0</v>
      </c>
      <c r="Q81" s="4" t="s">
        <v>377</v>
      </c>
      <c r="R81" s="4">
        <f t="shared" si="2"/>
        <v>0</v>
      </c>
      <c r="S81" s="4">
        <f t="shared" si="3"/>
        <v>65535</v>
      </c>
      <c r="T81" s="4" t="s">
        <v>298</v>
      </c>
      <c r="U81" s="4" t="s">
        <v>912</v>
      </c>
      <c r="V81" s="4" t="s">
        <v>366</v>
      </c>
      <c r="W81" s="3" t="s">
        <v>905</v>
      </c>
      <c r="X81" s="3"/>
      <c r="Y81" s="3"/>
    </row>
    <row r="82" spans="1:25" s="31" customFormat="1">
      <c r="A82" s="3">
        <v>81</v>
      </c>
      <c r="B82" s="4" t="s">
        <v>373</v>
      </c>
      <c r="C82" s="4">
        <f>MATCH($E82,[1]Message!$C:$C,0)</f>
        <v>15</v>
      </c>
      <c r="D82" s="4" t="str">
        <f>VLOOKUP($E82,[1]Message!$C:$I,3,FALSE)</f>
        <v>0x0804EE41</v>
      </c>
      <c r="E82" s="4" t="str">
        <f>VLOOKUP($B82,[1]Message!$B:$C,2,FALSE)</f>
        <v>U2P_SUMDATA4</v>
      </c>
      <c r="F82" s="4">
        <f>VLOOKUP($E82,[1]Message!$C:$I,4,FALSE)</f>
        <v>8</v>
      </c>
      <c r="G82" s="4" t="str">
        <f>VLOOKUP($E82,[1]Message!$C:$I,5,FALSE)</f>
        <v>BMU</v>
      </c>
      <c r="H82" s="4" t="str">
        <f>VLOOKUP($E82,[1]Message!$C:$I,6,FALSE)</f>
        <v>Event</v>
      </c>
      <c r="I82" s="4">
        <f>VLOOKUP($E82,[1]Message!$C:$I,7,FALSE)</f>
        <v>0</v>
      </c>
      <c r="J82" s="4"/>
      <c r="K82" s="4" t="s">
        <v>378</v>
      </c>
      <c r="L82" s="4">
        <v>32</v>
      </c>
      <c r="M82" s="4">
        <v>8</v>
      </c>
      <c r="N82" s="4">
        <v>1</v>
      </c>
      <c r="O82" s="4">
        <v>0</v>
      </c>
      <c r="P82" s="4">
        <v>0</v>
      </c>
      <c r="Q82" s="4"/>
      <c r="R82" s="4">
        <f t="shared" si="2"/>
        <v>0</v>
      </c>
      <c r="S82" s="4">
        <f t="shared" si="3"/>
        <v>255</v>
      </c>
      <c r="T82" s="4" t="s">
        <v>298</v>
      </c>
      <c r="U82" s="4" t="s">
        <v>379</v>
      </c>
      <c r="V82" s="4" t="s">
        <v>380</v>
      </c>
      <c r="W82" s="3" t="s">
        <v>905</v>
      </c>
      <c r="X82" s="3"/>
      <c r="Y82" s="3"/>
    </row>
    <row r="83" spans="1:25" s="31" customFormat="1">
      <c r="A83" s="3">
        <v>82</v>
      </c>
      <c r="B83" s="4" t="s">
        <v>373</v>
      </c>
      <c r="C83" s="4">
        <f>MATCH($E83,[1]Message!$C:$C,0)</f>
        <v>15</v>
      </c>
      <c r="D83" s="4" t="str">
        <f>VLOOKUP($E83,[1]Message!$C:$I,3,FALSE)</f>
        <v>0x0804EE41</v>
      </c>
      <c r="E83" s="4" t="str">
        <f>VLOOKUP($B83,[1]Message!$B:$C,2,FALSE)</f>
        <v>U2P_SUMDATA4</v>
      </c>
      <c r="F83" s="4">
        <f>VLOOKUP($E83,[1]Message!$C:$I,4,FALSE)</f>
        <v>8</v>
      </c>
      <c r="G83" s="4" t="str">
        <f>VLOOKUP($E83,[1]Message!$C:$I,5,FALSE)</f>
        <v>BMU</v>
      </c>
      <c r="H83" s="4" t="str">
        <f>VLOOKUP($E83,[1]Message!$C:$I,6,FALSE)</f>
        <v>Event</v>
      </c>
      <c r="I83" s="4">
        <f>VLOOKUP($E83,[1]Message!$C:$I,7,FALSE)</f>
        <v>0</v>
      </c>
      <c r="J83" s="4"/>
      <c r="K83" s="4" t="s">
        <v>381</v>
      </c>
      <c r="L83" s="4">
        <v>40</v>
      </c>
      <c r="M83" s="4">
        <v>8</v>
      </c>
      <c r="N83" s="4">
        <v>1</v>
      </c>
      <c r="O83" s="4">
        <v>0</v>
      </c>
      <c r="P83" s="4">
        <v>0</v>
      </c>
      <c r="Q83" s="4"/>
      <c r="R83" s="4">
        <f t="shared" si="2"/>
        <v>0</v>
      </c>
      <c r="S83" s="4">
        <f t="shared" si="3"/>
        <v>255</v>
      </c>
      <c r="T83" s="4" t="s">
        <v>298</v>
      </c>
      <c r="U83" s="4" t="s">
        <v>382</v>
      </c>
      <c r="V83" s="4" t="s">
        <v>383</v>
      </c>
      <c r="W83" s="3" t="s">
        <v>905</v>
      </c>
      <c r="X83" s="3"/>
      <c r="Y83" s="3"/>
    </row>
    <row r="84" spans="1:25" s="31" customFormat="1">
      <c r="A84" s="3">
        <v>83</v>
      </c>
      <c r="B84" s="4" t="s">
        <v>373</v>
      </c>
      <c r="C84" s="4">
        <f>MATCH($E84,[1]Message!$C:$C,0)</f>
        <v>15</v>
      </c>
      <c r="D84" s="4" t="str">
        <f>VLOOKUP($E84,[1]Message!$C:$I,3,FALSE)</f>
        <v>0x0804EE41</v>
      </c>
      <c r="E84" s="4" t="str">
        <f>VLOOKUP($B84,[1]Message!$B:$C,2,FALSE)</f>
        <v>U2P_SUMDATA4</v>
      </c>
      <c r="F84" s="4">
        <f>VLOOKUP($E84,[1]Message!$C:$I,4,FALSE)</f>
        <v>8</v>
      </c>
      <c r="G84" s="4" t="str">
        <f>VLOOKUP($E84,[1]Message!$C:$I,5,FALSE)</f>
        <v>BMU</v>
      </c>
      <c r="H84" s="4" t="str">
        <f>VLOOKUP($E84,[1]Message!$C:$I,6,FALSE)</f>
        <v>Event</v>
      </c>
      <c r="I84" s="4">
        <f>VLOOKUP($E84,[1]Message!$C:$I,7,FALSE)</f>
        <v>0</v>
      </c>
      <c r="J84" s="4"/>
      <c r="K84" s="4" t="s">
        <v>384</v>
      </c>
      <c r="L84" s="4">
        <v>48</v>
      </c>
      <c r="M84" s="4">
        <v>8</v>
      </c>
      <c r="N84" s="4">
        <v>1</v>
      </c>
      <c r="O84" s="4">
        <v>0</v>
      </c>
      <c r="P84" s="4">
        <v>0</v>
      </c>
      <c r="Q84" s="4"/>
      <c r="R84" s="4">
        <f t="shared" si="2"/>
        <v>0</v>
      </c>
      <c r="S84" s="4">
        <f t="shared" si="3"/>
        <v>255</v>
      </c>
      <c r="T84" s="4" t="s">
        <v>352</v>
      </c>
      <c r="U84" s="4" t="s">
        <v>385</v>
      </c>
      <c r="V84" s="4" t="s">
        <v>386</v>
      </c>
      <c r="W84" s="3" t="s">
        <v>905</v>
      </c>
      <c r="X84" s="3"/>
      <c r="Y84" s="3"/>
    </row>
    <row r="85" spans="1:25" s="31" customFormat="1">
      <c r="A85" s="3">
        <v>84</v>
      </c>
      <c r="B85" s="4" t="s">
        <v>373</v>
      </c>
      <c r="C85" s="4">
        <f>MATCH($E85,[1]Message!$C:$C,0)</f>
        <v>15</v>
      </c>
      <c r="D85" s="4" t="str">
        <f>VLOOKUP($E85,[1]Message!$C:$I,3,FALSE)</f>
        <v>0x0804EE41</v>
      </c>
      <c r="E85" s="4" t="str">
        <f>VLOOKUP($B85,[1]Message!$B:$C,2,FALSE)</f>
        <v>U2P_SUMDATA4</v>
      </c>
      <c r="F85" s="4">
        <f>VLOOKUP($E85,[1]Message!$C:$I,4,FALSE)</f>
        <v>8</v>
      </c>
      <c r="G85" s="4" t="str">
        <f>VLOOKUP($E85,[1]Message!$C:$I,5,FALSE)</f>
        <v>BMU</v>
      </c>
      <c r="H85" s="4" t="str">
        <f>VLOOKUP($E85,[1]Message!$C:$I,6,FALSE)</f>
        <v>Event</v>
      </c>
      <c r="I85" s="4">
        <f>VLOOKUP($E85,[1]Message!$C:$I,7,FALSE)</f>
        <v>0</v>
      </c>
      <c r="J85" s="4"/>
      <c r="K85" s="4" t="s">
        <v>387</v>
      </c>
      <c r="L85" s="4">
        <v>56</v>
      </c>
      <c r="M85" s="4">
        <v>8</v>
      </c>
      <c r="N85" s="4">
        <v>1</v>
      </c>
      <c r="O85" s="4">
        <v>0</v>
      </c>
      <c r="P85" s="4">
        <v>0</v>
      </c>
      <c r="Q85" s="4"/>
      <c r="R85" s="4">
        <f t="shared" si="2"/>
        <v>0</v>
      </c>
      <c r="S85" s="4">
        <f t="shared" si="3"/>
        <v>255</v>
      </c>
      <c r="T85" s="4" t="s">
        <v>298</v>
      </c>
      <c r="U85" s="4" t="s">
        <v>388</v>
      </c>
      <c r="V85" s="4" t="s">
        <v>383</v>
      </c>
      <c r="W85" s="3" t="s">
        <v>905</v>
      </c>
      <c r="X85" s="3"/>
      <c r="Y85" s="3"/>
    </row>
    <row r="86" spans="1:25" s="31" customFormat="1">
      <c r="A86" s="3">
        <v>85</v>
      </c>
      <c r="B86" s="4" t="s">
        <v>389</v>
      </c>
      <c r="C86" s="4">
        <f>MATCH($E86,[1]Message!$C:$C,0)</f>
        <v>16</v>
      </c>
      <c r="D86" s="4" t="str">
        <f>VLOOKUP($E86,[1]Message!$C:$I,3,FALSE)</f>
        <v>0x0805EE41</v>
      </c>
      <c r="E86" s="4" t="str">
        <f>VLOOKUP($B86,[1]Message!$B:$C,2,FALSE)</f>
        <v>U2P_SUMDATA5</v>
      </c>
      <c r="F86" s="4">
        <f>VLOOKUP($E86,[1]Message!$C:$I,4,FALSE)</f>
        <v>8</v>
      </c>
      <c r="G86" s="4" t="str">
        <f>VLOOKUP($E86,[1]Message!$C:$I,5,FALSE)</f>
        <v>BMU</v>
      </c>
      <c r="H86" s="4" t="str">
        <f>VLOOKUP($E86,[1]Message!$C:$I,6,FALSE)</f>
        <v>Event</v>
      </c>
      <c r="I86" s="4">
        <f>VLOOKUP($E86,[1]Message!$C:$I,7,FALSE)</f>
        <v>0</v>
      </c>
      <c r="J86" s="4"/>
      <c r="K86" s="4" t="s">
        <v>390</v>
      </c>
      <c r="L86" s="4">
        <v>0</v>
      </c>
      <c r="M86" s="4">
        <v>8</v>
      </c>
      <c r="N86" s="4">
        <v>1</v>
      </c>
      <c r="O86" s="4">
        <v>-50</v>
      </c>
      <c r="P86" s="4">
        <v>0</v>
      </c>
      <c r="Q86" s="4" t="s">
        <v>391</v>
      </c>
      <c r="R86" s="4">
        <f t="shared" si="2"/>
        <v>-50</v>
      </c>
      <c r="S86" s="4">
        <f t="shared" si="3"/>
        <v>205</v>
      </c>
      <c r="T86" s="4" t="s">
        <v>298</v>
      </c>
      <c r="U86" s="4" t="s">
        <v>392</v>
      </c>
      <c r="V86" s="4" t="s">
        <v>393</v>
      </c>
      <c r="W86" s="3" t="s">
        <v>905</v>
      </c>
      <c r="X86" s="3"/>
      <c r="Y86" s="3"/>
    </row>
    <row r="87" spans="1:25" s="31" customFormat="1">
      <c r="A87" s="3">
        <v>86</v>
      </c>
      <c r="B87" s="4" t="s">
        <v>389</v>
      </c>
      <c r="C87" s="4">
        <f>MATCH($E87,[1]Message!$C:$C,0)</f>
        <v>16</v>
      </c>
      <c r="D87" s="4" t="str">
        <f>VLOOKUP($E87,[1]Message!$C:$I,3,FALSE)</f>
        <v>0x0805EE41</v>
      </c>
      <c r="E87" s="4" t="str">
        <f>VLOOKUP($B87,[1]Message!$B:$C,2,FALSE)</f>
        <v>U2P_SUMDATA5</v>
      </c>
      <c r="F87" s="4">
        <f>VLOOKUP($E87,[1]Message!$C:$I,4,FALSE)</f>
        <v>8</v>
      </c>
      <c r="G87" s="4" t="str">
        <f>VLOOKUP($E87,[1]Message!$C:$I,5,FALSE)</f>
        <v>BMU</v>
      </c>
      <c r="H87" s="4" t="str">
        <f>VLOOKUP($E87,[1]Message!$C:$I,6,FALSE)</f>
        <v>Event</v>
      </c>
      <c r="I87" s="4">
        <f>VLOOKUP($E87,[1]Message!$C:$I,7,FALSE)</f>
        <v>0</v>
      </c>
      <c r="J87" s="4"/>
      <c r="K87" s="4" t="s">
        <v>394</v>
      </c>
      <c r="L87" s="4">
        <v>8</v>
      </c>
      <c r="M87" s="4">
        <v>8</v>
      </c>
      <c r="N87" s="4">
        <v>1</v>
      </c>
      <c r="O87" s="4">
        <v>-50</v>
      </c>
      <c r="P87" s="4">
        <v>0</v>
      </c>
      <c r="Q87" s="4" t="s">
        <v>391</v>
      </c>
      <c r="R87" s="4">
        <f t="shared" si="2"/>
        <v>-50</v>
      </c>
      <c r="S87" s="4">
        <f t="shared" si="3"/>
        <v>205</v>
      </c>
      <c r="T87" s="4" t="s">
        <v>298</v>
      </c>
      <c r="U87" s="4" t="s">
        <v>395</v>
      </c>
      <c r="V87" s="4" t="s">
        <v>393</v>
      </c>
      <c r="W87" s="3" t="s">
        <v>905</v>
      </c>
      <c r="X87" s="3"/>
      <c r="Y87" s="3"/>
    </row>
    <row r="88" spans="1:25" s="31" customFormat="1">
      <c r="A88" s="3">
        <v>87</v>
      </c>
      <c r="B88" s="4" t="s">
        <v>389</v>
      </c>
      <c r="C88" s="4">
        <f>MATCH($E88,[1]Message!$C:$C,0)</f>
        <v>16</v>
      </c>
      <c r="D88" s="4" t="str">
        <f>VLOOKUP($E88,[1]Message!$C:$I,3,FALSE)</f>
        <v>0x0805EE41</v>
      </c>
      <c r="E88" s="4" t="str">
        <f>VLOOKUP($B88,[1]Message!$B:$C,2,FALSE)</f>
        <v>U2P_SUMDATA5</v>
      </c>
      <c r="F88" s="4">
        <f>VLOOKUP($E88,[1]Message!$C:$I,4,FALSE)</f>
        <v>8</v>
      </c>
      <c r="G88" s="4" t="str">
        <f>VLOOKUP($E88,[1]Message!$C:$I,5,FALSE)</f>
        <v>BMU</v>
      </c>
      <c r="H88" s="4" t="str">
        <f>VLOOKUP($E88,[1]Message!$C:$I,6,FALSE)</f>
        <v>Event</v>
      </c>
      <c r="I88" s="4">
        <f>VLOOKUP($E88,[1]Message!$C:$I,7,FALSE)</f>
        <v>0</v>
      </c>
      <c r="J88" s="4"/>
      <c r="K88" s="4" t="s">
        <v>396</v>
      </c>
      <c r="L88" s="4">
        <v>16</v>
      </c>
      <c r="M88" s="4">
        <v>8</v>
      </c>
      <c r="N88" s="4">
        <v>1</v>
      </c>
      <c r="O88" s="4">
        <v>-50</v>
      </c>
      <c r="P88" s="4">
        <v>0</v>
      </c>
      <c r="Q88" s="4" t="s">
        <v>391</v>
      </c>
      <c r="R88" s="4">
        <f t="shared" si="2"/>
        <v>-50</v>
      </c>
      <c r="S88" s="4">
        <f t="shared" si="3"/>
        <v>205</v>
      </c>
      <c r="T88" s="4" t="s">
        <v>298</v>
      </c>
      <c r="U88" s="4" t="s">
        <v>397</v>
      </c>
      <c r="V88" s="4" t="s">
        <v>393</v>
      </c>
      <c r="W88" s="3" t="s">
        <v>905</v>
      </c>
      <c r="X88" s="3"/>
      <c r="Y88" s="3"/>
    </row>
    <row r="89" spans="1:25" s="31" customFormat="1">
      <c r="A89" s="3">
        <v>88</v>
      </c>
      <c r="B89" s="4" t="s">
        <v>389</v>
      </c>
      <c r="C89" s="4">
        <f>MATCH($E89,[1]Message!$C:$C,0)</f>
        <v>16</v>
      </c>
      <c r="D89" s="4" t="str">
        <f>VLOOKUP($E89,[1]Message!$C:$I,3,FALSE)</f>
        <v>0x0805EE41</v>
      </c>
      <c r="E89" s="4" t="str">
        <f>VLOOKUP($B89,[1]Message!$B:$C,2,FALSE)</f>
        <v>U2P_SUMDATA5</v>
      </c>
      <c r="F89" s="4">
        <f>VLOOKUP($E89,[1]Message!$C:$I,4,FALSE)</f>
        <v>8</v>
      </c>
      <c r="G89" s="4" t="str">
        <f>VLOOKUP($E89,[1]Message!$C:$I,5,FALSE)</f>
        <v>BMU</v>
      </c>
      <c r="H89" s="4" t="str">
        <f>VLOOKUP($E89,[1]Message!$C:$I,6,FALSE)</f>
        <v>Event</v>
      </c>
      <c r="I89" s="4">
        <f>VLOOKUP($E89,[1]Message!$C:$I,7,FALSE)</f>
        <v>0</v>
      </c>
      <c r="J89" s="4"/>
      <c r="K89" s="4" t="s">
        <v>398</v>
      </c>
      <c r="L89" s="4">
        <v>24</v>
      </c>
      <c r="M89" s="4">
        <v>8</v>
      </c>
      <c r="N89" s="4">
        <v>1</v>
      </c>
      <c r="O89" s="4">
        <v>0</v>
      </c>
      <c r="P89" s="4">
        <v>0</v>
      </c>
      <c r="Q89" s="4"/>
      <c r="R89" s="4">
        <f t="shared" si="2"/>
        <v>0</v>
      </c>
      <c r="S89" s="4">
        <f t="shared" si="3"/>
        <v>255</v>
      </c>
      <c r="T89" s="4" t="s">
        <v>298</v>
      </c>
      <c r="U89" s="4" t="s">
        <v>399</v>
      </c>
      <c r="V89" s="4" t="s">
        <v>380</v>
      </c>
      <c r="W89" s="3" t="s">
        <v>905</v>
      </c>
      <c r="X89" s="3"/>
      <c r="Y89" s="3"/>
    </row>
    <row r="90" spans="1:25" s="31" customFormat="1">
      <c r="A90" s="3">
        <v>89</v>
      </c>
      <c r="B90" s="4" t="s">
        <v>389</v>
      </c>
      <c r="C90" s="4">
        <f>MATCH($E90,[1]Message!$C:$C,0)</f>
        <v>16</v>
      </c>
      <c r="D90" s="4" t="str">
        <f>VLOOKUP($E90,[1]Message!$C:$I,3,FALSE)</f>
        <v>0x0805EE41</v>
      </c>
      <c r="E90" s="4" t="str">
        <f>VLOOKUP($B90,[1]Message!$B:$C,2,FALSE)</f>
        <v>U2P_SUMDATA5</v>
      </c>
      <c r="F90" s="4">
        <f>VLOOKUP($E90,[1]Message!$C:$I,4,FALSE)</f>
        <v>8</v>
      </c>
      <c r="G90" s="4" t="str">
        <f>VLOOKUP($E90,[1]Message!$C:$I,5,FALSE)</f>
        <v>BMU</v>
      </c>
      <c r="H90" s="4" t="str">
        <f>VLOOKUP($E90,[1]Message!$C:$I,6,FALSE)</f>
        <v>Event</v>
      </c>
      <c r="I90" s="4">
        <f>VLOOKUP($E90,[1]Message!$C:$I,7,FALSE)</f>
        <v>0</v>
      </c>
      <c r="J90" s="4"/>
      <c r="K90" s="4" t="s">
        <v>400</v>
      </c>
      <c r="L90" s="4">
        <v>32</v>
      </c>
      <c r="M90" s="4">
        <v>8</v>
      </c>
      <c r="N90" s="4">
        <v>1</v>
      </c>
      <c r="O90" s="4">
        <v>0</v>
      </c>
      <c r="P90" s="4">
        <v>0</v>
      </c>
      <c r="Q90" s="4"/>
      <c r="R90" s="4">
        <f t="shared" si="2"/>
        <v>0</v>
      </c>
      <c r="S90" s="4">
        <f t="shared" si="3"/>
        <v>255</v>
      </c>
      <c r="T90" s="4" t="s">
        <v>298</v>
      </c>
      <c r="U90" s="4" t="s">
        <v>401</v>
      </c>
      <c r="V90" s="4" t="s">
        <v>380</v>
      </c>
      <c r="W90" s="3" t="s">
        <v>905</v>
      </c>
      <c r="X90" s="3"/>
      <c r="Y90" s="3"/>
    </row>
    <row r="91" spans="1:25" s="31" customFormat="1">
      <c r="A91" s="3">
        <v>90</v>
      </c>
      <c r="B91" s="4" t="s">
        <v>389</v>
      </c>
      <c r="C91" s="4">
        <f>MATCH($E91,[1]Message!$C:$C,0)</f>
        <v>16</v>
      </c>
      <c r="D91" s="4" t="str">
        <f>VLOOKUP($E91,[1]Message!$C:$I,3,FALSE)</f>
        <v>0x0805EE41</v>
      </c>
      <c r="E91" s="4" t="str">
        <f>VLOOKUP($B91,[1]Message!$B:$C,2,FALSE)</f>
        <v>U2P_SUMDATA5</v>
      </c>
      <c r="F91" s="4">
        <f>VLOOKUP($E91,[1]Message!$C:$I,4,FALSE)</f>
        <v>8</v>
      </c>
      <c r="G91" s="4" t="str">
        <f>VLOOKUP($E91,[1]Message!$C:$I,5,FALSE)</f>
        <v>BMU</v>
      </c>
      <c r="H91" s="4" t="str">
        <f>VLOOKUP($E91,[1]Message!$C:$I,6,FALSE)</f>
        <v>Event</v>
      </c>
      <c r="I91" s="4">
        <f>VLOOKUP($E91,[1]Message!$C:$I,7,FALSE)</f>
        <v>0</v>
      </c>
      <c r="J91" s="4"/>
      <c r="K91" s="4" t="s">
        <v>402</v>
      </c>
      <c r="L91" s="4">
        <v>40</v>
      </c>
      <c r="M91" s="4">
        <v>8</v>
      </c>
      <c r="N91" s="4">
        <v>1</v>
      </c>
      <c r="O91" s="4">
        <v>0</v>
      </c>
      <c r="P91" s="4">
        <v>0</v>
      </c>
      <c r="Q91" s="4" t="s">
        <v>336</v>
      </c>
      <c r="R91" s="4">
        <f t="shared" si="2"/>
        <v>0</v>
      </c>
      <c r="S91" s="4">
        <f t="shared" si="3"/>
        <v>255</v>
      </c>
      <c r="T91" s="4" t="s">
        <v>298</v>
      </c>
      <c r="U91" s="4" t="s">
        <v>913</v>
      </c>
      <c r="V91" s="4" t="s">
        <v>393</v>
      </c>
      <c r="W91" s="3" t="s">
        <v>905</v>
      </c>
      <c r="X91" s="3"/>
      <c r="Y91" s="3"/>
    </row>
    <row r="92" spans="1:25" s="31" customFormat="1">
      <c r="A92" s="3">
        <v>91</v>
      </c>
      <c r="B92" s="4" t="s">
        <v>389</v>
      </c>
      <c r="C92" s="4">
        <f>MATCH($E92,[1]Message!$C:$C,0)</f>
        <v>16</v>
      </c>
      <c r="D92" s="4" t="str">
        <f>VLOOKUP($E92,[1]Message!$C:$I,3,FALSE)</f>
        <v>0x0805EE41</v>
      </c>
      <c r="E92" s="4" t="str">
        <f>VLOOKUP($B92,[1]Message!$B:$C,2,FALSE)</f>
        <v>U2P_SUMDATA5</v>
      </c>
      <c r="F92" s="4">
        <f>VLOOKUP($E92,[1]Message!$C:$I,4,FALSE)</f>
        <v>8</v>
      </c>
      <c r="G92" s="4" t="str">
        <f>VLOOKUP($E92,[1]Message!$C:$I,5,FALSE)</f>
        <v>BMU</v>
      </c>
      <c r="H92" s="4" t="str">
        <f>VLOOKUP($E92,[1]Message!$C:$I,6,FALSE)</f>
        <v>Event</v>
      </c>
      <c r="I92" s="4">
        <f>VLOOKUP($E92,[1]Message!$C:$I,7,FALSE)</f>
        <v>0</v>
      </c>
      <c r="J92" s="4"/>
      <c r="K92" s="4" t="s">
        <v>403</v>
      </c>
      <c r="L92" s="4">
        <v>48</v>
      </c>
      <c r="M92" s="4">
        <v>16</v>
      </c>
      <c r="N92" s="4">
        <v>1</v>
      </c>
      <c r="O92" s="4">
        <v>0</v>
      </c>
      <c r="P92" s="4">
        <v>0</v>
      </c>
      <c r="Q92" s="4" t="s">
        <v>377</v>
      </c>
      <c r="R92" s="4">
        <f t="shared" si="2"/>
        <v>0</v>
      </c>
      <c r="S92" s="4">
        <f t="shared" si="3"/>
        <v>65535</v>
      </c>
      <c r="T92" s="4" t="s">
        <v>298</v>
      </c>
      <c r="U92" s="4" t="s">
        <v>914</v>
      </c>
      <c r="V92" s="4" t="s">
        <v>330</v>
      </c>
      <c r="W92" s="3" t="s">
        <v>905</v>
      </c>
      <c r="X92" s="3"/>
      <c r="Y92" s="3"/>
    </row>
    <row r="93" spans="1:25" s="31" customFormat="1">
      <c r="A93" s="3">
        <v>92</v>
      </c>
      <c r="B93" s="4" t="s">
        <v>404</v>
      </c>
      <c r="C93" s="4">
        <f>MATCH($E93,[1]Message!$C:$C,0)</f>
        <v>17</v>
      </c>
      <c r="D93" s="4" t="str">
        <f>VLOOKUP($E93,[1]Message!$C:$I,3,FALSE)</f>
        <v>0x0806EE41</v>
      </c>
      <c r="E93" s="4" t="str">
        <f>VLOOKUP($B93,[1]Message!$B:$C,2,FALSE)</f>
        <v>U2P_SUMDATA6</v>
      </c>
      <c r="F93" s="4">
        <f>VLOOKUP($E93,[1]Message!$C:$I,4,FALSE)</f>
        <v>8</v>
      </c>
      <c r="G93" s="4" t="str">
        <f>VLOOKUP($E93,[1]Message!$C:$I,5,FALSE)</f>
        <v>BMU</v>
      </c>
      <c r="H93" s="4" t="str">
        <f>VLOOKUP($E93,[1]Message!$C:$I,6,FALSE)</f>
        <v>Event</v>
      </c>
      <c r="I93" s="4">
        <f>VLOOKUP($E93,[1]Message!$C:$I,7,FALSE)</f>
        <v>0</v>
      </c>
      <c r="J93" s="4"/>
      <c r="K93" s="4" t="s">
        <v>405</v>
      </c>
      <c r="L93" s="4">
        <v>0</v>
      </c>
      <c r="M93" s="4">
        <v>8</v>
      </c>
      <c r="N93" s="4">
        <v>0.2</v>
      </c>
      <c r="O93" s="4">
        <v>0</v>
      </c>
      <c r="P93" s="4">
        <v>0</v>
      </c>
      <c r="Q93" s="4" t="s">
        <v>329</v>
      </c>
      <c r="R93" s="4">
        <f t="shared" si="2"/>
        <v>0</v>
      </c>
      <c r="S93" s="4">
        <f t="shared" si="3"/>
        <v>51</v>
      </c>
      <c r="T93" s="4" t="s">
        <v>298</v>
      </c>
      <c r="U93" s="4" t="s">
        <v>915</v>
      </c>
      <c r="V93" s="4"/>
      <c r="W93" s="3" t="s">
        <v>905</v>
      </c>
      <c r="X93" s="3"/>
      <c r="Y93" s="3"/>
    </row>
    <row r="94" spans="1:25" s="31" customFormat="1">
      <c r="A94" s="3">
        <v>93</v>
      </c>
      <c r="B94" s="4" t="s">
        <v>404</v>
      </c>
      <c r="C94" s="4">
        <f>MATCH($E94,[1]Message!$C:$C,0)</f>
        <v>17</v>
      </c>
      <c r="D94" s="4" t="str">
        <f>VLOOKUP($E94,[1]Message!$C:$I,3,FALSE)</f>
        <v>0x0806EE41</v>
      </c>
      <c r="E94" s="4" t="str">
        <f>VLOOKUP($B94,[1]Message!$B:$C,2,FALSE)</f>
        <v>U2P_SUMDATA6</v>
      </c>
      <c r="F94" s="4">
        <f>VLOOKUP($E94,[1]Message!$C:$I,4,FALSE)</f>
        <v>8</v>
      </c>
      <c r="G94" s="4" t="str">
        <f>VLOOKUP($E94,[1]Message!$C:$I,5,FALSE)</f>
        <v>BMU</v>
      </c>
      <c r="H94" s="4" t="str">
        <f>VLOOKUP($E94,[1]Message!$C:$I,6,FALSE)</f>
        <v>Event</v>
      </c>
      <c r="I94" s="4">
        <f>VLOOKUP($E94,[1]Message!$C:$I,7,FALSE)</f>
        <v>0</v>
      </c>
      <c r="J94" s="4"/>
      <c r="K94" s="4" t="s">
        <v>406</v>
      </c>
      <c r="L94" s="4">
        <v>8</v>
      </c>
      <c r="M94" s="4">
        <v>8</v>
      </c>
      <c r="N94" s="4">
        <v>0.2</v>
      </c>
      <c r="O94" s="4">
        <v>0</v>
      </c>
      <c r="P94" s="4">
        <v>0</v>
      </c>
      <c r="Q94" s="4" t="s">
        <v>329</v>
      </c>
      <c r="R94" s="4">
        <f t="shared" si="2"/>
        <v>0</v>
      </c>
      <c r="S94" s="4">
        <f t="shared" si="3"/>
        <v>51</v>
      </c>
      <c r="T94" s="4" t="s">
        <v>298</v>
      </c>
      <c r="U94" s="4" t="s">
        <v>916</v>
      </c>
      <c r="V94" s="4"/>
      <c r="W94" s="3" t="s">
        <v>905</v>
      </c>
      <c r="X94" s="3"/>
      <c r="Y94" s="3"/>
    </row>
    <row r="95" spans="1:25" s="32" customFormat="1">
      <c r="A95" s="3">
        <v>94</v>
      </c>
      <c r="B95" s="4" t="s">
        <v>404</v>
      </c>
      <c r="C95" s="4">
        <f>MATCH($E95,[1]Message!$C:$C,0)</f>
        <v>17</v>
      </c>
      <c r="D95" s="4" t="str">
        <f>VLOOKUP($E95,[1]Message!$C:$I,3,FALSE)</f>
        <v>0x0806EE41</v>
      </c>
      <c r="E95" s="4" t="str">
        <f>VLOOKUP($B95,[1]Message!$B:$C,2,FALSE)</f>
        <v>U2P_SUMDATA6</v>
      </c>
      <c r="F95" s="4">
        <f>VLOOKUP($E95,[1]Message!$C:$I,4,FALSE)</f>
        <v>8</v>
      </c>
      <c r="G95" s="4" t="str">
        <f>VLOOKUP($E95,[1]Message!$C:$I,5,FALSE)</f>
        <v>BMU</v>
      </c>
      <c r="H95" s="4" t="str">
        <f>VLOOKUP($E95,[1]Message!$C:$I,6,FALSE)</f>
        <v>Event</v>
      </c>
      <c r="I95" s="4">
        <f>VLOOKUP($E95,[1]Message!$C:$I,7,FALSE)</f>
        <v>0</v>
      </c>
      <c r="J95" s="4"/>
      <c r="K95" s="4" t="s">
        <v>407</v>
      </c>
      <c r="L95" s="4">
        <v>16</v>
      </c>
      <c r="M95" s="4">
        <v>8</v>
      </c>
      <c r="N95" s="4">
        <v>0.2</v>
      </c>
      <c r="O95" s="4">
        <v>0</v>
      </c>
      <c r="P95" s="4"/>
      <c r="Q95" s="4" t="s">
        <v>329</v>
      </c>
      <c r="R95" s="4">
        <f t="shared" si="2"/>
        <v>0</v>
      </c>
      <c r="S95" s="4">
        <f t="shared" si="3"/>
        <v>51</v>
      </c>
      <c r="T95" s="4" t="s">
        <v>298</v>
      </c>
      <c r="U95" s="4" t="s">
        <v>917</v>
      </c>
      <c r="V95" s="4"/>
      <c r="W95" s="3" t="s">
        <v>905</v>
      </c>
      <c r="X95" s="3"/>
      <c r="Y95" s="3"/>
    </row>
    <row r="96" spans="1:25" s="31" customFormat="1">
      <c r="A96" s="3">
        <v>95</v>
      </c>
      <c r="B96" s="4" t="s">
        <v>404</v>
      </c>
      <c r="C96" s="4">
        <f>MATCH($E96,[1]Message!$C:$C,0)</f>
        <v>17</v>
      </c>
      <c r="D96" s="4" t="str">
        <f>VLOOKUP($E96,[1]Message!$C:$I,3,FALSE)</f>
        <v>0x0806EE41</v>
      </c>
      <c r="E96" s="4" t="str">
        <f>VLOOKUP($B96,[1]Message!$B:$C,2,FALSE)</f>
        <v>U2P_SUMDATA6</v>
      </c>
      <c r="F96" s="4">
        <f>VLOOKUP($E96,[1]Message!$C:$I,4,FALSE)</f>
        <v>8</v>
      </c>
      <c r="G96" s="4" t="str">
        <f>VLOOKUP($E96,[1]Message!$C:$I,5,FALSE)</f>
        <v>BMU</v>
      </c>
      <c r="H96" s="4" t="str">
        <f>VLOOKUP($E96,[1]Message!$C:$I,6,FALSE)</f>
        <v>Event</v>
      </c>
      <c r="I96" s="4">
        <f>VLOOKUP($E96,[1]Message!$C:$I,7,FALSE)</f>
        <v>0</v>
      </c>
      <c r="J96" s="4"/>
      <c r="K96" s="4" t="s">
        <v>408</v>
      </c>
      <c r="L96" s="4">
        <v>24</v>
      </c>
      <c r="M96" s="4">
        <v>8</v>
      </c>
      <c r="N96" s="4">
        <v>0.2</v>
      </c>
      <c r="O96" s="4">
        <v>0</v>
      </c>
      <c r="P96" s="4">
        <v>0</v>
      </c>
      <c r="Q96" s="4" t="s">
        <v>329</v>
      </c>
      <c r="R96" s="4">
        <f t="shared" si="2"/>
        <v>0</v>
      </c>
      <c r="S96" s="4">
        <f t="shared" si="3"/>
        <v>51</v>
      </c>
      <c r="T96" s="4" t="s">
        <v>298</v>
      </c>
      <c r="U96" s="4" t="s">
        <v>918</v>
      </c>
      <c r="V96" s="4"/>
      <c r="W96" s="3" t="s">
        <v>905</v>
      </c>
      <c r="X96" s="3"/>
      <c r="Y96" s="3"/>
    </row>
    <row r="97" spans="1:25" s="31" customFormat="1">
      <c r="A97" s="3">
        <v>96</v>
      </c>
      <c r="B97" s="4" t="s">
        <v>404</v>
      </c>
      <c r="C97" s="4">
        <f>MATCH($E97,[1]Message!$C:$C,0)</f>
        <v>17</v>
      </c>
      <c r="D97" s="4" t="str">
        <f>VLOOKUP($E97,[1]Message!$C:$I,3,FALSE)</f>
        <v>0x0806EE41</v>
      </c>
      <c r="E97" s="4" t="str">
        <f>VLOOKUP($B97,[1]Message!$B:$C,2,FALSE)</f>
        <v>U2P_SUMDATA6</v>
      </c>
      <c r="F97" s="4">
        <f>VLOOKUP($E97,[1]Message!$C:$I,4,FALSE)</f>
        <v>8</v>
      </c>
      <c r="G97" s="4" t="str">
        <f>VLOOKUP($E97,[1]Message!$C:$I,5,FALSE)</f>
        <v>BMU</v>
      </c>
      <c r="H97" s="4" t="str">
        <f>VLOOKUP($E97,[1]Message!$C:$I,6,FALSE)</f>
        <v>Event</v>
      </c>
      <c r="I97" s="4">
        <f>VLOOKUP($E97,[1]Message!$C:$I,7,FALSE)</f>
        <v>0</v>
      </c>
      <c r="J97" s="4"/>
      <c r="K97" s="4" t="s">
        <v>409</v>
      </c>
      <c r="L97" s="4">
        <v>32</v>
      </c>
      <c r="M97" s="4">
        <v>8</v>
      </c>
      <c r="N97" s="4">
        <v>0.2</v>
      </c>
      <c r="O97" s="4">
        <v>0</v>
      </c>
      <c r="P97" s="4">
        <v>0</v>
      </c>
      <c r="Q97" s="4" t="s">
        <v>329</v>
      </c>
      <c r="R97" s="4">
        <f t="shared" si="2"/>
        <v>0</v>
      </c>
      <c r="S97" s="4">
        <v>50</v>
      </c>
      <c r="T97" s="4" t="s">
        <v>298</v>
      </c>
      <c r="U97" s="4" t="s">
        <v>919</v>
      </c>
      <c r="V97" s="4" t="s">
        <v>410</v>
      </c>
      <c r="W97" s="3" t="s">
        <v>905</v>
      </c>
      <c r="X97" s="3"/>
      <c r="Y97" s="3"/>
    </row>
    <row r="98" spans="1:25">
      <c r="A98" s="3">
        <v>97</v>
      </c>
      <c r="B98" s="4" t="s">
        <v>404</v>
      </c>
      <c r="C98" s="4">
        <f>MATCH($E98,[1]Message!$C:$C,0)</f>
        <v>17</v>
      </c>
      <c r="D98" s="4" t="str">
        <f>VLOOKUP($E98,[1]Message!$C:$I,3,FALSE)</f>
        <v>0x0806EE41</v>
      </c>
      <c r="E98" s="4" t="str">
        <f>VLOOKUP($B98,[1]Message!$B:$C,2,FALSE)</f>
        <v>U2P_SUMDATA6</v>
      </c>
      <c r="F98" s="4">
        <f>VLOOKUP($E98,[1]Message!$C:$I,4,FALSE)</f>
        <v>8</v>
      </c>
      <c r="G98" s="4" t="str">
        <f>VLOOKUP($E98,[1]Message!$C:$I,5,FALSE)</f>
        <v>BMU</v>
      </c>
      <c r="H98" s="4" t="str">
        <f>VLOOKUP($E98,[1]Message!$C:$I,6,FALSE)</f>
        <v>Event</v>
      </c>
      <c r="I98" s="4">
        <f>VLOOKUP($E98,[1]Message!$C:$I,7,FALSE)</f>
        <v>0</v>
      </c>
      <c r="J98" s="4"/>
      <c r="K98" s="4" t="s">
        <v>411</v>
      </c>
      <c r="L98" s="4">
        <v>40</v>
      </c>
      <c r="M98" s="4">
        <v>10</v>
      </c>
      <c r="N98" s="4">
        <v>1</v>
      </c>
      <c r="O98" s="4">
        <v>0</v>
      </c>
      <c r="P98" s="4">
        <v>0</v>
      </c>
      <c r="Q98" s="4" t="s">
        <v>412</v>
      </c>
      <c r="R98" s="4">
        <f t="shared" si="2"/>
        <v>0</v>
      </c>
      <c r="S98" s="4">
        <f t="shared" ref="S98:S106" si="4">(2^(M98)-1)*N98+O98</f>
        <v>1023</v>
      </c>
      <c r="T98" s="4" t="s">
        <v>298</v>
      </c>
      <c r="U98" s="4" t="s">
        <v>971</v>
      </c>
      <c r="V98" s="4"/>
      <c r="W98" s="3" t="s">
        <v>849</v>
      </c>
      <c r="X98" s="3"/>
      <c r="Y98" s="3"/>
    </row>
    <row r="99" spans="1:25">
      <c r="A99" s="3">
        <v>98</v>
      </c>
      <c r="B99" s="4" t="s">
        <v>404</v>
      </c>
      <c r="C99" s="4">
        <f>MATCH($E99,[1]Message!$C:$C,0)</f>
        <v>17</v>
      </c>
      <c r="D99" s="4" t="str">
        <f>VLOOKUP($E99,[1]Message!$C:$I,3,FALSE)</f>
        <v>0x0806EE41</v>
      </c>
      <c r="E99" s="4" t="str">
        <f>VLOOKUP($B99,[1]Message!$B:$C,2,FALSE)</f>
        <v>U2P_SUMDATA6</v>
      </c>
      <c r="F99" s="4">
        <f>VLOOKUP($E99,[1]Message!$C:$I,4,FALSE)</f>
        <v>8</v>
      </c>
      <c r="G99" s="4" t="str">
        <f>VLOOKUP($E99,[1]Message!$C:$I,5,FALSE)</f>
        <v>BMU</v>
      </c>
      <c r="H99" s="4" t="str">
        <f>VLOOKUP($E99,[1]Message!$C:$I,6,FALSE)</f>
        <v>Event</v>
      </c>
      <c r="I99" s="4">
        <f>VLOOKUP($E99,[1]Message!$C:$I,7,FALSE)</f>
        <v>0</v>
      </c>
      <c r="J99" s="4"/>
      <c r="K99" s="4" t="s">
        <v>413</v>
      </c>
      <c r="L99" s="4">
        <v>50</v>
      </c>
      <c r="M99" s="4">
        <v>9</v>
      </c>
      <c r="N99" s="4">
        <v>0.1</v>
      </c>
      <c r="O99" s="4">
        <v>0</v>
      </c>
      <c r="P99" s="4">
        <v>0</v>
      </c>
      <c r="Q99" s="4" t="s">
        <v>329</v>
      </c>
      <c r="R99" s="4">
        <f t="shared" si="2"/>
        <v>0</v>
      </c>
      <c r="S99" s="4">
        <v>50</v>
      </c>
      <c r="T99" s="4" t="s">
        <v>352</v>
      </c>
      <c r="U99" s="4" t="s">
        <v>414</v>
      </c>
      <c r="V99" s="4" t="s">
        <v>415</v>
      </c>
      <c r="W99" s="3" t="s">
        <v>849</v>
      </c>
      <c r="X99" s="3"/>
      <c r="Y99" s="3"/>
    </row>
    <row r="100" spans="1:25">
      <c r="A100" s="3">
        <v>99</v>
      </c>
      <c r="B100" s="4" t="s">
        <v>404</v>
      </c>
      <c r="C100" s="4">
        <f>MATCH($E100,[1]Message!$C:$C,0)</f>
        <v>17</v>
      </c>
      <c r="D100" s="4" t="str">
        <f>VLOOKUP($E100,[1]Message!$C:$I,3,FALSE)</f>
        <v>0x0806EE41</v>
      </c>
      <c r="E100" s="4" t="str">
        <f>VLOOKUP($B100,[1]Message!$B:$C,2,FALSE)</f>
        <v>U2P_SUMDATA6</v>
      </c>
      <c r="F100" s="4">
        <f>VLOOKUP($E100,[1]Message!$C:$I,4,FALSE)</f>
        <v>8</v>
      </c>
      <c r="G100" s="4" t="str">
        <f>VLOOKUP($E100,[1]Message!$C:$I,5,FALSE)</f>
        <v>BMU</v>
      </c>
      <c r="H100" s="4" t="str">
        <f>VLOOKUP($E100,[1]Message!$C:$I,6,FALSE)</f>
        <v>Event</v>
      </c>
      <c r="I100" s="4">
        <f>VLOOKUP($E100,[1]Message!$C:$I,7,FALSE)</f>
        <v>0</v>
      </c>
      <c r="J100" s="4"/>
      <c r="K100" s="4" t="s">
        <v>325</v>
      </c>
      <c r="L100" s="4">
        <v>59</v>
      </c>
      <c r="M100" s="4">
        <v>5</v>
      </c>
      <c r="N100" s="4">
        <v>1</v>
      </c>
      <c r="O100" s="4">
        <v>0</v>
      </c>
      <c r="P100" s="4">
        <v>0</v>
      </c>
      <c r="Q100" s="4"/>
      <c r="R100" s="4">
        <f t="shared" si="2"/>
        <v>0</v>
      </c>
      <c r="S100" s="4">
        <f t="shared" si="4"/>
        <v>31</v>
      </c>
      <c r="T100" s="4" t="s">
        <v>298</v>
      </c>
      <c r="U100" s="4" t="s">
        <v>361</v>
      </c>
      <c r="V100" s="4"/>
      <c r="W100" s="3" t="s">
        <v>849</v>
      </c>
      <c r="X100" s="3"/>
      <c r="Y100" s="3"/>
    </row>
    <row r="101" spans="1:25">
      <c r="A101" s="3">
        <v>100</v>
      </c>
      <c r="B101" s="4" t="s">
        <v>416</v>
      </c>
      <c r="C101" s="4">
        <f>MATCH($E101,[1]Message!$C:$C,0)</f>
        <v>18</v>
      </c>
      <c r="D101" s="4" t="str">
        <f>VLOOKUP($E101,[1]Message!$C:$I,3,FALSE)</f>
        <v>0x0807EE41</v>
      </c>
      <c r="E101" s="4" t="str">
        <f>VLOOKUP($B101,[1]Message!$B:$C,2,FALSE)</f>
        <v>U2P_SUMDATA7</v>
      </c>
      <c r="F101" s="4">
        <f>VLOOKUP($E101,[1]Message!$C:$I,4,FALSE)</f>
        <v>8</v>
      </c>
      <c r="G101" s="4" t="str">
        <f>VLOOKUP($E101,[1]Message!$C:$I,5,FALSE)</f>
        <v>BMU</v>
      </c>
      <c r="H101" s="4" t="str">
        <f>VLOOKUP($E101,[1]Message!$C:$I,6,FALSE)</f>
        <v>Event</v>
      </c>
      <c r="I101" s="4">
        <f>VLOOKUP($E101,[1]Message!$C:$I,7,FALSE)</f>
        <v>0</v>
      </c>
      <c r="J101" s="4"/>
      <c r="K101" s="4" t="s">
        <v>417</v>
      </c>
      <c r="L101" s="4">
        <v>0</v>
      </c>
      <c r="M101" s="4">
        <v>16</v>
      </c>
      <c r="N101" s="4">
        <v>1</v>
      </c>
      <c r="O101" s="4">
        <v>0</v>
      </c>
      <c r="P101" s="4">
        <v>0</v>
      </c>
      <c r="Q101" s="4" t="s">
        <v>418</v>
      </c>
      <c r="R101" s="4">
        <f t="shared" si="2"/>
        <v>0</v>
      </c>
      <c r="S101" s="4">
        <f t="shared" si="4"/>
        <v>65535</v>
      </c>
      <c r="T101" s="4" t="s">
        <v>298</v>
      </c>
      <c r="U101" s="4" t="s">
        <v>972</v>
      </c>
      <c r="V101" s="4" t="s">
        <v>330</v>
      </c>
      <c r="W101" s="3" t="s">
        <v>849</v>
      </c>
      <c r="X101" s="3"/>
      <c r="Y101" s="3"/>
    </row>
    <row r="102" spans="1:25" s="31" customFormat="1">
      <c r="A102" s="3">
        <v>101</v>
      </c>
      <c r="B102" s="4" t="s">
        <v>416</v>
      </c>
      <c r="C102" s="4">
        <f>MATCH($E102,[1]Message!$C:$C,0)</f>
        <v>18</v>
      </c>
      <c r="D102" s="4" t="str">
        <f>VLOOKUP($E102,[1]Message!$C:$I,3,FALSE)</f>
        <v>0x0807EE41</v>
      </c>
      <c r="E102" s="4" t="str">
        <f>VLOOKUP($B102,[1]Message!$B:$C,2,FALSE)</f>
        <v>U2P_SUMDATA7</v>
      </c>
      <c r="F102" s="4">
        <f>VLOOKUP($E102,[1]Message!$C:$I,4,FALSE)</f>
        <v>8</v>
      </c>
      <c r="G102" s="4" t="str">
        <f>VLOOKUP($E102,[1]Message!$C:$I,5,FALSE)</f>
        <v>BMU</v>
      </c>
      <c r="H102" s="4" t="str">
        <f>VLOOKUP($E102,[1]Message!$C:$I,6,FALSE)</f>
        <v>Event</v>
      </c>
      <c r="I102" s="4">
        <f>VLOOKUP($E102,[1]Message!$C:$I,7,FALSE)</f>
        <v>0</v>
      </c>
      <c r="J102" s="4"/>
      <c r="K102" s="4" t="s">
        <v>419</v>
      </c>
      <c r="L102" s="4">
        <v>16</v>
      </c>
      <c r="M102" s="4">
        <v>8</v>
      </c>
      <c r="N102" s="4">
        <v>1</v>
      </c>
      <c r="O102" s="4">
        <v>0</v>
      </c>
      <c r="P102" s="4">
        <v>0</v>
      </c>
      <c r="Q102" s="4" t="s">
        <v>336</v>
      </c>
      <c r="R102" s="4">
        <f t="shared" si="2"/>
        <v>0</v>
      </c>
      <c r="S102" s="4">
        <f t="shared" si="4"/>
        <v>255</v>
      </c>
      <c r="T102" s="4" t="s">
        <v>298</v>
      </c>
      <c r="U102" s="4" t="s">
        <v>853</v>
      </c>
      <c r="V102" s="4"/>
      <c r="W102" s="3" t="s">
        <v>905</v>
      </c>
      <c r="X102" s="3"/>
      <c r="Y102" s="3"/>
    </row>
    <row r="103" spans="1:25" s="31" customFormat="1">
      <c r="A103" s="3">
        <v>102</v>
      </c>
      <c r="B103" s="4" t="s">
        <v>416</v>
      </c>
      <c r="C103" s="4">
        <f>MATCH($E103,[1]Message!$C:$C,0)</f>
        <v>18</v>
      </c>
      <c r="D103" s="4" t="str">
        <f>VLOOKUP($E103,[1]Message!$C:$I,3,FALSE)</f>
        <v>0x0807EE41</v>
      </c>
      <c r="E103" s="4" t="str">
        <f>VLOOKUP($B103,[1]Message!$B:$C,2,FALSE)</f>
        <v>U2P_SUMDATA7</v>
      </c>
      <c r="F103" s="4">
        <f>VLOOKUP($E103,[1]Message!$C:$I,4,FALSE)</f>
        <v>8</v>
      </c>
      <c r="G103" s="4" t="str">
        <f>VLOOKUP($E103,[1]Message!$C:$I,5,FALSE)</f>
        <v>BMU</v>
      </c>
      <c r="H103" s="4" t="str">
        <f>VLOOKUP($E103,[1]Message!$C:$I,6,FALSE)</f>
        <v>Event</v>
      </c>
      <c r="I103" s="4">
        <f>VLOOKUP($E103,[1]Message!$C:$I,7,FALSE)</f>
        <v>0</v>
      </c>
      <c r="J103" s="4"/>
      <c r="K103" s="4" t="s">
        <v>420</v>
      </c>
      <c r="L103" s="4">
        <v>24</v>
      </c>
      <c r="M103" s="4">
        <v>8</v>
      </c>
      <c r="N103" s="4">
        <v>1</v>
      </c>
      <c r="O103" s="4">
        <v>0</v>
      </c>
      <c r="P103" s="4">
        <v>0</v>
      </c>
      <c r="Q103" s="4" t="s">
        <v>336</v>
      </c>
      <c r="R103" s="4">
        <f t="shared" si="2"/>
        <v>0</v>
      </c>
      <c r="S103" s="4">
        <f t="shared" si="4"/>
        <v>255</v>
      </c>
      <c r="T103" s="4" t="s">
        <v>298</v>
      </c>
      <c r="U103" s="4" t="s">
        <v>854</v>
      </c>
      <c r="V103" s="4"/>
      <c r="W103" s="3" t="s">
        <v>905</v>
      </c>
      <c r="X103" s="3"/>
      <c r="Y103" s="3"/>
    </row>
    <row r="104" spans="1:25" s="31" customFormat="1">
      <c r="A104" s="3">
        <v>103</v>
      </c>
      <c r="B104" s="4" t="s">
        <v>416</v>
      </c>
      <c r="C104" s="4">
        <f>MATCH($E104,[1]Message!$C:$C,0)</f>
        <v>18</v>
      </c>
      <c r="D104" s="4" t="str">
        <f>VLOOKUP($E104,[1]Message!$C:$I,3,FALSE)</f>
        <v>0x0807EE41</v>
      </c>
      <c r="E104" s="4" t="str">
        <f>VLOOKUP($B104,[1]Message!$B:$C,2,FALSE)</f>
        <v>U2P_SUMDATA7</v>
      </c>
      <c r="F104" s="4">
        <f>VLOOKUP($E104,[1]Message!$C:$I,4,FALSE)</f>
        <v>8</v>
      </c>
      <c r="G104" s="4" t="str">
        <f>VLOOKUP($E104,[1]Message!$C:$I,5,FALSE)</f>
        <v>BMU</v>
      </c>
      <c r="H104" s="4" t="str">
        <f>VLOOKUP($E104,[1]Message!$C:$I,6,FALSE)</f>
        <v>Event</v>
      </c>
      <c r="I104" s="4">
        <f>VLOOKUP($E104,[1]Message!$C:$I,7,FALSE)</f>
        <v>0</v>
      </c>
      <c r="J104" s="4"/>
      <c r="K104" s="4" t="s">
        <v>421</v>
      </c>
      <c r="L104" s="4">
        <v>32</v>
      </c>
      <c r="M104" s="4">
        <v>8</v>
      </c>
      <c r="N104" s="4">
        <v>1</v>
      </c>
      <c r="O104" s="4">
        <v>0</v>
      </c>
      <c r="P104" s="4">
        <v>0</v>
      </c>
      <c r="Q104" s="4" t="s">
        <v>336</v>
      </c>
      <c r="R104" s="4">
        <f t="shared" si="2"/>
        <v>0</v>
      </c>
      <c r="S104" s="4">
        <f t="shared" si="4"/>
        <v>255</v>
      </c>
      <c r="T104" s="4" t="s">
        <v>298</v>
      </c>
      <c r="U104" s="4" t="s">
        <v>920</v>
      </c>
      <c r="V104" s="4"/>
      <c r="W104" s="3" t="s">
        <v>905</v>
      </c>
      <c r="X104" s="3"/>
      <c r="Y104" s="3"/>
    </row>
    <row r="105" spans="1:25">
      <c r="A105" s="3">
        <v>104</v>
      </c>
      <c r="B105" s="4" t="s">
        <v>422</v>
      </c>
      <c r="C105" s="4">
        <f>MATCH($E105,[1]Message!$C:$C,0)</f>
        <v>18</v>
      </c>
      <c r="D105" s="4" t="str">
        <f>VLOOKUP($E105,[1]Message!$C:$I,3,FALSE)</f>
        <v>0x0807EE41</v>
      </c>
      <c r="E105" s="4" t="str">
        <f>VLOOKUP($B105,[1]Message!$B:$C,2,FALSE)</f>
        <v>U2P_SUMDATA7</v>
      </c>
      <c r="F105" s="4">
        <f>VLOOKUP($E105,[1]Message!$C:$I,4,FALSE)</f>
        <v>8</v>
      </c>
      <c r="G105" s="4" t="str">
        <f>VLOOKUP($E105,[1]Message!$C:$I,5,FALSE)</f>
        <v>BMU</v>
      </c>
      <c r="H105" s="4" t="str">
        <f>VLOOKUP($E105,[1]Message!$C:$I,6,FALSE)</f>
        <v>Event</v>
      </c>
      <c r="I105" s="4">
        <f>VLOOKUP($E105,[1]Message!$C:$I,7,FALSE)</f>
        <v>0</v>
      </c>
      <c r="J105" s="4"/>
      <c r="K105" s="4" t="s">
        <v>423</v>
      </c>
      <c r="L105" s="4">
        <v>40</v>
      </c>
      <c r="M105" s="4">
        <v>8</v>
      </c>
      <c r="N105" s="4">
        <v>1</v>
      </c>
      <c r="O105" s="4">
        <v>-50</v>
      </c>
      <c r="P105" s="4"/>
      <c r="Q105" s="4" t="s">
        <v>973</v>
      </c>
      <c r="R105" s="4">
        <v>-50</v>
      </c>
      <c r="S105" s="4">
        <v>205</v>
      </c>
      <c r="T105" s="4" t="s">
        <v>298</v>
      </c>
      <c r="U105" s="4" t="s">
        <v>424</v>
      </c>
      <c r="V105" s="4" t="s">
        <v>425</v>
      </c>
      <c r="W105" s="3" t="s">
        <v>849</v>
      </c>
      <c r="X105" s="3"/>
      <c r="Y105" s="3"/>
    </row>
    <row r="106" spans="1:25" s="31" customFormat="1">
      <c r="A106" s="3">
        <v>105</v>
      </c>
      <c r="B106" s="4" t="s">
        <v>416</v>
      </c>
      <c r="C106" s="4">
        <f>MATCH($E106,[1]Message!$C:$C,0)</f>
        <v>18</v>
      </c>
      <c r="D106" s="4" t="str">
        <f>VLOOKUP($E106,[1]Message!$C:$I,3,FALSE)</f>
        <v>0x0807EE41</v>
      </c>
      <c r="E106" s="4" t="str">
        <f>VLOOKUP($B106,[1]Message!$B:$C,2,FALSE)</f>
        <v>U2P_SUMDATA7</v>
      </c>
      <c r="F106" s="4">
        <f>VLOOKUP($E106,[1]Message!$C:$I,4,FALSE)</f>
        <v>8</v>
      </c>
      <c r="G106" s="4" t="str">
        <f>VLOOKUP($E106,[1]Message!$C:$I,5,FALSE)</f>
        <v>BMU</v>
      </c>
      <c r="H106" s="4" t="str">
        <f>VLOOKUP($E106,[1]Message!$C:$I,6,FALSE)</f>
        <v>Event</v>
      </c>
      <c r="I106" s="4">
        <f>VLOOKUP($E106,[1]Message!$C:$I,7,FALSE)</f>
        <v>0</v>
      </c>
      <c r="J106" s="4"/>
      <c r="K106" s="4" t="s">
        <v>426</v>
      </c>
      <c r="L106" s="4">
        <v>48</v>
      </c>
      <c r="M106" s="4">
        <v>8</v>
      </c>
      <c r="N106" s="4">
        <v>0.2</v>
      </c>
      <c r="O106" s="4">
        <v>0</v>
      </c>
      <c r="P106" s="4"/>
      <c r="Q106" s="4" t="s">
        <v>329</v>
      </c>
      <c r="R106" s="4">
        <f t="shared" si="2"/>
        <v>0</v>
      </c>
      <c r="S106" s="4">
        <f t="shared" si="4"/>
        <v>51</v>
      </c>
      <c r="T106" s="4" t="s">
        <v>298</v>
      </c>
      <c r="U106" s="4" t="s">
        <v>921</v>
      </c>
      <c r="V106" s="4" t="s">
        <v>337</v>
      </c>
      <c r="W106" s="3" t="s">
        <v>895</v>
      </c>
      <c r="X106" s="3"/>
      <c r="Y106" s="3"/>
    </row>
    <row r="107" spans="1:25">
      <c r="A107" s="3">
        <v>106</v>
      </c>
      <c r="B107" s="4" t="s">
        <v>416</v>
      </c>
      <c r="C107" s="4">
        <f>MATCH($E107,[1]Message!$C:$C,0)</f>
        <v>18</v>
      </c>
      <c r="D107" s="4" t="str">
        <f>VLOOKUP($E107,[1]Message!$C:$I,3,FALSE)</f>
        <v>0x0807EE41</v>
      </c>
      <c r="E107" s="4" t="str">
        <f>VLOOKUP($B107,[1]Message!$B:$C,2,FALSE)</f>
        <v>U2P_SUMDATA7</v>
      </c>
      <c r="F107" s="4">
        <f>VLOOKUP($E107,[1]Message!$C:$I,4,FALSE)</f>
        <v>8</v>
      </c>
      <c r="G107" s="4" t="str">
        <f>VLOOKUP($E107,[1]Message!$C:$I,5,FALSE)</f>
        <v>BMU</v>
      </c>
      <c r="H107" s="4" t="str">
        <f>VLOOKUP($E107,[1]Message!$C:$I,6,FALSE)</f>
        <v>Event</v>
      </c>
      <c r="I107" s="4">
        <f>VLOOKUP($E107,[1]Message!$C:$I,7,FALSE)</f>
        <v>0</v>
      </c>
      <c r="J107" s="4"/>
      <c r="K107" s="4" t="s">
        <v>427</v>
      </c>
      <c r="L107" s="4">
        <v>56</v>
      </c>
      <c r="M107" s="4">
        <v>8</v>
      </c>
      <c r="N107" s="4">
        <v>1</v>
      </c>
      <c r="O107" s="4">
        <v>0</v>
      </c>
      <c r="P107" s="4">
        <v>0</v>
      </c>
      <c r="Q107" s="4" t="s">
        <v>336</v>
      </c>
      <c r="R107" s="4">
        <f t="shared" si="2"/>
        <v>0</v>
      </c>
      <c r="S107" s="4">
        <v>100</v>
      </c>
      <c r="T107" s="4" t="s">
        <v>298</v>
      </c>
      <c r="U107" s="4" t="s">
        <v>974</v>
      </c>
      <c r="V107" s="4" t="s">
        <v>337</v>
      </c>
      <c r="W107" s="3" t="s">
        <v>849</v>
      </c>
      <c r="X107" s="3"/>
      <c r="Y107" s="3"/>
    </row>
    <row r="108" spans="1:25" s="31" customFormat="1">
      <c r="A108" s="3">
        <v>107</v>
      </c>
      <c r="B108" s="4" t="s">
        <v>428</v>
      </c>
      <c r="C108" s="4">
        <f>MATCH($E108,[1]Message!$C:$C,0)</f>
        <v>19</v>
      </c>
      <c r="D108" s="4" t="str">
        <f>VLOOKUP($E108,[1]Message!$C:$I,3,FALSE)</f>
        <v>0x0808EE41</v>
      </c>
      <c r="E108" s="4" t="str">
        <f>VLOOKUP($B108,[1]Message!$B:$C,2,FALSE)</f>
        <v>U2P_SUMDATA8</v>
      </c>
      <c r="F108" s="4">
        <f>VLOOKUP($E108,[1]Message!$C:$I,4,FALSE)</f>
        <v>8</v>
      </c>
      <c r="G108" s="4" t="str">
        <f>VLOOKUP($E108,[1]Message!$C:$I,5,FALSE)</f>
        <v>BMU</v>
      </c>
      <c r="H108" s="4" t="str">
        <f>VLOOKUP($E108,[1]Message!$C:$I,6,FALSE)</f>
        <v>Event</v>
      </c>
      <c r="I108" s="4">
        <f>VLOOKUP($E108,[1]Message!$C:$I,7,FALSE)</f>
        <v>0</v>
      </c>
      <c r="J108" s="4"/>
      <c r="K108" s="4" t="s">
        <v>429</v>
      </c>
      <c r="L108" s="4">
        <v>0</v>
      </c>
      <c r="M108" s="4">
        <v>1</v>
      </c>
      <c r="N108" s="4">
        <v>1</v>
      </c>
      <c r="O108" s="4">
        <v>0</v>
      </c>
      <c r="P108" s="4">
        <v>0</v>
      </c>
      <c r="Q108" s="4"/>
      <c r="R108" s="4">
        <f t="shared" si="2"/>
        <v>0</v>
      </c>
      <c r="S108" s="4">
        <f>(2^(M108)-1)*N108+O108</f>
        <v>1</v>
      </c>
      <c r="T108" s="4" t="s">
        <v>298</v>
      </c>
      <c r="U108" s="4" t="s">
        <v>922</v>
      </c>
      <c r="V108" s="4" t="s">
        <v>342</v>
      </c>
      <c r="W108" s="3" t="s">
        <v>895</v>
      </c>
      <c r="X108" s="3"/>
      <c r="Y108" s="3"/>
    </row>
    <row r="109" spans="1:25">
      <c r="A109" s="3">
        <v>108</v>
      </c>
      <c r="B109" s="4" t="s">
        <v>428</v>
      </c>
      <c r="C109" s="4">
        <f>MATCH($E109,[1]Message!$C:$C,0)</f>
        <v>19</v>
      </c>
      <c r="D109" s="4" t="str">
        <f>VLOOKUP($E109,[1]Message!$C:$I,3,FALSE)</f>
        <v>0x0808EE41</v>
      </c>
      <c r="E109" s="4" t="str">
        <f>VLOOKUP($B109,[1]Message!$B:$C,2,FALSE)</f>
        <v>U2P_SUMDATA8</v>
      </c>
      <c r="F109" s="4">
        <f>VLOOKUP($E109,[1]Message!$C:$I,4,FALSE)</f>
        <v>8</v>
      </c>
      <c r="G109" s="4" t="str">
        <f>VLOOKUP($E109,[1]Message!$C:$I,5,FALSE)</f>
        <v>BMU</v>
      </c>
      <c r="H109" s="4" t="str">
        <f>VLOOKUP($E109,[1]Message!$C:$I,6,FALSE)</f>
        <v>Event</v>
      </c>
      <c r="I109" s="4">
        <f>VLOOKUP($E109,[1]Message!$C:$I,7,FALSE)</f>
        <v>0</v>
      </c>
      <c r="J109" s="4"/>
      <c r="K109" s="4" t="s">
        <v>325</v>
      </c>
      <c r="L109" s="4">
        <v>1</v>
      </c>
      <c r="M109" s="4">
        <v>1</v>
      </c>
      <c r="N109" s="4">
        <v>1</v>
      </c>
      <c r="O109" s="4">
        <v>0</v>
      </c>
      <c r="P109" s="4"/>
      <c r="Q109" s="4"/>
      <c r="R109" s="4">
        <f t="shared" si="2"/>
        <v>0</v>
      </c>
      <c r="S109" s="4">
        <f>(2^(M109)-1)*N109+O109</f>
        <v>1</v>
      </c>
      <c r="T109" s="4" t="s">
        <v>298</v>
      </c>
      <c r="U109" s="4" t="s">
        <v>361</v>
      </c>
      <c r="V109" s="4"/>
      <c r="W109" s="3" t="s">
        <v>849</v>
      </c>
      <c r="X109" s="3"/>
      <c r="Y109" s="3"/>
    </row>
    <row r="110" spans="1:25">
      <c r="A110" s="3">
        <v>109</v>
      </c>
      <c r="B110" s="4" t="s">
        <v>428</v>
      </c>
      <c r="C110" s="4">
        <f>MATCH($E110,[1]Message!$C:$C,0)</f>
        <v>19</v>
      </c>
      <c r="D110" s="4" t="str">
        <f>VLOOKUP($E110,[1]Message!$C:$I,3,FALSE)</f>
        <v>0x0808EE41</v>
      </c>
      <c r="E110" s="4" t="str">
        <f>VLOOKUP($B110,[1]Message!$B:$C,2,FALSE)</f>
        <v>U2P_SUMDATA8</v>
      </c>
      <c r="F110" s="4">
        <f>VLOOKUP($E110,[1]Message!$C:$I,4,FALSE)</f>
        <v>8</v>
      </c>
      <c r="G110" s="4" t="str">
        <f>VLOOKUP($E110,[1]Message!$C:$I,5,FALSE)</f>
        <v>BMU</v>
      </c>
      <c r="H110" s="4" t="str">
        <f>VLOOKUP($E110,[1]Message!$C:$I,6,FALSE)</f>
        <v>Event</v>
      </c>
      <c r="I110" s="4">
        <f>VLOOKUP($E110,[1]Message!$C:$I,7,FALSE)</f>
        <v>0</v>
      </c>
      <c r="J110" s="4"/>
      <c r="K110" s="4" t="s">
        <v>325</v>
      </c>
      <c r="L110" s="4">
        <v>2</v>
      </c>
      <c r="M110" s="4">
        <v>1</v>
      </c>
      <c r="N110" s="4">
        <v>1</v>
      </c>
      <c r="O110" s="4">
        <v>0</v>
      </c>
      <c r="P110" s="4"/>
      <c r="Q110" s="4"/>
      <c r="R110" s="4">
        <f t="shared" si="2"/>
        <v>0</v>
      </c>
      <c r="S110" s="4">
        <f>(2^(M110)-1)*N110+O110</f>
        <v>1</v>
      </c>
      <c r="T110" s="4" t="s">
        <v>298</v>
      </c>
      <c r="U110" s="4" t="s">
        <v>361</v>
      </c>
      <c r="V110" s="4"/>
      <c r="W110" s="3" t="s">
        <v>849</v>
      </c>
      <c r="X110" s="3"/>
      <c r="Y110" s="3"/>
    </row>
    <row r="111" spans="1:25">
      <c r="A111" s="3">
        <v>110</v>
      </c>
      <c r="B111" s="4" t="s">
        <v>430</v>
      </c>
      <c r="C111" s="4">
        <f>MATCH($E111,[1]Message!$C:$C,0)</f>
        <v>19</v>
      </c>
      <c r="D111" s="4" t="str">
        <f>VLOOKUP($E111,[1]Message!$C:$I,3,FALSE)</f>
        <v>0x0808EE41</v>
      </c>
      <c r="E111" s="4" t="str">
        <f>VLOOKUP($B111,[1]Message!$B:$C,2,FALSE)</f>
        <v>U2P_SUMDATA8</v>
      </c>
      <c r="F111" s="4">
        <f>VLOOKUP($E111,[1]Message!$C:$I,4,FALSE)</f>
        <v>8</v>
      </c>
      <c r="G111" s="4" t="str">
        <f>VLOOKUP($E111,[1]Message!$C:$I,5,FALSE)</f>
        <v>BMU</v>
      </c>
      <c r="H111" s="4" t="str">
        <f>VLOOKUP($E111,[1]Message!$C:$I,6,FALSE)</f>
        <v>Event</v>
      </c>
      <c r="I111" s="4">
        <f>VLOOKUP($E111,[1]Message!$C:$I,7,FALSE)</f>
        <v>0</v>
      </c>
      <c r="J111" s="4"/>
      <c r="K111" s="4" t="s">
        <v>325</v>
      </c>
      <c r="L111" s="4">
        <v>3</v>
      </c>
      <c r="M111" s="4">
        <v>1</v>
      </c>
      <c r="N111" s="4">
        <v>1</v>
      </c>
      <c r="O111" s="4">
        <v>0</v>
      </c>
      <c r="P111" s="4">
        <v>0</v>
      </c>
      <c r="Q111" s="4"/>
      <c r="R111" s="4">
        <f t="shared" si="2"/>
        <v>0</v>
      </c>
      <c r="S111" s="4">
        <f>(2^(M111)-1)*N111+O111</f>
        <v>1</v>
      </c>
      <c r="T111" s="4" t="s">
        <v>298</v>
      </c>
      <c r="U111" s="4" t="s">
        <v>361</v>
      </c>
      <c r="V111" s="4"/>
      <c r="W111" s="3" t="s">
        <v>849</v>
      </c>
      <c r="X111" s="3"/>
      <c r="Y111" s="3"/>
    </row>
    <row r="112" spans="1:25" s="31" customFormat="1">
      <c r="A112" s="3">
        <v>111</v>
      </c>
      <c r="B112" s="4" t="s">
        <v>428</v>
      </c>
      <c r="C112" s="4">
        <f>MATCH($E112,[1]Message!$C:$C,0)</f>
        <v>19</v>
      </c>
      <c r="D112" s="4" t="str">
        <f>VLOOKUP($E112,[1]Message!$C:$I,3,FALSE)</f>
        <v>0x0808EE41</v>
      </c>
      <c r="E112" s="4" t="str">
        <f>VLOOKUP($B112,[1]Message!$B:$C,2,FALSE)</f>
        <v>U2P_SUMDATA8</v>
      </c>
      <c r="F112" s="4">
        <f>VLOOKUP($E112,[1]Message!$C:$I,4,FALSE)</f>
        <v>8</v>
      </c>
      <c r="G112" s="4" t="str">
        <f>VLOOKUP($E112,[1]Message!$C:$I,5,FALSE)</f>
        <v>BMU</v>
      </c>
      <c r="H112" s="4" t="str">
        <f>VLOOKUP($E112,[1]Message!$C:$I,6,FALSE)</f>
        <v>Event</v>
      </c>
      <c r="I112" s="4">
        <f>VLOOKUP($E112,[1]Message!$C:$I,7,FALSE)</f>
        <v>0</v>
      </c>
      <c r="J112" s="4"/>
      <c r="K112" s="4" t="s">
        <v>431</v>
      </c>
      <c r="L112" s="4">
        <v>4</v>
      </c>
      <c r="M112" s="4">
        <v>8</v>
      </c>
      <c r="N112" s="4">
        <v>0.2</v>
      </c>
      <c r="O112" s="4">
        <v>0</v>
      </c>
      <c r="P112" s="4">
        <v>0</v>
      </c>
      <c r="Q112" s="4" t="s">
        <v>329</v>
      </c>
      <c r="R112" s="4">
        <f t="shared" si="2"/>
        <v>0</v>
      </c>
      <c r="S112" s="4">
        <v>50</v>
      </c>
      <c r="T112" s="4" t="s">
        <v>298</v>
      </c>
      <c r="U112" s="4" t="s">
        <v>923</v>
      </c>
      <c r="V112" s="4" t="s">
        <v>410</v>
      </c>
      <c r="W112" s="3" t="s">
        <v>905</v>
      </c>
      <c r="X112" s="3"/>
      <c r="Y112" s="3"/>
    </row>
    <row r="113" spans="1:25">
      <c r="A113" s="3">
        <v>112</v>
      </c>
      <c r="B113" s="4" t="s">
        <v>428</v>
      </c>
      <c r="C113" s="4">
        <f>MATCH($E113,[1]Message!$C:$C,0)</f>
        <v>19</v>
      </c>
      <c r="D113" s="4" t="str">
        <f>VLOOKUP($E113,[1]Message!$C:$I,3,FALSE)</f>
        <v>0x0808EE41</v>
      </c>
      <c r="E113" s="4" t="str">
        <f>VLOOKUP($B113,[1]Message!$B:$C,2,FALSE)</f>
        <v>U2P_SUMDATA8</v>
      </c>
      <c r="F113" s="4">
        <f>VLOOKUP($E113,[1]Message!$C:$I,4,FALSE)</f>
        <v>8</v>
      </c>
      <c r="G113" s="4" t="str">
        <f>VLOOKUP($E113,[1]Message!$C:$I,5,FALSE)</f>
        <v>BMU</v>
      </c>
      <c r="H113" s="4" t="str">
        <f>VLOOKUP($E113,[1]Message!$C:$I,6,FALSE)</f>
        <v>Event</v>
      </c>
      <c r="I113" s="4">
        <f>VLOOKUP($E113,[1]Message!$C:$I,7,FALSE)</f>
        <v>0</v>
      </c>
      <c r="J113" s="4"/>
      <c r="K113" s="4" t="s">
        <v>432</v>
      </c>
      <c r="L113" s="4">
        <v>12</v>
      </c>
      <c r="M113" s="4">
        <v>1</v>
      </c>
      <c r="N113" s="4">
        <v>1</v>
      </c>
      <c r="O113" s="4">
        <v>0</v>
      </c>
      <c r="P113" s="4">
        <v>0</v>
      </c>
      <c r="Q113" s="4"/>
      <c r="R113" s="4">
        <f t="shared" si="2"/>
        <v>0</v>
      </c>
      <c r="S113" s="4">
        <f t="shared" ref="S113:S119" si="5">(2^(M113)-1)*N113+O113</f>
        <v>1</v>
      </c>
      <c r="T113" s="4" t="s">
        <v>298</v>
      </c>
      <c r="U113" s="4" t="s">
        <v>433</v>
      </c>
      <c r="V113" s="4" t="s">
        <v>342</v>
      </c>
      <c r="W113" s="3" t="s">
        <v>849</v>
      </c>
      <c r="X113" s="3"/>
      <c r="Y113" s="3"/>
    </row>
    <row r="114" spans="1:25">
      <c r="A114" s="3">
        <v>113</v>
      </c>
      <c r="B114" s="4" t="s">
        <v>428</v>
      </c>
      <c r="C114" s="4">
        <f>MATCH($E114,[1]Message!$C:$C,0)</f>
        <v>19</v>
      </c>
      <c r="D114" s="4" t="str">
        <f>VLOOKUP($E114,[1]Message!$C:$I,3,FALSE)</f>
        <v>0x0808EE41</v>
      </c>
      <c r="E114" s="4" t="str">
        <f>VLOOKUP($B114,[1]Message!$B:$C,2,FALSE)</f>
        <v>U2P_SUMDATA8</v>
      </c>
      <c r="F114" s="4">
        <f>VLOOKUP($E114,[1]Message!$C:$I,4,FALSE)</f>
        <v>8</v>
      </c>
      <c r="G114" s="4" t="str">
        <f>VLOOKUP($E114,[1]Message!$C:$I,5,FALSE)</f>
        <v>BMU</v>
      </c>
      <c r="H114" s="4" t="str">
        <f>VLOOKUP($E114,[1]Message!$C:$I,6,FALSE)</f>
        <v>Event</v>
      </c>
      <c r="I114" s="4">
        <f>VLOOKUP($E114,[1]Message!$C:$I,7,FALSE)</f>
        <v>0</v>
      </c>
      <c r="J114" s="4"/>
      <c r="K114" s="4" t="s">
        <v>434</v>
      </c>
      <c r="L114" s="4">
        <v>13</v>
      </c>
      <c r="M114" s="4">
        <v>1</v>
      </c>
      <c r="N114" s="4">
        <v>1</v>
      </c>
      <c r="O114" s="4">
        <v>0</v>
      </c>
      <c r="P114" s="4">
        <v>0</v>
      </c>
      <c r="Q114" s="4"/>
      <c r="R114" s="4">
        <f t="shared" si="2"/>
        <v>0</v>
      </c>
      <c r="S114" s="4">
        <f t="shared" si="5"/>
        <v>1</v>
      </c>
      <c r="T114" s="4" t="s">
        <v>298</v>
      </c>
      <c r="U114" s="4" t="s">
        <v>975</v>
      </c>
      <c r="V114" s="4" t="s">
        <v>342</v>
      </c>
      <c r="W114" s="3" t="s">
        <v>849</v>
      </c>
      <c r="X114" s="3"/>
      <c r="Y114" s="3"/>
    </row>
    <row r="115" spans="1:25">
      <c r="A115" s="3">
        <v>114</v>
      </c>
      <c r="B115" s="4" t="s">
        <v>428</v>
      </c>
      <c r="C115" s="4">
        <f>MATCH($E115,[1]Message!$C:$C,0)</f>
        <v>19</v>
      </c>
      <c r="D115" s="4" t="str">
        <f>VLOOKUP($E115,[1]Message!$C:$I,3,FALSE)</f>
        <v>0x0808EE41</v>
      </c>
      <c r="E115" s="4" t="str">
        <f>VLOOKUP($B115,[1]Message!$B:$C,2,FALSE)</f>
        <v>U2P_SUMDATA8</v>
      </c>
      <c r="F115" s="4">
        <f>VLOOKUP($E115,[1]Message!$C:$I,4,FALSE)</f>
        <v>8</v>
      </c>
      <c r="G115" s="4" t="str">
        <f>VLOOKUP($E115,[1]Message!$C:$I,5,FALSE)</f>
        <v>BMU</v>
      </c>
      <c r="H115" s="4" t="str">
        <f>VLOOKUP($E115,[1]Message!$C:$I,6,FALSE)</f>
        <v>Event</v>
      </c>
      <c r="I115" s="4">
        <f>VLOOKUP($E115,[1]Message!$C:$I,7,FALSE)</f>
        <v>0</v>
      </c>
      <c r="J115" s="4"/>
      <c r="K115" s="4" t="s">
        <v>435</v>
      </c>
      <c r="L115" s="4">
        <v>14</v>
      </c>
      <c r="M115" s="4">
        <v>1</v>
      </c>
      <c r="N115" s="4">
        <v>1</v>
      </c>
      <c r="O115" s="4">
        <v>0</v>
      </c>
      <c r="P115" s="4">
        <v>0</v>
      </c>
      <c r="Q115" s="4"/>
      <c r="R115" s="4">
        <f t="shared" si="2"/>
        <v>0</v>
      </c>
      <c r="S115" s="4">
        <f t="shared" si="5"/>
        <v>1</v>
      </c>
      <c r="T115" s="4" t="s">
        <v>298</v>
      </c>
      <c r="U115" s="4" t="s">
        <v>976</v>
      </c>
      <c r="V115" s="4" t="s">
        <v>342</v>
      </c>
      <c r="W115" s="3" t="s">
        <v>849</v>
      </c>
      <c r="X115" s="3"/>
      <c r="Y115" s="3"/>
    </row>
    <row r="116" spans="1:25">
      <c r="A116" s="3">
        <v>115</v>
      </c>
      <c r="B116" s="4" t="s">
        <v>428</v>
      </c>
      <c r="C116" s="4">
        <f>MATCH($E116,[1]Message!$C:$C,0)</f>
        <v>19</v>
      </c>
      <c r="D116" s="4" t="str">
        <f>VLOOKUP($E116,[1]Message!$C:$I,3,FALSE)</f>
        <v>0x0808EE41</v>
      </c>
      <c r="E116" s="4" t="str">
        <f>VLOOKUP($B116,[1]Message!$B:$C,2,FALSE)</f>
        <v>U2P_SUMDATA8</v>
      </c>
      <c r="F116" s="4">
        <f>VLOOKUP($E116,[1]Message!$C:$I,4,FALSE)</f>
        <v>8</v>
      </c>
      <c r="G116" s="4" t="str">
        <f>VLOOKUP($E116,[1]Message!$C:$I,5,FALSE)</f>
        <v>BMU</v>
      </c>
      <c r="H116" s="4" t="str">
        <f>VLOOKUP($E116,[1]Message!$C:$I,6,FALSE)</f>
        <v>Event</v>
      </c>
      <c r="I116" s="4">
        <f>VLOOKUP($E116,[1]Message!$C:$I,7,FALSE)</f>
        <v>0</v>
      </c>
      <c r="J116" s="4"/>
      <c r="K116" s="4" t="s">
        <v>325</v>
      </c>
      <c r="L116" s="4">
        <v>15</v>
      </c>
      <c r="M116" s="4">
        <v>1</v>
      </c>
      <c r="N116" s="4">
        <v>1</v>
      </c>
      <c r="O116" s="4">
        <v>0</v>
      </c>
      <c r="P116" s="4"/>
      <c r="Q116" s="4"/>
      <c r="R116" s="4">
        <f t="shared" si="2"/>
        <v>0</v>
      </c>
      <c r="S116" s="4">
        <f t="shared" si="5"/>
        <v>1</v>
      </c>
      <c r="T116" s="4" t="s">
        <v>298</v>
      </c>
      <c r="U116" s="4" t="s">
        <v>977</v>
      </c>
      <c r="V116" s="4"/>
      <c r="W116" s="3" t="s">
        <v>849</v>
      </c>
      <c r="X116" s="3"/>
      <c r="Y116" s="3"/>
    </row>
    <row r="117" spans="1:25" s="31" customFormat="1">
      <c r="A117" s="3">
        <v>116</v>
      </c>
      <c r="B117" s="4" t="s">
        <v>428</v>
      </c>
      <c r="C117" s="4">
        <f>MATCH($E117,[1]Message!$C:$C,0)</f>
        <v>19</v>
      </c>
      <c r="D117" s="4" t="str">
        <f>VLOOKUP($E117,[1]Message!$C:$I,3,FALSE)</f>
        <v>0x0808EE41</v>
      </c>
      <c r="E117" s="4" t="str">
        <f>VLOOKUP($B117,[1]Message!$B:$C,2,FALSE)</f>
        <v>U2P_SUMDATA8</v>
      </c>
      <c r="F117" s="4">
        <f>VLOOKUP($E117,[1]Message!$C:$I,4,FALSE)</f>
        <v>8</v>
      </c>
      <c r="G117" s="4" t="str">
        <f>VLOOKUP($E117,[1]Message!$C:$I,5,FALSE)</f>
        <v>BMU</v>
      </c>
      <c r="H117" s="4" t="str">
        <f>VLOOKUP($E117,[1]Message!$C:$I,6,FALSE)</f>
        <v>Event</v>
      </c>
      <c r="I117" s="4">
        <f>VLOOKUP($E117,[1]Message!$C:$I,7,FALSE)</f>
        <v>0</v>
      </c>
      <c r="J117" s="4"/>
      <c r="K117" s="4" t="s">
        <v>436</v>
      </c>
      <c r="L117" s="4">
        <v>16</v>
      </c>
      <c r="M117" s="4">
        <v>8</v>
      </c>
      <c r="N117" s="4">
        <v>0.2</v>
      </c>
      <c r="O117" s="4">
        <v>0</v>
      </c>
      <c r="P117" s="4">
        <v>0</v>
      </c>
      <c r="Q117" s="4" t="s">
        <v>329</v>
      </c>
      <c r="R117" s="4">
        <f t="shared" si="2"/>
        <v>0</v>
      </c>
      <c r="S117" s="4">
        <f t="shared" si="5"/>
        <v>51</v>
      </c>
      <c r="T117" s="4" t="s">
        <v>298</v>
      </c>
      <c r="U117" s="4" t="s">
        <v>855</v>
      </c>
      <c r="V117" s="4"/>
      <c r="W117" s="3" t="s">
        <v>905</v>
      </c>
      <c r="X117" s="3"/>
      <c r="Y117" s="3"/>
    </row>
    <row r="118" spans="1:25" s="31" customFormat="1">
      <c r="A118" s="3">
        <v>117</v>
      </c>
      <c r="B118" s="4" t="s">
        <v>428</v>
      </c>
      <c r="C118" s="4">
        <f>MATCH($E118,[1]Message!$C:$C,0)</f>
        <v>19</v>
      </c>
      <c r="D118" s="4" t="str">
        <f>VLOOKUP($E118,[1]Message!$C:$I,3,FALSE)</f>
        <v>0x0808EE41</v>
      </c>
      <c r="E118" s="4" t="str">
        <f>VLOOKUP($B118,[1]Message!$B:$C,2,FALSE)</f>
        <v>U2P_SUMDATA8</v>
      </c>
      <c r="F118" s="4">
        <f>VLOOKUP($E118,[1]Message!$C:$I,4,FALSE)</f>
        <v>8</v>
      </c>
      <c r="G118" s="4" t="str">
        <f>VLOOKUP($E118,[1]Message!$C:$I,5,FALSE)</f>
        <v>BMU</v>
      </c>
      <c r="H118" s="4" t="str">
        <f>VLOOKUP($E118,[1]Message!$C:$I,6,FALSE)</f>
        <v>Event</v>
      </c>
      <c r="I118" s="4">
        <f>VLOOKUP($E118,[1]Message!$C:$I,7,FALSE)</f>
        <v>0</v>
      </c>
      <c r="J118" s="4"/>
      <c r="K118" s="4" t="s">
        <v>437</v>
      </c>
      <c r="L118" s="4">
        <v>24</v>
      </c>
      <c r="M118" s="4">
        <v>8</v>
      </c>
      <c r="N118" s="4">
        <v>0.2</v>
      </c>
      <c r="O118" s="4">
        <v>0</v>
      </c>
      <c r="P118" s="4">
        <v>0</v>
      </c>
      <c r="Q118" s="4" t="s">
        <v>329</v>
      </c>
      <c r="R118" s="4">
        <f t="shared" si="2"/>
        <v>0</v>
      </c>
      <c r="S118" s="4">
        <f t="shared" si="5"/>
        <v>51</v>
      </c>
      <c r="T118" s="4" t="s">
        <v>298</v>
      </c>
      <c r="U118" s="4" t="s">
        <v>924</v>
      </c>
      <c r="V118" s="4"/>
      <c r="W118" s="3" t="s">
        <v>905</v>
      </c>
      <c r="X118" s="3"/>
      <c r="Y118" s="3"/>
    </row>
    <row r="119" spans="1:25">
      <c r="A119" s="3">
        <v>118</v>
      </c>
      <c r="B119" s="4" t="s">
        <v>428</v>
      </c>
      <c r="C119" s="4">
        <f>MATCH($E119,[1]Message!$C:$C,0)</f>
        <v>19</v>
      </c>
      <c r="D119" s="4" t="str">
        <f>VLOOKUP($E119,[1]Message!$C:$I,3,FALSE)</f>
        <v>0x0808EE41</v>
      </c>
      <c r="E119" s="4" t="str">
        <f>VLOOKUP($B119,[1]Message!$B:$C,2,FALSE)</f>
        <v>U2P_SUMDATA8</v>
      </c>
      <c r="F119" s="4">
        <f>VLOOKUP($E119,[1]Message!$C:$I,4,FALSE)</f>
        <v>8</v>
      </c>
      <c r="G119" s="4" t="str">
        <f>VLOOKUP($E119,[1]Message!$C:$I,5,FALSE)</f>
        <v>BMU</v>
      </c>
      <c r="H119" s="4" t="str">
        <f>VLOOKUP($E119,[1]Message!$C:$I,6,FALSE)</f>
        <v>Event</v>
      </c>
      <c r="I119" s="4">
        <f>VLOOKUP($E119,[1]Message!$C:$I,7,FALSE)</f>
        <v>0</v>
      </c>
      <c r="J119" s="4"/>
      <c r="K119" s="4" t="s">
        <v>438</v>
      </c>
      <c r="L119" s="4">
        <v>32</v>
      </c>
      <c r="M119" s="7">
        <v>8</v>
      </c>
      <c r="N119" s="4">
        <v>0.2</v>
      </c>
      <c r="O119" s="4">
        <v>0</v>
      </c>
      <c r="P119" s="4">
        <v>0</v>
      </c>
      <c r="Q119" s="4" t="s">
        <v>329</v>
      </c>
      <c r="R119" s="4">
        <f t="shared" si="2"/>
        <v>0</v>
      </c>
      <c r="S119" s="4">
        <f t="shared" si="5"/>
        <v>51</v>
      </c>
      <c r="T119" s="4" t="s">
        <v>298</v>
      </c>
      <c r="U119" s="4" t="s">
        <v>978</v>
      </c>
      <c r="V119" s="4"/>
      <c r="W119" s="3" t="s">
        <v>849</v>
      </c>
      <c r="X119" s="3"/>
      <c r="Y119" s="3"/>
    </row>
    <row r="120" spans="1:25">
      <c r="A120" s="3">
        <v>119</v>
      </c>
      <c r="B120" s="4" t="s">
        <v>428</v>
      </c>
      <c r="C120" s="4">
        <f>MATCH($E120,[1]Message!$C:$C,0)</f>
        <v>19</v>
      </c>
      <c r="D120" s="4" t="str">
        <f>VLOOKUP($E120,[1]Message!$C:$I,3,FALSE)</f>
        <v>0x0808EE41</v>
      </c>
      <c r="E120" s="4" t="str">
        <f>VLOOKUP($B120,[1]Message!$B:$C,2,FALSE)</f>
        <v>U2P_SUMDATA8</v>
      </c>
      <c r="F120" s="4">
        <f>VLOOKUP($E120,[1]Message!$C:$I,4,FALSE)</f>
        <v>8</v>
      </c>
      <c r="G120" s="4" t="str">
        <f>VLOOKUP($E120,[1]Message!$C:$I,5,FALSE)</f>
        <v>BMU</v>
      </c>
      <c r="H120" s="4" t="str">
        <f>VLOOKUP($E120,[1]Message!$C:$I,6,FALSE)</f>
        <v>Event</v>
      </c>
      <c r="I120" s="4">
        <f>VLOOKUP($E120,[1]Message!$C:$I,7,FALSE)</f>
        <v>0</v>
      </c>
      <c r="J120" s="4"/>
      <c r="K120" s="4" t="s">
        <v>439</v>
      </c>
      <c r="L120" s="4">
        <v>40</v>
      </c>
      <c r="M120" s="7">
        <v>8</v>
      </c>
      <c r="N120" s="4">
        <v>1</v>
      </c>
      <c r="O120" s="4">
        <v>0</v>
      </c>
      <c r="P120" s="4">
        <v>0</v>
      </c>
      <c r="Q120" s="4" t="s">
        <v>336</v>
      </c>
      <c r="R120" s="4">
        <f t="shared" si="2"/>
        <v>0</v>
      </c>
      <c r="S120" s="4">
        <v>100</v>
      </c>
      <c r="T120" s="4" t="s">
        <v>298</v>
      </c>
      <c r="U120" s="4" t="s">
        <v>979</v>
      </c>
      <c r="V120" s="4"/>
      <c r="W120" s="3" t="s">
        <v>849</v>
      </c>
      <c r="X120" s="3"/>
      <c r="Y120" s="3"/>
    </row>
    <row r="121" spans="1:25" s="31" customFormat="1">
      <c r="A121" s="3">
        <v>120</v>
      </c>
      <c r="B121" s="4" t="s">
        <v>428</v>
      </c>
      <c r="C121" s="4">
        <f>MATCH($E121,[1]Message!$C:$C,0)</f>
        <v>19</v>
      </c>
      <c r="D121" s="4" t="str">
        <f>VLOOKUP($E121,[1]Message!$C:$I,3,FALSE)</f>
        <v>0x0808EE41</v>
      </c>
      <c r="E121" s="4" t="str">
        <f>VLOOKUP($B121,[1]Message!$B:$C,2,FALSE)</f>
        <v>U2P_SUMDATA8</v>
      </c>
      <c r="F121" s="4">
        <f>VLOOKUP($E121,[1]Message!$C:$I,4,FALSE)</f>
        <v>8</v>
      </c>
      <c r="G121" s="4" t="str">
        <f>VLOOKUP($E121,[1]Message!$C:$I,5,FALSE)</f>
        <v>BMU</v>
      </c>
      <c r="H121" s="4" t="str">
        <f>VLOOKUP($E121,[1]Message!$C:$I,6,FALSE)</f>
        <v>Event</v>
      </c>
      <c r="I121" s="4">
        <f>VLOOKUP($E121,[1]Message!$C:$I,7,FALSE)</f>
        <v>0</v>
      </c>
      <c r="J121" s="4"/>
      <c r="K121" s="4" t="s">
        <v>440</v>
      </c>
      <c r="L121" s="4">
        <v>48</v>
      </c>
      <c r="M121" s="7">
        <v>8</v>
      </c>
      <c r="N121" s="4">
        <v>1</v>
      </c>
      <c r="O121" s="4">
        <v>-50</v>
      </c>
      <c r="P121" s="4">
        <v>0</v>
      </c>
      <c r="Q121" s="4" t="s">
        <v>925</v>
      </c>
      <c r="R121" s="4">
        <f t="shared" si="2"/>
        <v>-50</v>
      </c>
      <c r="S121" s="4">
        <f>(2^(M121)-1)*N121+O121</f>
        <v>205</v>
      </c>
      <c r="T121" s="4" t="s">
        <v>298</v>
      </c>
      <c r="U121" s="4" t="s">
        <v>926</v>
      </c>
      <c r="V121" s="4"/>
      <c r="W121" s="3" t="s">
        <v>895</v>
      </c>
      <c r="X121" s="3"/>
      <c r="Y121" s="3"/>
    </row>
    <row r="122" spans="1:25" s="31" customFormat="1">
      <c r="A122" s="3">
        <v>121</v>
      </c>
      <c r="B122" s="4" t="s">
        <v>428</v>
      </c>
      <c r="C122" s="4">
        <f>MATCH($E122,[1]Message!$C:$C,0)</f>
        <v>19</v>
      </c>
      <c r="D122" s="4" t="str">
        <f>VLOOKUP($E122,[1]Message!$C:$I,3,FALSE)</f>
        <v>0x0808EE41</v>
      </c>
      <c r="E122" s="4" t="str">
        <f>VLOOKUP($B122,[1]Message!$B:$C,2,FALSE)</f>
        <v>U2P_SUMDATA8</v>
      </c>
      <c r="F122" s="4">
        <f>VLOOKUP($E122,[1]Message!$C:$I,4,FALSE)</f>
        <v>8</v>
      </c>
      <c r="G122" s="4" t="str">
        <f>VLOOKUP($E122,[1]Message!$C:$I,5,FALSE)</f>
        <v>BMU</v>
      </c>
      <c r="H122" s="4" t="str">
        <f>VLOOKUP($E122,[1]Message!$C:$I,6,FALSE)</f>
        <v>Event</v>
      </c>
      <c r="I122" s="4">
        <f>VLOOKUP($E122,[1]Message!$C:$I,7,FALSE)</f>
        <v>0</v>
      </c>
      <c r="J122" s="4"/>
      <c r="K122" s="4" t="s">
        <v>441</v>
      </c>
      <c r="L122" s="4">
        <v>56</v>
      </c>
      <c r="M122" s="7">
        <v>8</v>
      </c>
      <c r="N122" s="4">
        <v>1</v>
      </c>
      <c r="O122" s="4">
        <v>-50</v>
      </c>
      <c r="P122" s="4">
        <v>0</v>
      </c>
      <c r="Q122" s="4" t="s">
        <v>927</v>
      </c>
      <c r="R122" s="4">
        <f t="shared" si="2"/>
        <v>-50</v>
      </c>
      <c r="S122" s="4">
        <f>(2^(M122)-1)*N122+O122</f>
        <v>205</v>
      </c>
      <c r="T122" s="4" t="s">
        <v>298</v>
      </c>
      <c r="U122" s="4" t="s">
        <v>928</v>
      </c>
      <c r="V122" s="4"/>
      <c r="W122" s="3" t="s">
        <v>929</v>
      </c>
      <c r="X122" s="3"/>
      <c r="Y122" s="3"/>
    </row>
    <row r="123" spans="1:25">
      <c r="A123" s="3">
        <v>122</v>
      </c>
      <c r="B123" s="4" t="s">
        <v>442</v>
      </c>
      <c r="C123" s="4">
        <f>MATCH($E123,[1]Message!$C:$C,0)</f>
        <v>20</v>
      </c>
      <c r="D123" s="4" t="str">
        <f>VLOOKUP($E123,[1]Message!$C:$I,3,FALSE)</f>
        <v>0x0809EE41</v>
      </c>
      <c r="E123" s="4" t="str">
        <f>VLOOKUP($B123,[1]Message!$B:$C,2,FALSE)</f>
        <v>U2P_SUMDATA9</v>
      </c>
      <c r="F123" s="4">
        <f>VLOOKUP($E123,[1]Message!$C:$I,4,FALSE)</f>
        <v>8</v>
      </c>
      <c r="G123" s="4" t="str">
        <f>VLOOKUP($E123,[1]Message!$C:$I,5,FALSE)</f>
        <v>BMU</v>
      </c>
      <c r="H123" s="4" t="str">
        <f>VLOOKUP($E123,[1]Message!$C:$I,6,FALSE)</f>
        <v>Event</v>
      </c>
      <c r="I123" s="4">
        <f>VLOOKUP($E123,[1]Message!$C:$I,7,FALSE)</f>
        <v>0</v>
      </c>
      <c r="J123" s="4"/>
      <c r="K123" s="4" t="s">
        <v>443</v>
      </c>
      <c r="L123" s="4">
        <v>0</v>
      </c>
      <c r="M123" s="4">
        <v>48</v>
      </c>
      <c r="N123" s="4">
        <v>1</v>
      </c>
      <c r="O123" s="4">
        <v>0</v>
      </c>
      <c r="P123" s="4">
        <v>0</v>
      </c>
      <c r="Q123" s="4"/>
      <c r="R123" s="4">
        <f t="shared" si="2"/>
        <v>0</v>
      </c>
      <c r="S123" s="4">
        <f>(2^(M123)-1)*N123+O123</f>
        <v>281474976710655</v>
      </c>
      <c r="T123" s="4" t="s">
        <v>298</v>
      </c>
      <c r="U123" s="4" t="s">
        <v>930</v>
      </c>
      <c r="V123" s="4"/>
      <c r="W123" s="3" t="s">
        <v>929</v>
      </c>
      <c r="X123" s="3"/>
      <c r="Y123" s="3"/>
    </row>
    <row r="124" spans="1:25">
      <c r="A124" s="3">
        <v>123</v>
      </c>
      <c r="B124" s="4" t="s">
        <v>442</v>
      </c>
      <c r="C124" s="4">
        <f>MATCH($E124,[1]Message!$C:$C,0)</f>
        <v>20</v>
      </c>
      <c r="D124" s="4" t="str">
        <f>VLOOKUP($E124,[1]Message!$C:$I,3,FALSE)</f>
        <v>0x0809EE41</v>
      </c>
      <c r="E124" s="4" t="str">
        <f>VLOOKUP($B124,[1]Message!$B:$C,2,FALSE)</f>
        <v>U2P_SUMDATA9</v>
      </c>
      <c r="F124" s="4">
        <f>VLOOKUP($E124,[1]Message!$C:$I,4,FALSE)</f>
        <v>8</v>
      </c>
      <c r="G124" s="4" t="str">
        <f>VLOOKUP($E124,[1]Message!$C:$I,5,FALSE)</f>
        <v>BMU</v>
      </c>
      <c r="H124" s="4" t="str">
        <f>VLOOKUP($E124,[1]Message!$C:$I,6,FALSE)</f>
        <v>Event</v>
      </c>
      <c r="I124" s="4">
        <f>VLOOKUP($E124,[1]Message!$C:$I,7,FALSE)</f>
        <v>0</v>
      </c>
      <c r="J124" s="4"/>
      <c r="K124" s="4" t="s">
        <v>444</v>
      </c>
      <c r="L124" s="4">
        <v>48</v>
      </c>
      <c r="M124" s="4">
        <v>8</v>
      </c>
      <c r="N124" s="4">
        <v>1</v>
      </c>
      <c r="O124" s="4">
        <v>0</v>
      </c>
      <c r="P124" s="4">
        <v>0</v>
      </c>
      <c r="Q124" s="4" t="s">
        <v>336</v>
      </c>
      <c r="R124" s="4">
        <f t="shared" si="2"/>
        <v>0</v>
      </c>
      <c r="S124" s="4">
        <v>100</v>
      </c>
      <c r="T124" s="4" t="s">
        <v>298</v>
      </c>
      <c r="U124" s="4" t="s">
        <v>445</v>
      </c>
      <c r="V124" s="4"/>
      <c r="W124" s="3" t="s">
        <v>849</v>
      </c>
      <c r="X124" s="3"/>
      <c r="Y124" s="3"/>
    </row>
    <row r="125" spans="1:25">
      <c r="A125" s="3">
        <v>124</v>
      </c>
      <c r="B125" s="4" t="s">
        <v>442</v>
      </c>
      <c r="C125" s="4">
        <f>MATCH($E125,[1]Message!$C:$C,0)</f>
        <v>20</v>
      </c>
      <c r="D125" s="4" t="str">
        <f>VLOOKUP($E125,[1]Message!$C:$I,3,FALSE)</f>
        <v>0x0809EE41</v>
      </c>
      <c r="E125" s="4" t="str">
        <f>VLOOKUP($B125,[1]Message!$B:$C,2,FALSE)</f>
        <v>U2P_SUMDATA9</v>
      </c>
      <c r="F125" s="4">
        <f>VLOOKUP($E125,[1]Message!$C:$I,4,FALSE)</f>
        <v>8</v>
      </c>
      <c r="G125" s="4" t="str">
        <f>VLOOKUP($E125,[1]Message!$C:$I,5,FALSE)</f>
        <v>BMU</v>
      </c>
      <c r="H125" s="4" t="str">
        <f>VLOOKUP($E125,[1]Message!$C:$I,6,FALSE)</f>
        <v>Event</v>
      </c>
      <c r="I125" s="4">
        <f>VLOOKUP($E125,[1]Message!$C:$I,7,FALSE)</f>
        <v>0</v>
      </c>
      <c r="J125" s="4"/>
      <c r="K125" s="4" t="s">
        <v>446</v>
      </c>
      <c r="L125" s="4">
        <v>56</v>
      </c>
      <c r="M125" s="4">
        <v>8</v>
      </c>
      <c r="N125" s="4">
        <v>0.2</v>
      </c>
      <c r="O125" s="4">
        <v>0</v>
      </c>
      <c r="P125" s="4">
        <v>0</v>
      </c>
      <c r="Q125" s="4" t="s">
        <v>329</v>
      </c>
      <c r="R125" s="4">
        <f t="shared" si="2"/>
        <v>0</v>
      </c>
      <c r="S125" s="4">
        <f t="shared" ref="S125:S139" si="6">(2^(M125)-1)*N125+O125</f>
        <v>51</v>
      </c>
      <c r="T125" s="4" t="s">
        <v>298</v>
      </c>
      <c r="U125" s="4" t="s">
        <v>980</v>
      </c>
      <c r="V125" s="4"/>
      <c r="W125" s="3" t="s">
        <v>849</v>
      </c>
      <c r="X125" s="3"/>
      <c r="Y125" s="3"/>
    </row>
    <row r="126" spans="1:25">
      <c r="A126" s="3">
        <v>125</v>
      </c>
      <c r="B126" s="4" t="s">
        <v>447</v>
      </c>
      <c r="C126" s="4">
        <f>MATCH($E126,[1]Message!$C:$C,0)</f>
        <v>21</v>
      </c>
      <c r="D126" s="4" t="str">
        <f>VLOOKUP($E126,[1]Message!$C:$I,3,FALSE)</f>
        <v>0x080AEE41</v>
      </c>
      <c r="E126" s="4" t="str">
        <f>VLOOKUP($B126,[1]Message!$B:$C,2,FALSE)</f>
        <v>U2P_SUMDATA10</v>
      </c>
      <c r="F126" s="4">
        <f>VLOOKUP($E126,[1]Message!$C:$I,4,FALSE)</f>
        <v>8</v>
      </c>
      <c r="G126" s="4" t="str">
        <f>VLOOKUP($E126,[1]Message!$C:$I,5,FALSE)</f>
        <v>BMU</v>
      </c>
      <c r="H126" s="4" t="str">
        <f>VLOOKUP($E126,[1]Message!$C:$I,6,FALSE)</f>
        <v>Event</v>
      </c>
      <c r="I126" s="4">
        <f>VLOOKUP($E126,[1]Message!$C:$I,7,FALSE)</f>
        <v>0</v>
      </c>
      <c r="J126" s="4"/>
      <c r="K126" s="4" t="s">
        <v>448</v>
      </c>
      <c r="L126" s="4">
        <v>0</v>
      </c>
      <c r="M126" s="4">
        <v>64</v>
      </c>
      <c r="N126" s="4">
        <v>1</v>
      </c>
      <c r="O126" s="4">
        <v>0</v>
      </c>
      <c r="P126" s="4">
        <v>0</v>
      </c>
      <c r="Q126" s="4"/>
      <c r="R126" s="4">
        <f t="shared" si="2"/>
        <v>0</v>
      </c>
      <c r="S126" s="4">
        <f t="shared" si="6"/>
        <v>1.8446744073709552E+19</v>
      </c>
      <c r="T126" s="4" t="s">
        <v>298</v>
      </c>
      <c r="U126" s="4" t="s">
        <v>981</v>
      </c>
      <c r="V126" s="4" t="s">
        <v>449</v>
      </c>
      <c r="W126" s="3" t="s">
        <v>849</v>
      </c>
      <c r="X126" s="3"/>
      <c r="Y126" s="3"/>
    </row>
    <row r="127" spans="1:25">
      <c r="A127" s="3">
        <v>126</v>
      </c>
      <c r="B127" s="4" t="s">
        <v>450</v>
      </c>
      <c r="C127" s="4">
        <f>MATCH($E127,[1]Message!$C:$C,0)</f>
        <v>22</v>
      </c>
      <c r="D127" s="4" t="str">
        <f>VLOOKUP($E127,[1]Message!$C:$I,3,FALSE)</f>
        <v>0x080BEE41</v>
      </c>
      <c r="E127" s="4" t="str">
        <f>VLOOKUP($B127,[1]Message!$B:$C,2,FALSE)</f>
        <v>U2P_SUMDATA11</v>
      </c>
      <c r="F127" s="4">
        <f>VLOOKUP($E127,[1]Message!$C:$I,4,FALSE)</f>
        <v>8</v>
      </c>
      <c r="G127" s="4" t="str">
        <f>VLOOKUP($E127,[1]Message!$C:$I,5,FALSE)</f>
        <v>BMU</v>
      </c>
      <c r="H127" s="4" t="str">
        <f>VLOOKUP($E127,[1]Message!$C:$I,6,FALSE)</f>
        <v>Event</v>
      </c>
      <c r="I127" s="4">
        <f>VLOOKUP($E127,[1]Message!$C:$I,7,FALSE)</f>
        <v>0</v>
      </c>
      <c r="J127" s="4"/>
      <c r="K127" s="4" t="s">
        <v>451</v>
      </c>
      <c r="L127" s="4">
        <v>0</v>
      </c>
      <c r="M127" s="4">
        <v>64</v>
      </c>
      <c r="N127" s="4">
        <v>1</v>
      </c>
      <c r="O127" s="4">
        <v>0</v>
      </c>
      <c r="P127" s="4">
        <v>0</v>
      </c>
      <c r="Q127" s="4"/>
      <c r="R127" s="4">
        <f t="shared" si="2"/>
        <v>0</v>
      </c>
      <c r="S127" s="4">
        <f t="shared" si="6"/>
        <v>1.8446744073709552E+19</v>
      </c>
      <c r="T127" s="4" t="s">
        <v>298</v>
      </c>
      <c r="U127" s="4" t="s">
        <v>982</v>
      </c>
      <c r="V127" s="4" t="s">
        <v>449</v>
      </c>
      <c r="W127" s="3" t="s">
        <v>849</v>
      </c>
      <c r="X127" s="3"/>
      <c r="Y127" s="3"/>
    </row>
    <row r="128" spans="1:25">
      <c r="A128" s="3">
        <v>127</v>
      </c>
      <c r="B128" s="4" t="s">
        <v>452</v>
      </c>
      <c r="C128" s="4">
        <f>MATCH($E128,[1]Message!$C:$C,0)</f>
        <v>23</v>
      </c>
      <c r="D128" s="4" t="str">
        <f>VLOOKUP($E128,[1]Message!$C:$I,3,FALSE)</f>
        <v>0x080CEE41</v>
      </c>
      <c r="E128" s="4" t="str">
        <f>VLOOKUP($B128,[1]Message!$B:$C,2,FALSE)</f>
        <v>U2P_SUMDATA12</v>
      </c>
      <c r="F128" s="4">
        <f>VLOOKUP($E128,[1]Message!$C:$I,4,FALSE)</f>
        <v>8</v>
      </c>
      <c r="G128" s="4" t="str">
        <f>VLOOKUP($E128,[1]Message!$C:$I,5,FALSE)</f>
        <v>BMU</v>
      </c>
      <c r="H128" s="4" t="str">
        <f>VLOOKUP($E128,[1]Message!$C:$I,6,FALSE)</f>
        <v>Event</v>
      </c>
      <c r="I128" s="4">
        <f>VLOOKUP($E128,[1]Message!$C:$I,7,FALSE)</f>
        <v>0</v>
      </c>
      <c r="J128" s="4"/>
      <c r="K128" s="4" t="s">
        <v>453</v>
      </c>
      <c r="L128" s="4">
        <v>0</v>
      </c>
      <c r="M128" s="4">
        <v>64</v>
      </c>
      <c r="N128" s="4">
        <v>1</v>
      </c>
      <c r="O128" s="4">
        <v>0</v>
      </c>
      <c r="P128" s="4">
        <v>0</v>
      </c>
      <c r="Q128" s="4"/>
      <c r="R128" s="4">
        <f t="shared" si="2"/>
        <v>0</v>
      </c>
      <c r="S128" s="4">
        <f t="shared" si="6"/>
        <v>1.8446744073709552E+19</v>
      </c>
      <c r="T128" s="4" t="s">
        <v>298</v>
      </c>
      <c r="U128" s="4" t="s">
        <v>983</v>
      </c>
      <c r="V128" s="4" t="s">
        <v>449</v>
      </c>
      <c r="W128" s="3" t="s">
        <v>849</v>
      </c>
      <c r="X128" s="3"/>
      <c r="Y128" s="3"/>
    </row>
    <row r="129" spans="1:25">
      <c r="A129" s="3">
        <v>128</v>
      </c>
      <c r="B129" s="4" t="s">
        <v>454</v>
      </c>
      <c r="C129" s="4">
        <f>MATCH($E129,[1]Message!$C:$C,0)</f>
        <v>24</v>
      </c>
      <c r="D129" s="4" t="str">
        <f>VLOOKUP($E129,[1]Message!$C:$I,3,FALSE)</f>
        <v>0x080DEE41</v>
      </c>
      <c r="E129" s="4" t="str">
        <f>VLOOKUP($B129,[1]Message!$B:$C,2,FALSE)</f>
        <v>U2P_SUMDATA13</v>
      </c>
      <c r="F129" s="4">
        <f>VLOOKUP($E129,[1]Message!$C:$I,4,FALSE)</f>
        <v>8</v>
      </c>
      <c r="G129" s="4" t="str">
        <f>VLOOKUP($E129,[1]Message!$C:$I,5,FALSE)</f>
        <v>BMU</v>
      </c>
      <c r="H129" s="4" t="str">
        <f>VLOOKUP($E129,[1]Message!$C:$I,6,FALSE)</f>
        <v>Event</v>
      </c>
      <c r="I129" s="4">
        <f>VLOOKUP($E129,[1]Message!$C:$I,7,FALSE)</f>
        <v>0</v>
      </c>
      <c r="J129" s="4"/>
      <c r="K129" s="4" t="s">
        <v>455</v>
      </c>
      <c r="L129" s="4">
        <v>0</v>
      </c>
      <c r="M129" s="4">
        <v>8</v>
      </c>
      <c r="N129" s="4">
        <v>0.1</v>
      </c>
      <c r="O129" s="4">
        <v>0</v>
      </c>
      <c r="P129" s="4">
        <v>0</v>
      </c>
      <c r="Q129" s="4" t="s">
        <v>336</v>
      </c>
      <c r="R129" s="4">
        <f t="shared" si="2"/>
        <v>0</v>
      </c>
      <c r="S129" s="4">
        <f t="shared" si="6"/>
        <v>25.5</v>
      </c>
      <c r="T129" s="4" t="s">
        <v>298</v>
      </c>
      <c r="U129" s="4" t="s">
        <v>456</v>
      </c>
      <c r="V129" s="4"/>
      <c r="W129" s="3" t="s">
        <v>849</v>
      </c>
      <c r="X129" s="3"/>
      <c r="Y129" s="3"/>
    </row>
    <row r="130" spans="1:25">
      <c r="A130" s="3">
        <v>129</v>
      </c>
      <c r="B130" s="4" t="s">
        <v>454</v>
      </c>
      <c r="C130" s="4">
        <f>MATCH($E130,[1]Message!$C:$C,0)</f>
        <v>24</v>
      </c>
      <c r="D130" s="4" t="str">
        <f>VLOOKUP($E130,[1]Message!$C:$I,3,FALSE)</f>
        <v>0x080DEE41</v>
      </c>
      <c r="E130" s="4" t="str">
        <f>VLOOKUP($B130,[1]Message!$B:$C,2,FALSE)</f>
        <v>U2P_SUMDATA13</v>
      </c>
      <c r="F130" s="4">
        <f>VLOOKUP($E130,[1]Message!$C:$I,4,FALSE)</f>
        <v>8</v>
      </c>
      <c r="G130" s="4" t="str">
        <f>VLOOKUP($E130,[1]Message!$C:$I,5,FALSE)</f>
        <v>BMU</v>
      </c>
      <c r="H130" s="4" t="str">
        <f>VLOOKUP($E130,[1]Message!$C:$I,6,FALSE)</f>
        <v>Event</v>
      </c>
      <c r="I130" s="4">
        <f>VLOOKUP($E130,[1]Message!$C:$I,7,FALSE)</f>
        <v>0</v>
      </c>
      <c r="J130" s="4"/>
      <c r="K130" s="4" t="s">
        <v>457</v>
      </c>
      <c r="L130" s="4">
        <v>8</v>
      </c>
      <c r="M130" s="4">
        <v>1</v>
      </c>
      <c r="N130" s="4">
        <v>1</v>
      </c>
      <c r="O130" s="4">
        <v>0</v>
      </c>
      <c r="P130" s="4"/>
      <c r="Q130" s="4"/>
      <c r="R130" s="4">
        <f t="shared" ref="R130:R136" si="7">0*N130+O130</f>
        <v>0</v>
      </c>
      <c r="S130" s="4">
        <f t="shared" si="6"/>
        <v>1</v>
      </c>
      <c r="T130" s="4" t="s">
        <v>298</v>
      </c>
      <c r="U130" s="4" t="s">
        <v>984</v>
      </c>
      <c r="V130" s="4" t="s">
        <v>458</v>
      </c>
      <c r="W130" s="3" t="s">
        <v>849</v>
      </c>
      <c r="X130" s="3"/>
      <c r="Y130" s="3"/>
    </row>
    <row r="131" spans="1:25">
      <c r="A131" s="3">
        <v>130</v>
      </c>
      <c r="B131" s="4" t="s">
        <v>454</v>
      </c>
      <c r="C131" s="4">
        <f>MATCH($E131,[1]Message!$C:$C,0)</f>
        <v>24</v>
      </c>
      <c r="D131" s="4" t="str">
        <f>VLOOKUP($E131,[1]Message!$C:$I,3,FALSE)</f>
        <v>0x080DEE41</v>
      </c>
      <c r="E131" s="4" t="str">
        <f>VLOOKUP($B131,[1]Message!$B:$C,2,FALSE)</f>
        <v>U2P_SUMDATA13</v>
      </c>
      <c r="F131" s="4">
        <f>VLOOKUP($E131,[1]Message!$C:$I,4,FALSE)</f>
        <v>8</v>
      </c>
      <c r="G131" s="4" t="str">
        <f>VLOOKUP($E131,[1]Message!$C:$I,5,FALSE)</f>
        <v>BMU</v>
      </c>
      <c r="H131" s="4" t="str">
        <f>VLOOKUP($E131,[1]Message!$C:$I,6,FALSE)</f>
        <v>Event</v>
      </c>
      <c r="I131" s="4">
        <f>VLOOKUP($E131,[1]Message!$C:$I,7,FALSE)</f>
        <v>0</v>
      </c>
      <c r="J131" s="4"/>
      <c r="K131" s="4" t="s">
        <v>459</v>
      </c>
      <c r="L131" s="4">
        <v>9</v>
      </c>
      <c r="M131" s="4">
        <v>1</v>
      </c>
      <c r="N131" s="4">
        <v>1</v>
      </c>
      <c r="O131" s="4">
        <v>0</v>
      </c>
      <c r="P131" s="4"/>
      <c r="Q131" s="4"/>
      <c r="R131" s="4">
        <f t="shared" si="7"/>
        <v>0</v>
      </c>
      <c r="S131" s="4">
        <f t="shared" si="6"/>
        <v>1</v>
      </c>
      <c r="T131" s="4" t="s">
        <v>298</v>
      </c>
      <c r="U131" s="4" t="s">
        <v>460</v>
      </c>
      <c r="V131" s="4" t="s">
        <v>985</v>
      </c>
      <c r="W131" s="3" t="s">
        <v>849</v>
      </c>
      <c r="X131" s="3"/>
      <c r="Y131" s="3"/>
    </row>
    <row r="132" spans="1:25">
      <c r="A132" s="3">
        <v>131</v>
      </c>
      <c r="B132" s="4" t="s">
        <v>454</v>
      </c>
      <c r="C132" s="4">
        <f>MATCH($E132,[1]Message!$C:$C,0)</f>
        <v>24</v>
      </c>
      <c r="D132" s="4" t="str">
        <f>VLOOKUP($E132,[1]Message!$C:$I,3,FALSE)</f>
        <v>0x080DEE41</v>
      </c>
      <c r="E132" s="4" t="str">
        <f>VLOOKUP($B132,[1]Message!$B:$C,2,FALSE)</f>
        <v>U2P_SUMDATA13</v>
      </c>
      <c r="F132" s="4">
        <f>VLOOKUP($E132,[1]Message!$C:$I,4,FALSE)</f>
        <v>8</v>
      </c>
      <c r="G132" s="4" t="str">
        <f>VLOOKUP($E132,[1]Message!$C:$I,5,FALSE)</f>
        <v>BMU</v>
      </c>
      <c r="H132" s="4" t="str">
        <f>VLOOKUP($E132,[1]Message!$C:$I,6,FALSE)</f>
        <v>Event</v>
      </c>
      <c r="I132" s="4">
        <f>VLOOKUP($E132,[1]Message!$C:$I,7,FALSE)</f>
        <v>0</v>
      </c>
      <c r="J132" s="4"/>
      <c r="K132" s="4" t="s">
        <v>461</v>
      </c>
      <c r="L132" s="4">
        <v>10</v>
      </c>
      <c r="M132" s="4">
        <v>1</v>
      </c>
      <c r="N132" s="4">
        <v>1</v>
      </c>
      <c r="O132" s="4">
        <v>0</v>
      </c>
      <c r="P132" s="4"/>
      <c r="Q132" s="4"/>
      <c r="R132" s="4">
        <f t="shared" si="7"/>
        <v>0</v>
      </c>
      <c r="S132" s="4">
        <f t="shared" si="6"/>
        <v>1</v>
      </c>
      <c r="T132" s="4" t="s">
        <v>298</v>
      </c>
      <c r="U132" s="4" t="s">
        <v>986</v>
      </c>
      <c r="V132" s="4" t="s">
        <v>987</v>
      </c>
      <c r="W132" s="3" t="s">
        <v>849</v>
      </c>
      <c r="X132" s="3"/>
      <c r="Y132" s="3"/>
    </row>
    <row r="133" spans="1:25">
      <c r="A133" s="3">
        <v>132</v>
      </c>
      <c r="B133" s="4" t="s">
        <v>454</v>
      </c>
      <c r="C133" s="4">
        <f>MATCH($E133,[1]Message!$C:$C,0)</f>
        <v>24</v>
      </c>
      <c r="D133" s="4" t="str">
        <f>VLOOKUP($E133,[1]Message!$C:$I,3,FALSE)</f>
        <v>0x080DEE41</v>
      </c>
      <c r="E133" s="4" t="str">
        <f>VLOOKUP($B133,[1]Message!$B:$C,2,FALSE)</f>
        <v>U2P_SUMDATA13</v>
      </c>
      <c r="F133" s="4">
        <f>VLOOKUP($E133,[1]Message!$C:$I,4,FALSE)</f>
        <v>8</v>
      </c>
      <c r="G133" s="4" t="str">
        <f>VLOOKUP($E133,[1]Message!$C:$I,5,FALSE)</f>
        <v>BMU</v>
      </c>
      <c r="H133" s="4" t="str">
        <f>VLOOKUP($E133,[1]Message!$C:$I,6,FALSE)</f>
        <v>Event</v>
      </c>
      <c r="I133" s="4">
        <f>VLOOKUP($E133,[1]Message!$C:$I,7,FALSE)</f>
        <v>0</v>
      </c>
      <c r="J133" s="4"/>
      <c r="K133" s="4" t="s">
        <v>325</v>
      </c>
      <c r="L133" s="4">
        <v>11</v>
      </c>
      <c r="M133" s="4">
        <v>9</v>
      </c>
      <c r="N133" s="4">
        <v>1</v>
      </c>
      <c r="O133" s="4">
        <v>0</v>
      </c>
      <c r="P133" s="4"/>
      <c r="Q133" s="4"/>
      <c r="R133" s="4">
        <f t="shared" si="7"/>
        <v>0</v>
      </c>
      <c r="S133" s="4">
        <f t="shared" si="6"/>
        <v>511</v>
      </c>
      <c r="T133" s="4" t="s">
        <v>298</v>
      </c>
      <c r="U133" s="4" t="s">
        <v>361</v>
      </c>
      <c r="V133" s="4"/>
      <c r="W133" s="3" t="s">
        <v>849</v>
      </c>
      <c r="X133" s="3"/>
      <c r="Y133" s="3"/>
    </row>
    <row r="134" spans="1:25">
      <c r="A134" s="3">
        <v>133</v>
      </c>
      <c r="B134" s="4" t="s">
        <v>454</v>
      </c>
      <c r="C134" s="4">
        <f>MATCH($E134,[1]Message!$C:$C,0)</f>
        <v>24</v>
      </c>
      <c r="D134" s="4" t="str">
        <f>VLOOKUP($E134,[1]Message!$C:$I,3,FALSE)</f>
        <v>0x080DEE41</v>
      </c>
      <c r="E134" s="4" t="str">
        <f>VLOOKUP($B134,[1]Message!$B:$C,2,FALSE)</f>
        <v>U2P_SUMDATA13</v>
      </c>
      <c r="F134" s="4">
        <f>VLOOKUP($E134,[1]Message!$C:$I,4,FALSE)</f>
        <v>8</v>
      </c>
      <c r="G134" s="4" t="str">
        <f>VLOOKUP($E134,[1]Message!$C:$I,5,FALSE)</f>
        <v>BMU</v>
      </c>
      <c r="H134" s="4" t="str">
        <f>VLOOKUP($E134,[1]Message!$C:$I,6,FALSE)</f>
        <v>Event</v>
      </c>
      <c r="I134" s="4">
        <f>VLOOKUP($E134,[1]Message!$C:$I,7,FALSE)</f>
        <v>0</v>
      </c>
      <c r="J134" s="4"/>
      <c r="K134" s="4" t="s">
        <v>462</v>
      </c>
      <c r="L134" s="4">
        <v>20</v>
      </c>
      <c r="M134" s="4">
        <v>1</v>
      </c>
      <c r="N134" s="4">
        <v>1</v>
      </c>
      <c r="O134" s="4">
        <v>0</v>
      </c>
      <c r="P134" s="4">
        <v>0</v>
      </c>
      <c r="Q134" s="4"/>
      <c r="R134" s="4">
        <f t="shared" si="7"/>
        <v>0</v>
      </c>
      <c r="S134" s="4">
        <f t="shared" si="6"/>
        <v>1</v>
      </c>
      <c r="T134" s="4" t="s">
        <v>298</v>
      </c>
      <c r="U134" s="4" t="s">
        <v>988</v>
      </c>
      <c r="V134" s="4" t="s">
        <v>989</v>
      </c>
      <c r="W134" s="3" t="s">
        <v>849</v>
      </c>
      <c r="X134" s="3"/>
      <c r="Y134" s="3"/>
    </row>
    <row r="135" spans="1:25">
      <c r="A135" s="3">
        <v>134</v>
      </c>
      <c r="B135" s="4" t="s">
        <v>454</v>
      </c>
      <c r="C135" s="4">
        <f>MATCH($E135,[1]Message!$C:$C,0)</f>
        <v>24</v>
      </c>
      <c r="D135" s="4" t="str">
        <f>VLOOKUP($E135,[1]Message!$C:$I,3,FALSE)</f>
        <v>0x080DEE41</v>
      </c>
      <c r="E135" s="4" t="str">
        <f>VLOOKUP($B135,[1]Message!$B:$C,2,FALSE)</f>
        <v>U2P_SUMDATA13</v>
      </c>
      <c r="F135" s="4">
        <f>VLOOKUP($E135,[1]Message!$C:$I,4,FALSE)</f>
        <v>8</v>
      </c>
      <c r="G135" s="4" t="str">
        <f>VLOOKUP($E135,[1]Message!$C:$I,5,FALSE)</f>
        <v>BMU</v>
      </c>
      <c r="H135" s="4" t="str">
        <f>VLOOKUP($E135,[1]Message!$C:$I,6,FALSE)</f>
        <v>Event</v>
      </c>
      <c r="I135" s="4">
        <f>VLOOKUP($E135,[1]Message!$C:$I,7,FALSE)</f>
        <v>0</v>
      </c>
      <c r="J135" s="4"/>
      <c r="K135" s="4" t="s">
        <v>463</v>
      </c>
      <c r="L135" s="4">
        <v>21</v>
      </c>
      <c r="M135" s="4">
        <v>1</v>
      </c>
      <c r="N135" s="4">
        <v>1</v>
      </c>
      <c r="O135" s="4">
        <v>0</v>
      </c>
      <c r="P135" s="4">
        <v>0</v>
      </c>
      <c r="Q135" s="4"/>
      <c r="R135" s="4">
        <f t="shared" si="7"/>
        <v>0</v>
      </c>
      <c r="S135" s="4">
        <f t="shared" si="6"/>
        <v>1</v>
      </c>
      <c r="T135" s="4" t="s">
        <v>298</v>
      </c>
      <c r="U135" s="4" t="s">
        <v>990</v>
      </c>
      <c r="V135" s="4" t="s">
        <v>989</v>
      </c>
      <c r="W135" s="3" t="s">
        <v>849</v>
      </c>
      <c r="X135" s="3"/>
      <c r="Y135" s="3"/>
    </row>
    <row r="136" spans="1:25">
      <c r="A136" s="3">
        <v>135</v>
      </c>
      <c r="B136" s="4" t="s">
        <v>454</v>
      </c>
      <c r="C136" s="4">
        <f>MATCH($E136,[1]Message!$C:$C,0)</f>
        <v>24</v>
      </c>
      <c r="D136" s="4" t="str">
        <f>VLOOKUP($E136,[1]Message!$C:$I,3,FALSE)</f>
        <v>0x080DEE41</v>
      </c>
      <c r="E136" s="4" t="str">
        <f>VLOOKUP($B136,[1]Message!$B:$C,2,FALSE)</f>
        <v>U2P_SUMDATA13</v>
      </c>
      <c r="F136" s="4">
        <f>VLOOKUP($E136,[1]Message!$C:$I,4,FALSE)</f>
        <v>8</v>
      </c>
      <c r="G136" s="4" t="str">
        <f>VLOOKUP($E136,[1]Message!$C:$I,5,FALSE)</f>
        <v>BMU</v>
      </c>
      <c r="H136" s="4" t="str">
        <f>VLOOKUP($E136,[1]Message!$C:$I,6,FALSE)</f>
        <v>Event</v>
      </c>
      <c r="I136" s="4">
        <f>VLOOKUP($E136,[1]Message!$C:$I,7,FALSE)</f>
        <v>0</v>
      </c>
      <c r="J136" s="4"/>
      <c r="K136" s="4" t="s">
        <v>464</v>
      </c>
      <c r="L136" s="4">
        <v>22</v>
      </c>
      <c r="M136" s="4">
        <v>1</v>
      </c>
      <c r="N136" s="4">
        <v>1</v>
      </c>
      <c r="O136" s="4">
        <v>0</v>
      </c>
      <c r="P136" s="4">
        <v>0</v>
      </c>
      <c r="Q136" s="4"/>
      <c r="R136" s="4">
        <f t="shared" si="7"/>
        <v>0</v>
      </c>
      <c r="S136" s="4">
        <f t="shared" si="6"/>
        <v>1</v>
      </c>
      <c r="T136" s="4" t="s">
        <v>298</v>
      </c>
      <c r="U136" s="4" t="s">
        <v>991</v>
      </c>
      <c r="V136" s="4"/>
      <c r="W136" s="3" t="s">
        <v>849</v>
      </c>
      <c r="X136" s="3"/>
      <c r="Y136" s="3"/>
    </row>
    <row r="137" spans="1:25">
      <c r="A137" s="3">
        <v>136</v>
      </c>
      <c r="B137" s="4" t="s">
        <v>454</v>
      </c>
      <c r="C137" s="4">
        <f>MATCH($E137,[1]Message!$C:$C,0)</f>
        <v>24</v>
      </c>
      <c r="D137" s="4" t="str">
        <f>VLOOKUP($E137,[1]Message!$C:$I,3,FALSE)</f>
        <v>0x080DEE41</v>
      </c>
      <c r="E137" s="4" t="str">
        <f>VLOOKUP($B137,[1]Message!$B:$C,2,FALSE)</f>
        <v>U2P_SUMDATA13</v>
      </c>
      <c r="F137" s="4">
        <f>VLOOKUP($E137,[1]Message!$C:$I,4,FALSE)</f>
        <v>8</v>
      </c>
      <c r="G137" s="4" t="str">
        <f>VLOOKUP($E137,[1]Message!$C:$I,5,FALSE)</f>
        <v>BMU</v>
      </c>
      <c r="H137" s="4" t="str">
        <f>VLOOKUP($E137,[1]Message!$C:$I,6,FALSE)</f>
        <v>Event</v>
      </c>
      <c r="I137" s="4">
        <f>VLOOKUP($E137,[1]Message!$C:$I,7,FALSE)</f>
        <v>0</v>
      </c>
      <c r="J137" s="4"/>
      <c r="K137" s="4" t="s">
        <v>465</v>
      </c>
      <c r="L137" s="4">
        <v>23</v>
      </c>
      <c r="M137" s="4">
        <v>8</v>
      </c>
      <c r="N137" s="4">
        <v>1</v>
      </c>
      <c r="O137" s="4">
        <v>0</v>
      </c>
      <c r="P137" s="4">
        <v>0</v>
      </c>
      <c r="Q137" s="4"/>
      <c r="R137" s="4">
        <v>1</v>
      </c>
      <c r="S137" s="4">
        <f t="shared" si="6"/>
        <v>255</v>
      </c>
      <c r="T137" s="4" t="s">
        <v>298</v>
      </c>
      <c r="U137" s="4" t="s">
        <v>466</v>
      </c>
      <c r="V137" s="4"/>
      <c r="W137" s="3" t="s">
        <v>849</v>
      </c>
      <c r="X137" s="3"/>
      <c r="Y137" s="3"/>
    </row>
    <row r="138" spans="1:25">
      <c r="A138" s="3">
        <v>137</v>
      </c>
      <c r="B138" s="4" t="s">
        <v>454</v>
      </c>
      <c r="C138" s="4">
        <f>MATCH($E138,[1]Message!$C:$C,0)</f>
        <v>24</v>
      </c>
      <c r="D138" s="4" t="str">
        <f>VLOOKUP($E138,[1]Message!$C:$I,3,FALSE)</f>
        <v>0x080DEE41</v>
      </c>
      <c r="E138" s="4" t="str">
        <f>VLOOKUP($B138,[1]Message!$B:$C,2,FALSE)</f>
        <v>U2P_SUMDATA13</v>
      </c>
      <c r="F138" s="4">
        <f>VLOOKUP($E138,[1]Message!$C:$I,4,FALSE)</f>
        <v>8</v>
      </c>
      <c r="G138" s="4" t="str">
        <f>VLOOKUP($E138,[1]Message!$C:$I,5,FALSE)</f>
        <v>BMU</v>
      </c>
      <c r="H138" s="4" t="str">
        <f>VLOOKUP($E138,[1]Message!$C:$I,6,FALSE)</f>
        <v>Event</v>
      </c>
      <c r="I138" s="4">
        <f>VLOOKUP($E138,[1]Message!$C:$I,7,FALSE)</f>
        <v>0</v>
      </c>
      <c r="J138" s="4"/>
      <c r="K138" s="4" t="s">
        <v>467</v>
      </c>
      <c r="L138" s="4">
        <v>31</v>
      </c>
      <c r="M138" s="4">
        <v>8</v>
      </c>
      <c r="N138" s="4">
        <v>1</v>
      </c>
      <c r="O138" s="4">
        <v>0</v>
      </c>
      <c r="P138" s="4">
        <v>0</v>
      </c>
      <c r="Q138" s="4"/>
      <c r="R138" s="4">
        <v>1</v>
      </c>
      <c r="S138" s="4">
        <f t="shared" si="6"/>
        <v>255</v>
      </c>
      <c r="T138" s="4" t="s">
        <v>298</v>
      </c>
      <c r="U138" s="4" t="s">
        <v>468</v>
      </c>
      <c r="V138" s="4"/>
      <c r="W138" s="3" t="s">
        <v>849</v>
      </c>
      <c r="X138" s="3"/>
      <c r="Y138" s="3"/>
    </row>
    <row r="139" spans="1:25">
      <c r="A139" s="3">
        <v>138</v>
      </c>
      <c r="B139" s="4" t="s">
        <v>454</v>
      </c>
      <c r="C139" s="4">
        <f>MATCH($E139,[1]Message!$C:$C,0)</f>
        <v>24</v>
      </c>
      <c r="D139" s="4" t="str">
        <f>VLOOKUP($E139,[1]Message!$C:$I,3,FALSE)</f>
        <v>0x080DEE41</v>
      </c>
      <c r="E139" s="4" t="str">
        <f>VLOOKUP($B139,[1]Message!$B:$C,2,FALSE)</f>
        <v>U2P_SUMDATA13</v>
      </c>
      <c r="F139" s="4">
        <f>VLOOKUP($E139,[1]Message!$C:$I,4,FALSE)</f>
        <v>8</v>
      </c>
      <c r="G139" s="4" t="str">
        <f>VLOOKUP($E139,[1]Message!$C:$I,5,FALSE)</f>
        <v>BMU</v>
      </c>
      <c r="H139" s="4" t="str">
        <f>VLOOKUP($E139,[1]Message!$C:$I,6,FALSE)</f>
        <v>Event</v>
      </c>
      <c r="I139" s="4">
        <f>VLOOKUP($E139,[1]Message!$C:$I,7,FALSE)</f>
        <v>0</v>
      </c>
      <c r="J139" s="4"/>
      <c r="K139" s="4" t="s">
        <v>469</v>
      </c>
      <c r="L139" s="4">
        <v>39</v>
      </c>
      <c r="M139" s="8">
        <v>8</v>
      </c>
      <c r="N139" s="4">
        <v>1</v>
      </c>
      <c r="O139" s="4">
        <v>0</v>
      </c>
      <c r="P139" s="4">
        <v>0</v>
      </c>
      <c r="Q139" s="4"/>
      <c r="R139" s="4">
        <v>1</v>
      </c>
      <c r="S139" s="4">
        <f t="shared" si="6"/>
        <v>255</v>
      </c>
      <c r="T139" s="4" t="s">
        <v>298</v>
      </c>
      <c r="U139" s="4" t="s">
        <v>470</v>
      </c>
      <c r="V139" s="4"/>
      <c r="W139" s="3" t="s">
        <v>849</v>
      </c>
      <c r="X139" s="3"/>
      <c r="Y139" s="3"/>
    </row>
    <row r="140" spans="1:25" s="31" customFormat="1">
      <c r="A140" s="3">
        <v>139</v>
      </c>
      <c r="B140" s="4" t="s">
        <v>454</v>
      </c>
      <c r="C140" s="4">
        <f>MATCH($E140,[1]Message!$C:$C,0)</f>
        <v>24</v>
      </c>
      <c r="D140" s="4" t="str">
        <f>VLOOKUP($E140,[1]Message!$C:$I,3,FALSE)</f>
        <v>0x080DEE41</v>
      </c>
      <c r="E140" s="4" t="str">
        <f>VLOOKUP($B140,[1]Message!$B:$C,2,FALSE)</f>
        <v>U2P_SUMDATA13</v>
      </c>
      <c r="F140" s="4">
        <f>VLOOKUP($E140,[1]Message!$C:$I,4,FALSE)</f>
        <v>8</v>
      </c>
      <c r="G140" s="4" t="str">
        <f>VLOOKUP($E140,[1]Message!$C:$I,5,FALSE)</f>
        <v>BMU</v>
      </c>
      <c r="H140" s="4" t="str">
        <f>VLOOKUP($E140,[1]Message!$C:$I,6,FALSE)</f>
        <v>Event</v>
      </c>
      <c r="I140" s="4">
        <f>VLOOKUP($E140,[1]Message!$C:$I,7,FALSE)</f>
        <v>0</v>
      </c>
      <c r="J140" s="4"/>
      <c r="K140" s="4" t="s">
        <v>471</v>
      </c>
      <c r="L140" s="4">
        <v>47</v>
      </c>
      <c r="M140" s="4">
        <v>8</v>
      </c>
      <c r="N140" s="4">
        <v>0.2</v>
      </c>
      <c r="O140" s="4">
        <v>0</v>
      </c>
      <c r="P140" s="4">
        <v>0</v>
      </c>
      <c r="Q140" s="4"/>
      <c r="R140" s="4">
        <v>1</v>
      </c>
      <c r="S140" s="4">
        <v>50</v>
      </c>
      <c r="T140" s="4" t="s">
        <v>298</v>
      </c>
      <c r="U140" s="4" t="s">
        <v>931</v>
      </c>
      <c r="V140" s="4" t="s">
        <v>410</v>
      </c>
      <c r="W140" s="3" t="s">
        <v>905</v>
      </c>
      <c r="X140" s="3"/>
      <c r="Y140" s="3"/>
    </row>
    <row r="141" spans="1:25" s="31" customFormat="1">
      <c r="A141" s="3">
        <v>140</v>
      </c>
      <c r="B141" s="4" t="s">
        <v>454</v>
      </c>
      <c r="C141" s="4">
        <f>MATCH($E141,[1]Message!$C:$C,0)</f>
        <v>24</v>
      </c>
      <c r="D141" s="4" t="str">
        <f>VLOOKUP($E141,[1]Message!$C:$I,3,FALSE)</f>
        <v>0x080DEE41</v>
      </c>
      <c r="E141" s="4" t="str">
        <f>VLOOKUP($B141,[1]Message!$B:$C,2,FALSE)</f>
        <v>U2P_SUMDATA13</v>
      </c>
      <c r="F141" s="4">
        <f>VLOOKUP($E141,[1]Message!$C:$I,4,FALSE)</f>
        <v>8</v>
      </c>
      <c r="G141" s="4" t="str">
        <f>VLOOKUP($E141,[1]Message!$C:$I,5,FALSE)</f>
        <v>BMU</v>
      </c>
      <c r="H141" s="4" t="str">
        <f>VLOOKUP($E141,[1]Message!$C:$I,6,FALSE)</f>
        <v>Event</v>
      </c>
      <c r="I141" s="4">
        <f>VLOOKUP($E141,[1]Message!$C:$I,7,FALSE)</f>
        <v>0</v>
      </c>
      <c r="J141" s="4"/>
      <c r="K141" s="4" t="s">
        <v>472</v>
      </c>
      <c r="L141" s="4">
        <v>55</v>
      </c>
      <c r="M141" s="4">
        <v>8</v>
      </c>
      <c r="N141" s="4">
        <v>0.2</v>
      </c>
      <c r="O141" s="4">
        <v>0</v>
      </c>
      <c r="P141" s="4">
        <v>0</v>
      </c>
      <c r="Q141" s="4"/>
      <c r="R141" s="4">
        <v>1</v>
      </c>
      <c r="S141" s="4">
        <v>50</v>
      </c>
      <c r="T141" s="4" t="s">
        <v>298</v>
      </c>
      <c r="U141" s="4" t="s">
        <v>856</v>
      </c>
      <c r="V141" s="4" t="s">
        <v>410</v>
      </c>
      <c r="W141" s="3" t="s">
        <v>905</v>
      </c>
      <c r="X141" s="3"/>
      <c r="Y141" s="3"/>
    </row>
    <row r="142" spans="1:25">
      <c r="A142" s="3">
        <v>141</v>
      </c>
      <c r="B142" s="4" t="s">
        <v>473</v>
      </c>
      <c r="C142" s="4">
        <f>MATCH($E142,[1]Message!$C:$C,0)</f>
        <v>25</v>
      </c>
      <c r="D142" s="4" t="str">
        <f>VLOOKUP($E142,[1]Message!$C:$I,3,FALSE)</f>
        <v>0x080EEE41</v>
      </c>
      <c r="E142" s="4" t="str">
        <f>VLOOKUP($B142,[1]Message!$B:$C,2,FALSE)</f>
        <v>U2P_SUMDATA14</v>
      </c>
      <c r="F142" s="4">
        <f>VLOOKUP($E142,[1]Message!$C:$I,4,FALSE)</f>
        <v>8</v>
      </c>
      <c r="G142" s="4" t="str">
        <f>VLOOKUP($E142,[1]Message!$C:$I,5,FALSE)</f>
        <v>BMU</v>
      </c>
      <c r="H142" s="4" t="str">
        <f>VLOOKUP($E142,[1]Message!$C:$I,6,FALSE)</f>
        <v>Event</v>
      </c>
      <c r="I142" s="4">
        <f>VLOOKUP($E142,[1]Message!$C:$I,7,FALSE)</f>
        <v>0</v>
      </c>
      <c r="J142" s="4"/>
      <c r="K142" s="4" t="s">
        <v>474</v>
      </c>
      <c r="L142" s="4">
        <v>0</v>
      </c>
      <c r="M142" s="4">
        <v>3</v>
      </c>
      <c r="N142" s="4">
        <v>1</v>
      </c>
      <c r="O142" s="4">
        <v>0</v>
      </c>
      <c r="P142" s="4">
        <v>0</v>
      </c>
      <c r="Q142" s="4"/>
      <c r="R142" s="4">
        <f t="shared" ref="R142:R153" si="8">0*N142+O142</f>
        <v>0</v>
      </c>
      <c r="S142" s="4">
        <f t="shared" ref="S142:S159" si="9">(2^(M142)-1)*N142+O142</f>
        <v>7</v>
      </c>
      <c r="T142" s="4" t="s">
        <v>298</v>
      </c>
      <c r="U142" s="4" t="s">
        <v>992</v>
      </c>
      <c r="V142" s="4" t="s">
        <v>993</v>
      </c>
      <c r="W142" s="3" t="s">
        <v>849</v>
      </c>
      <c r="X142" s="3"/>
      <c r="Y142" s="3"/>
    </row>
    <row r="143" spans="1:25">
      <c r="A143" s="3">
        <v>142</v>
      </c>
      <c r="B143" s="4" t="s">
        <v>473</v>
      </c>
      <c r="C143" s="4">
        <f>MATCH($E143,[1]Message!$C:$C,0)</f>
        <v>25</v>
      </c>
      <c r="D143" s="4" t="str">
        <f>VLOOKUP($E143,[1]Message!$C:$I,3,FALSE)</f>
        <v>0x080EEE41</v>
      </c>
      <c r="E143" s="4" t="str">
        <f>VLOOKUP($B143,[1]Message!$B:$C,2,FALSE)</f>
        <v>U2P_SUMDATA14</v>
      </c>
      <c r="F143" s="4">
        <f>VLOOKUP($E143,[1]Message!$C:$I,4,FALSE)</f>
        <v>8</v>
      </c>
      <c r="G143" s="4" t="str">
        <f>VLOOKUP($E143,[1]Message!$C:$I,5,FALSE)</f>
        <v>BMU</v>
      </c>
      <c r="H143" s="4" t="str">
        <f>VLOOKUP($E143,[1]Message!$C:$I,6,FALSE)</f>
        <v>Event</v>
      </c>
      <c r="I143" s="4">
        <f>VLOOKUP($E143,[1]Message!$C:$I,7,FALSE)</f>
        <v>0</v>
      </c>
      <c r="J143" s="4"/>
      <c r="K143" s="4" t="s">
        <v>475</v>
      </c>
      <c r="L143" s="4">
        <v>3</v>
      </c>
      <c r="M143" s="4">
        <v>5</v>
      </c>
      <c r="N143" s="4">
        <v>1</v>
      </c>
      <c r="O143" s="4">
        <v>0</v>
      </c>
      <c r="P143" s="4">
        <v>0</v>
      </c>
      <c r="Q143" s="4"/>
      <c r="R143" s="4">
        <f t="shared" si="8"/>
        <v>0</v>
      </c>
      <c r="S143" s="4">
        <f t="shared" si="9"/>
        <v>31</v>
      </c>
      <c r="T143" s="4" t="s">
        <v>298</v>
      </c>
      <c r="U143" s="4" t="s">
        <v>476</v>
      </c>
      <c r="V143" s="4" t="s">
        <v>994</v>
      </c>
      <c r="W143" s="3" t="s">
        <v>849</v>
      </c>
      <c r="X143" s="3"/>
      <c r="Y143" s="3"/>
    </row>
    <row r="144" spans="1:25">
      <c r="A144" s="3">
        <v>143</v>
      </c>
      <c r="B144" s="4" t="s">
        <v>473</v>
      </c>
      <c r="C144" s="4">
        <f>MATCH($E144,[1]Message!$C:$C,0)</f>
        <v>25</v>
      </c>
      <c r="D144" s="4" t="str">
        <f>VLOOKUP($E144,[1]Message!$C:$I,3,FALSE)</f>
        <v>0x080EEE41</v>
      </c>
      <c r="E144" s="4" t="str">
        <f>VLOOKUP($B144,[1]Message!$B:$C,2,FALSE)</f>
        <v>U2P_SUMDATA14</v>
      </c>
      <c r="F144" s="4">
        <f>VLOOKUP($E144,[1]Message!$C:$I,4,FALSE)</f>
        <v>8</v>
      </c>
      <c r="G144" s="4" t="str">
        <f>VLOOKUP($E144,[1]Message!$C:$I,5,FALSE)</f>
        <v>BMU</v>
      </c>
      <c r="H144" s="4" t="str">
        <f>VLOOKUP($E144,[1]Message!$C:$I,6,FALSE)</f>
        <v>Event</v>
      </c>
      <c r="I144" s="4">
        <f>VLOOKUP($E144,[1]Message!$C:$I,7,FALSE)</f>
        <v>0</v>
      </c>
      <c r="J144" s="4"/>
      <c r="K144" s="4" t="s">
        <v>477</v>
      </c>
      <c r="L144" s="4">
        <v>8</v>
      </c>
      <c r="M144" s="4">
        <v>2</v>
      </c>
      <c r="N144" s="4">
        <v>1</v>
      </c>
      <c r="O144" s="4">
        <v>0</v>
      </c>
      <c r="P144" s="4">
        <v>0</v>
      </c>
      <c r="Q144" s="4"/>
      <c r="R144" s="4">
        <f t="shared" si="8"/>
        <v>0</v>
      </c>
      <c r="S144" s="4">
        <f t="shared" si="9"/>
        <v>3</v>
      </c>
      <c r="T144" s="4" t="s">
        <v>298</v>
      </c>
      <c r="U144" s="4" t="s">
        <v>995</v>
      </c>
      <c r="V144" s="4" t="s">
        <v>996</v>
      </c>
      <c r="W144" s="3" t="s">
        <v>849</v>
      </c>
      <c r="X144" s="3"/>
      <c r="Y144" s="3"/>
    </row>
    <row r="145" spans="1:25">
      <c r="A145" s="3">
        <v>144</v>
      </c>
      <c r="B145" s="4" t="s">
        <v>473</v>
      </c>
      <c r="C145" s="4">
        <f>MATCH($E145,[1]Message!$C:$C,0)</f>
        <v>25</v>
      </c>
      <c r="D145" s="4" t="str">
        <f>VLOOKUP($E145,[1]Message!$C:$I,3,FALSE)</f>
        <v>0x080EEE41</v>
      </c>
      <c r="E145" s="4" t="str">
        <f>VLOOKUP($B145,[1]Message!$B:$C,2,FALSE)</f>
        <v>U2P_SUMDATA14</v>
      </c>
      <c r="F145" s="4">
        <f>VLOOKUP($E145,[1]Message!$C:$I,4,FALSE)</f>
        <v>8</v>
      </c>
      <c r="G145" s="4" t="str">
        <f>VLOOKUP($E145,[1]Message!$C:$I,5,FALSE)</f>
        <v>BMU</v>
      </c>
      <c r="H145" s="4" t="str">
        <f>VLOOKUP($E145,[1]Message!$C:$I,6,FALSE)</f>
        <v>Event</v>
      </c>
      <c r="I145" s="4">
        <f>VLOOKUP($E145,[1]Message!$C:$I,7,FALSE)</f>
        <v>0</v>
      </c>
      <c r="J145" s="4"/>
      <c r="K145" s="4" t="s">
        <v>478</v>
      </c>
      <c r="L145" s="4">
        <v>10</v>
      </c>
      <c r="M145" s="4">
        <v>16</v>
      </c>
      <c r="N145" s="4">
        <v>0.1</v>
      </c>
      <c r="O145" s="4">
        <v>0</v>
      </c>
      <c r="P145" s="4">
        <v>0</v>
      </c>
      <c r="Q145" s="4"/>
      <c r="R145" s="4">
        <f t="shared" si="8"/>
        <v>0</v>
      </c>
      <c r="S145" s="4">
        <f t="shared" si="9"/>
        <v>6553.5</v>
      </c>
      <c r="T145" s="4" t="s">
        <v>298</v>
      </c>
      <c r="U145" s="4" t="s">
        <v>479</v>
      </c>
      <c r="V145" s="4"/>
      <c r="W145" s="3" t="s">
        <v>849</v>
      </c>
      <c r="X145" s="3"/>
      <c r="Y145" s="3"/>
    </row>
    <row r="146" spans="1:25">
      <c r="A146" s="3">
        <v>145</v>
      </c>
      <c r="B146" s="4" t="s">
        <v>473</v>
      </c>
      <c r="C146" s="4">
        <f>MATCH($E146,[1]Message!$C:$C,0)</f>
        <v>25</v>
      </c>
      <c r="D146" s="4" t="str">
        <f>VLOOKUP($E146,[1]Message!$C:$I,3,FALSE)</f>
        <v>0x080EEE41</v>
      </c>
      <c r="E146" s="4" t="str">
        <f>VLOOKUP($B146,[1]Message!$B:$C,2,FALSE)</f>
        <v>U2P_SUMDATA14</v>
      </c>
      <c r="F146" s="4">
        <f>VLOOKUP($E146,[1]Message!$C:$I,4,FALSE)</f>
        <v>8</v>
      </c>
      <c r="G146" s="4" t="str">
        <f>VLOOKUP($E146,[1]Message!$C:$I,5,FALSE)</f>
        <v>BMU</v>
      </c>
      <c r="H146" s="4" t="str">
        <f>VLOOKUP($E146,[1]Message!$C:$I,6,FALSE)</f>
        <v>Event</v>
      </c>
      <c r="I146" s="4">
        <f>VLOOKUP($E146,[1]Message!$C:$I,7,FALSE)</f>
        <v>0</v>
      </c>
      <c r="J146" s="4"/>
      <c r="K146" s="4" t="s">
        <v>480</v>
      </c>
      <c r="L146" s="4">
        <v>26</v>
      </c>
      <c r="M146" s="4">
        <v>16</v>
      </c>
      <c r="N146" s="4">
        <v>0.1</v>
      </c>
      <c r="O146" s="4">
        <v>-400</v>
      </c>
      <c r="P146" s="4">
        <v>0</v>
      </c>
      <c r="Q146" s="4" t="s">
        <v>334</v>
      </c>
      <c r="R146" s="4">
        <f t="shared" si="8"/>
        <v>-400</v>
      </c>
      <c r="S146" s="4">
        <f t="shared" si="9"/>
        <v>6153.5</v>
      </c>
      <c r="T146" s="4" t="s">
        <v>298</v>
      </c>
      <c r="U146" s="4" t="s">
        <v>997</v>
      </c>
      <c r="V146" s="4"/>
      <c r="W146" s="3" t="s">
        <v>849</v>
      </c>
      <c r="X146" s="3"/>
      <c r="Y146" s="3"/>
    </row>
    <row r="147" spans="1:25">
      <c r="A147" s="3">
        <v>146</v>
      </c>
      <c r="B147" s="4" t="s">
        <v>473</v>
      </c>
      <c r="C147" s="4">
        <f>MATCH($E147,[1]Message!$C:$C,0)</f>
        <v>25</v>
      </c>
      <c r="D147" s="4" t="str">
        <f>VLOOKUP($E147,[1]Message!$C:$I,3,FALSE)</f>
        <v>0x080EEE41</v>
      </c>
      <c r="E147" s="4" t="str">
        <f>VLOOKUP($B147,[1]Message!$B:$C,2,FALSE)</f>
        <v>U2P_SUMDATA14</v>
      </c>
      <c r="F147" s="4">
        <f>VLOOKUP($E147,[1]Message!$C:$I,4,FALSE)</f>
        <v>8</v>
      </c>
      <c r="G147" s="4" t="str">
        <f>VLOOKUP($E147,[1]Message!$C:$I,5,FALSE)</f>
        <v>BMU</v>
      </c>
      <c r="H147" s="4" t="str">
        <f>VLOOKUP($E147,[1]Message!$C:$I,6,FALSE)</f>
        <v>Event</v>
      </c>
      <c r="I147" s="4">
        <f>VLOOKUP($E147,[1]Message!$C:$I,7,FALSE)</f>
        <v>0</v>
      </c>
      <c r="J147" s="4"/>
      <c r="K147" s="4" t="s">
        <v>481</v>
      </c>
      <c r="L147" s="4">
        <v>42</v>
      </c>
      <c r="M147" s="4">
        <v>16</v>
      </c>
      <c r="N147" s="4">
        <v>0.1</v>
      </c>
      <c r="O147" s="4">
        <v>0</v>
      </c>
      <c r="P147" s="4">
        <v>0</v>
      </c>
      <c r="Q147" s="4" t="s">
        <v>329</v>
      </c>
      <c r="R147" s="4">
        <f t="shared" si="8"/>
        <v>0</v>
      </c>
      <c r="S147" s="4">
        <f t="shared" si="9"/>
        <v>6553.5</v>
      </c>
      <c r="T147" s="4" t="s">
        <v>298</v>
      </c>
      <c r="U147" s="4" t="s">
        <v>482</v>
      </c>
      <c r="V147" s="4"/>
      <c r="W147" s="3" t="s">
        <v>849</v>
      </c>
      <c r="X147" s="3"/>
      <c r="Y147" s="3"/>
    </row>
    <row r="148" spans="1:25">
      <c r="A148" s="3">
        <v>147</v>
      </c>
      <c r="B148" s="4" t="s">
        <v>483</v>
      </c>
      <c r="C148" s="4">
        <f>MATCH($E148,[1]Message!$C:$C,0)</f>
        <v>26</v>
      </c>
      <c r="D148" s="4" t="str">
        <f>VLOOKUP($E148,[1]Message!$C:$I,3,FALSE)</f>
        <v>0x080FEE41</v>
      </c>
      <c r="E148" s="4" t="str">
        <f>VLOOKUP($B148,[1]Message!$B:$C,2,FALSE)</f>
        <v>U2P_SUMDATA15</v>
      </c>
      <c r="F148" s="4">
        <f>VLOOKUP($E148,[1]Message!$C:$I,4,FALSE)</f>
        <v>8</v>
      </c>
      <c r="G148" s="4" t="str">
        <f>VLOOKUP($E148,[1]Message!$C:$I,5,FALSE)</f>
        <v>BMU</v>
      </c>
      <c r="H148" s="4" t="str">
        <f>VLOOKUP($E148,[1]Message!$C:$I,6,FALSE)</f>
        <v>Event</v>
      </c>
      <c r="I148" s="4">
        <f>VLOOKUP($E148,[1]Message!$C:$I,7,FALSE)</f>
        <v>0</v>
      </c>
      <c r="J148" s="4"/>
      <c r="K148" s="4" t="s">
        <v>484</v>
      </c>
      <c r="L148" s="4">
        <v>0</v>
      </c>
      <c r="M148" s="4">
        <v>16</v>
      </c>
      <c r="N148" s="4">
        <v>0.1</v>
      </c>
      <c r="O148" s="4">
        <v>0</v>
      </c>
      <c r="P148" s="4">
        <v>0</v>
      </c>
      <c r="Q148" s="4" t="s">
        <v>334</v>
      </c>
      <c r="R148" s="4">
        <f t="shared" si="8"/>
        <v>0</v>
      </c>
      <c r="S148" s="4">
        <f t="shared" si="9"/>
        <v>6553.5</v>
      </c>
      <c r="T148" s="4" t="s">
        <v>298</v>
      </c>
      <c r="U148" s="4" t="s">
        <v>485</v>
      </c>
      <c r="V148" s="4"/>
      <c r="W148" s="3" t="s">
        <v>849</v>
      </c>
      <c r="X148" s="3"/>
      <c r="Y148" s="3"/>
    </row>
    <row r="149" spans="1:25">
      <c r="A149" s="3">
        <v>148</v>
      </c>
      <c r="B149" s="4" t="s">
        <v>483</v>
      </c>
      <c r="C149" s="4">
        <f>MATCH($E149,[1]Message!$C:$C,0)</f>
        <v>26</v>
      </c>
      <c r="D149" s="4" t="str">
        <f>VLOOKUP($E149,[1]Message!$C:$I,3,FALSE)</f>
        <v>0x080FEE41</v>
      </c>
      <c r="E149" s="4" t="str">
        <f>VLOOKUP($B149,[1]Message!$B:$C,2,FALSE)</f>
        <v>U2P_SUMDATA15</v>
      </c>
      <c r="F149" s="4">
        <f>VLOOKUP($E149,[1]Message!$C:$I,4,FALSE)</f>
        <v>8</v>
      </c>
      <c r="G149" s="4" t="str">
        <f>VLOOKUP($E149,[1]Message!$C:$I,5,FALSE)</f>
        <v>BMU</v>
      </c>
      <c r="H149" s="4" t="str">
        <f>VLOOKUP($E149,[1]Message!$C:$I,6,FALSE)</f>
        <v>Event</v>
      </c>
      <c r="I149" s="4">
        <f>VLOOKUP($E149,[1]Message!$C:$I,7,FALSE)</f>
        <v>0</v>
      </c>
      <c r="J149" s="4"/>
      <c r="K149" s="4" t="s">
        <v>486</v>
      </c>
      <c r="L149" s="4">
        <v>16</v>
      </c>
      <c r="M149" s="4">
        <v>16</v>
      </c>
      <c r="N149" s="4">
        <v>0.1</v>
      </c>
      <c r="O149" s="4">
        <v>0</v>
      </c>
      <c r="P149" s="4">
        <v>0</v>
      </c>
      <c r="Q149" s="4" t="s">
        <v>329</v>
      </c>
      <c r="R149" s="4">
        <f t="shared" si="8"/>
        <v>0</v>
      </c>
      <c r="S149" s="4">
        <f t="shared" si="9"/>
        <v>6553.5</v>
      </c>
      <c r="T149" s="4" t="s">
        <v>298</v>
      </c>
      <c r="U149" s="4" t="s">
        <v>487</v>
      </c>
      <c r="V149" s="4"/>
      <c r="W149" s="3" t="s">
        <v>849</v>
      </c>
      <c r="X149" s="3"/>
      <c r="Y149" s="3"/>
    </row>
    <row r="150" spans="1:25">
      <c r="A150" s="3">
        <v>149</v>
      </c>
      <c r="B150" s="4" t="s">
        <v>483</v>
      </c>
      <c r="C150" s="4">
        <f>MATCH($E150,[1]Message!$C:$C,0)</f>
        <v>26</v>
      </c>
      <c r="D150" s="4" t="str">
        <f>VLOOKUP($E150,[1]Message!$C:$I,3,FALSE)</f>
        <v>0x080FEE41</v>
      </c>
      <c r="E150" s="4" t="str">
        <f>VLOOKUP($B150,[1]Message!$B:$C,2,FALSE)</f>
        <v>U2P_SUMDATA15</v>
      </c>
      <c r="F150" s="4">
        <f>VLOOKUP($E150,[1]Message!$C:$I,4,FALSE)</f>
        <v>8</v>
      </c>
      <c r="G150" s="4" t="str">
        <f>VLOOKUP($E150,[1]Message!$C:$I,5,FALSE)</f>
        <v>BMU</v>
      </c>
      <c r="H150" s="4" t="str">
        <f>VLOOKUP($E150,[1]Message!$C:$I,6,FALSE)</f>
        <v>Event</v>
      </c>
      <c r="I150" s="4">
        <f>VLOOKUP($E150,[1]Message!$C:$I,7,FALSE)</f>
        <v>0</v>
      </c>
      <c r="J150" s="4"/>
      <c r="K150" s="4" t="s">
        <v>488</v>
      </c>
      <c r="L150" s="4">
        <v>32</v>
      </c>
      <c r="M150" s="7">
        <v>8</v>
      </c>
      <c r="N150" s="4">
        <v>1</v>
      </c>
      <c r="O150" s="4">
        <v>-50</v>
      </c>
      <c r="P150" s="4">
        <v>0</v>
      </c>
      <c r="Q150" s="4" t="s">
        <v>925</v>
      </c>
      <c r="R150" s="4">
        <f t="shared" si="8"/>
        <v>-50</v>
      </c>
      <c r="S150" s="4">
        <f t="shared" si="9"/>
        <v>205</v>
      </c>
      <c r="T150" s="4" t="s">
        <v>298</v>
      </c>
      <c r="U150" s="4" t="s">
        <v>932</v>
      </c>
      <c r="V150" s="4"/>
      <c r="W150" s="3" t="s">
        <v>848</v>
      </c>
      <c r="X150" s="3"/>
      <c r="Y150" s="3"/>
    </row>
    <row r="151" spans="1:25">
      <c r="A151" s="3">
        <v>150</v>
      </c>
      <c r="B151" s="4" t="s">
        <v>483</v>
      </c>
      <c r="C151" s="4">
        <f>MATCH($E151,[1]Message!$C:$C,0)</f>
        <v>26</v>
      </c>
      <c r="D151" s="4" t="str">
        <f>VLOOKUP($E151,[1]Message!$C:$I,3,FALSE)</f>
        <v>0x080FEE41</v>
      </c>
      <c r="E151" s="4" t="str">
        <f>VLOOKUP($B151,[1]Message!$B:$C,2,FALSE)</f>
        <v>U2P_SUMDATA15</v>
      </c>
      <c r="F151" s="4">
        <f>VLOOKUP($E151,[1]Message!$C:$I,4,FALSE)</f>
        <v>8</v>
      </c>
      <c r="G151" s="4" t="str">
        <f>VLOOKUP($E151,[1]Message!$C:$I,5,FALSE)</f>
        <v>BMU</v>
      </c>
      <c r="H151" s="4" t="str">
        <f>VLOOKUP($E151,[1]Message!$C:$I,6,FALSE)</f>
        <v>Event</v>
      </c>
      <c r="I151" s="4">
        <f>VLOOKUP($E151,[1]Message!$C:$I,7,FALSE)</f>
        <v>0</v>
      </c>
      <c r="J151" s="4"/>
      <c r="K151" s="4" t="s">
        <v>489</v>
      </c>
      <c r="L151" s="4">
        <v>40</v>
      </c>
      <c r="M151" s="7">
        <v>8</v>
      </c>
      <c r="N151" s="4">
        <v>1</v>
      </c>
      <c r="O151" s="4">
        <v>-50</v>
      </c>
      <c r="P151" s="4">
        <v>0</v>
      </c>
      <c r="Q151" s="4" t="s">
        <v>933</v>
      </c>
      <c r="R151" s="4">
        <f t="shared" si="8"/>
        <v>-50</v>
      </c>
      <c r="S151" s="4">
        <f t="shared" si="9"/>
        <v>205</v>
      </c>
      <c r="T151" s="4" t="s">
        <v>298</v>
      </c>
      <c r="U151" s="4" t="s">
        <v>490</v>
      </c>
      <c r="V151" s="4"/>
      <c r="W151" s="3" t="s">
        <v>848</v>
      </c>
      <c r="X151" s="3"/>
      <c r="Y151" s="3"/>
    </row>
    <row r="152" spans="1:25">
      <c r="A152" s="3">
        <v>151</v>
      </c>
      <c r="B152" s="4" t="s">
        <v>483</v>
      </c>
      <c r="C152" s="4">
        <f>MATCH($E152,[1]Message!$C:$C,0)</f>
        <v>26</v>
      </c>
      <c r="D152" s="4" t="str">
        <f>VLOOKUP($E152,[1]Message!$C:$I,3,FALSE)</f>
        <v>0x080FEE41</v>
      </c>
      <c r="E152" s="4" t="str">
        <f>VLOOKUP($B152,[1]Message!$B:$C,2,FALSE)</f>
        <v>U2P_SUMDATA15</v>
      </c>
      <c r="F152" s="4">
        <f>VLOOKUP($E152,[1]Message!$C:$I,4,FALSE)</f>
        <v>8</v>
      </c>
      <c r="G152" s="4" t="str">
        <f>VLOOKUP($E152,[1]Message!$C:$I,5,FALSE)</f>
        <v>BMU</v>
      </c>
      <c r="H152" s="4" t="str">
        <f>VLOOKUP($E152,[1]Message!$C:$I,6,FALSE)</f>
        <v>Event</v>
      </c>
      <c r="I152" s="4">
        <f>VLOOKUP($E152,[1]Message!$C:$I,7,FALSE)</f>
        <v>0</v>
      </c>
      <c r="J152" s="4"/>
      <c r="K152" s="4" t="s">
        <v>491</v>
      </c>
      <c r="L152" s="4">
        <v>48</v>
      </c>
      <c r="M152" s="7">
        <v>8</v>
      </c>
      <c r="N152" s="4">
        <v>1</v>
      </c>
      <c r="O152" s="4">
        <v>-50</v>
      </c>
      <c r="P152" s="4">
        <v>0</v>
      </c>
      <c r="Q152" s="4" t="s">
        <v>933</v>
      </c>
      <c r="R152" s="4">
        <f t="shared" si="8"/>
        <v>-50</v>
      </c>
      <c r="S152" s="4">
        <f t="shared" si="9"/>
        <v>205</v>
      </c>
      <c r="T152" s="4" t="s">
        <v>298</v>
      </c>
      <c r="U152" s="4" t="s">
        <v>492</v>
      </c>
      <c r="V152" s="4"/>
      <c r="W152" s="3" t="s">
        <v>848</v>
      </c>
      <c r="X152" s="3"/>
      <c r="Y152" s="3"/>
    </row>
    <row r="153" spans="1:25">
      <c r="A153" s="3">
        <v>152</v>
      </c>
      <c r="B153" s="4" t="s">
        <v>483</v>
      </c>
      <c r="C153" s="4">
        <f>MATCH($E153,[1]Message!$C:$C,0)</f>
        <v>26</v>
      </c>
      <c r="D153" s="4" t="str">
        <f>VLOOKUP($E153,[1]Message!$C:$I,3,FALSE)</f>
        <v>0x080FEE41</v>
      </c>
      <c r="E153" s="4" t="str">
        <f>VLOOKUP($B153,[1]Message!$B:$C,2,FALSE)</f>
        <v>U2P_SUMDATA15</v>
      </c>
      <c r="F153" s="4">
        <f>VLOOKUP($E153,[1]Message!$C:$I,4,FALSE)</f>
        <v>8</v>
      </c>
      <c r="G153" s="4" t="str">
        <f>VLOOKUP($E153,[1]Message!$C:$I,5,FALSE)</f>
        <v>BMU</v>
      </c>
      <c r="H153" s="4" t="str">
        <f>VLOOKUP($E153,[1]Message!$C:$I,6,FALSE)</f>
        <v>Event</v>
      </c>
      <c r="I153" s="4">
        <f>VLOOKUP($E153,[1]Message!$C:$I,7,FALSE)</f>
        <v>0</v>
      </c>
      <c r="J153" s="4"/>
      <c r="K153" s="4" t="s">
        <v>493</v>
      </c>
      <c r="L153" s="4">
        <v>56</v>
      </c>
      <c r="M153" s="7">
        <v>8</v>
      </c>
      <c r="N153" s="4">
        <v>1</v>
      </c>
      <c r="O153" s="4">
        <v>-50</v>
      </c>
      <c r="P153" s="4">
        <v>0</v>
      </c>
      <c r="Q153" s="4" t="s">
        <v>933</v>
      </c>
      <c r="R153" s="4">
        <f t="shared" si="8"/>
        <v>-50</v>
      </c>
      <c r="S153" s="4">
        <f t="shared" si="9"/>
        <v>205</v>
      </c>
      <c r="T153" s="4" t="s">
        <v>298</v>
      </c>
      <c r="U153" s="4" t="s">
        <v>494</v>
      </c>
      <c r="V153" s="4"/>
      <c r="W153" s="3" t="s">
        <v>848</v>
      </c>
      <c r="X153" s="3"/>
      <c r="Y153" s="3"/>
    </row>
    <row r="154" spans="1:25" s="31" customFormat="1">
      <c r="A154" s="3">
        <v>153</v>
      </c>
      <c r="B154" s="4" t="s">
        <v>495</v>
      </c>
      <c r="C154" s="4">
        <f>MATCH($E154,[1]Message!$C:$C,0)</f>
        <v>27</v>
      </c>
      <c r="D154" s="4" t="str">
        <f>VLOOKUP($E154,[1]Message!$C:$I,3,FALSE)</f>
        <v>0x0810EE41</v>
      </c>
      <c r="E154" s="4" t="str">
        <f>VLOOKUP($B154,[1]Message!$B:$C,2,FALSE)</f>
        <v>U2P_SUMDATA16</v>
      </c>
      <c r="F154" s="4">
        <f>VLOOKUP($E154,[1]Message!$C:$I,4,FALSE)</f>
        <v>8</v>
      </c>
      <c r="G154" s="4" t="str">
        <f>VLOOKUP($E154,[1]Message!$C:$I,5,FALSE)</f>
        <v>BMU</v>
      </c>
      <c r="H154" s="4" t="str">
        <f>VLOOKUP($E154,[1]Message!$C:$I,6,FALSE)</f>
        <v>Event</v>
      </c>
      <c r="I154" s="4">
        <f>VLOOKUP($E154,[1]Message!$C:$I,7,FALSE)</f>
        <v>0</v>
      </c>
      <c r="J154" s="4"/>
      <c r="K154" s="4" t="s">
        <v>496</v>
      </c>
      <c r="L154" s="4">
        <v>0</v>
      </c>
      <c r="M154" s="4">
        <v>1</v>
      </c>
      <c r="N154" s="4">
        <v>1</v>
      </c>
      <c r="O154" s="4">
        <v>0</v>
      </c>
      <c r="P154" s="4">
        <v>0</v>
      </c>
      <c r="Q154" s="4"/>
      <c r="R154" s="4">
        <v>0</v>
      </c>
      <c r="S154" s="4">
        <f t="shared" si="9"/>
        <v>1</v>
      </c>
      <c r="T154" s="4" t="s">
        <v>298</v>
      </c>
      <c r="U154" s="4" t="s">
        <v>934</v>
      </c>
      <c r="V154" s="4" t="s">
        <v>497</v>
      </c>
      <c r="W154" s="3" t="s">
        <v>935</v>
      </c>
      <c r="X154" s="3"/>
      <c r="Y154" s="3"/>
    </row>
    <row r="155" spans="1:25">
      <c r="A155" s="3">
        <v>154</v>
      </c>
      <c r="B155" s="4" t="s">
        <v>498</v>
      </c>
      <c r="C155" s="4">
        <f>MATCH($E155,[1]Message!$C:$C,0)</f>
        <v>27</v>
      </c>
      <c r="D155" s="4" t="str">
        <f>VLOOKUP($E155,[1]Message!$C:$I,3,FALSE)</f>
        <v>0x0810EE41</v>
      </c>
      <c r="E155" s="4" t="str">
        <f>VLOOKUP($B155,[1]Message!$B:$C,2,FALSE)</f>
        <v>U2P_SUMDATA16</v>
      </c>
      <c r="F155" s="4">
        <f>VLOOKUP($E155,[1]Message!$C:$I,4,FALSE)</f>
        <v>8</v>
      </c>
      <c r="G155" s="4" t="str">
        <f>VLOOKUP($E155,[1]Message!$C:$I,5,FALSE)</f>
        <v>BMU</v>
      </c>
      <c r="H155" s="4" t="str">
        <f>VLOOKUP($E155,[1]Message!$C:$I,6,FALSE)</f>
        <v>Event</v>
      </c>
      <c r="I155" s="4">
        <f>VLOOKUP($E155,[1]Message!$C:$I,7,FALSE)</f>
        <v>0</v>
      </c>
      <c r="J155" s="4"/>
      <c r="K155" s="4" t="s">
        <v>499</v>
      </c>
      <c r="L155" s="4">
        <v>1</v>
      </c>
      <c r="M155" s="4">
        <v>1</v>
      </c>
      <c r="N155" s="4">
        <v>1</v>
      </c>
      <c r="O155" s="4">
        <v>0</v>
      </c>
      <c r="P155" s="4">
        <v>0</v>
      </c>
      <c r="Q155" s="4"/>
      <c r="R155" s="4">
        <v>0</v>
      </c>
      <c r="S155" s="4">
        <f t="shared" si="9"/>
        <v>1</v>
      </c>
      <c r="T155" s="4" t="s">
        <v>298</v>
      </c>
      <c r="U155" s="4" t="s">
        <v>998</v>
      </c>
      <c r="V155" s="4" t="s">
        <v>500</v>
      </c>
      <c r="W155" s="3" t="s">
        <v>849</v>
      </c>
      <c r="X155" s="3"/>
      <c r="Y155" s="3"/>
    </row>
    <row r="156" spans="1:25">
      <c r="A156" s="3">
        <v>155</v>
      </c>
      <c r="B156" s="4" t="s">
        <v>498</v>
      </c>
      <c r="C156" s="4">
        <f>MATCH($E156,[1]Message!$C:$C,0)</f>
        <v>27</v>
      </c>
      <c r="D156" s="4" t="str">
        <f>VLOOKUP($E156,[1]Message!$C:$I,3,FALSE)</f>
        <v>0x0810EE41</v>
      </c>
      <c r="E156" s="4" t="str">
        <f>VLOOKUP($B156,[1]Message!$B:$C,2,FALSE)</f>
        <v>U2P_SUMDATA16</v>
      </c>
      <c r="F156" s="4">
        <f>VLOOKUP($E156,[1]Message!$C:$I,4,FALSE)</f>
        <v>8</v>
      </c>
      <c r="G156" s="4" t="str">
        <f>VLOOKUP($E156,[1]Message!$C:$I,5,FALSE)</f>
        <v>BMU</v>
      </c>
      <c r="H156" s="4" t="str">
        <f>VLOOKUP($E156,[1]Message!$C:$I,6,FALSE)</f>
        <v>Event</v>
      </c>
      <c r="I156" s="4">
        <f>VLOOKUP($E156,[1]Message!$C:$I,7,FALSE)</f>
        <v>0</v>
      </c>
      <c r="J156" s="4"/>
      <c r="K156" s="4" t="s">
        <v>501</v>
      </c>
      <c r="L156" s="4">
        <v>2</v>
      </c>
      <c r="M156" s="4">
        <v>1</v>
      </c>
      <c r="N156" s="4">
        <v>1</v>
      </c>
      <c r="O156" s="4">
        <v>0</v>
      </c>
      <c r="P156" s="4">
        <v>0</v>
      </c>
      <c r="Q156" s="4"/>
      <c r="R156" s="4">
        <v>0</v>
      </c>
      <c r="S156" s="4">
        <f t="shared" si="9"/>
        <v>1</v>
      </c>
      <c r="T156" s="4" t="s">
        <v>298</v>
      </c>
      <c r="U156" s="4" t="s">
        <v>999</v>
      </c>
      <c r="V156" s="4" t="s">
        <v>500</v>
      </c>
      <c r="W156" s="3" t="s">
        <v>849</v>
      </c>
      <c r="X156" s="3"/>
      <c r="Y156" s="3"/>
    </row>
    <row r="157" spans="1:25">
      <c r="A157" s="3">
        <v>156</v>
      </c>
      <c r="B157" s="4" t="s">
        <v>498</v>
      </c>
      <c r="C157" s="4">
        <f>MATCH($E157,[1]Message!$C:$C,0)</f>
        <v>27</v>
      </c>
      <c r="D157" s="4" t="str">
        <f>VLOOKUP($E157,[1]Message!$C:$I,3,FALSE)</f>
        <v>0x0810EE41</v>
      </c>
      <c r="E157" s="4" t="str">
        <f>VLOOKUP($B157,[1]Message!$B:$C,2,FALSE)</f>
        <v>U2P_SUMDATA16</v>
      </c>
      <c r="F157" s="4">
        <f>VLOOKUP($E157,[1]Message!$C:$I,4,FALSE)</f>
        <v>8</v>
      </c>
      <c r="G157" s="4" t="str">
        <f>VLOOKUP($E157,[1]Message!$C:$I,5,FALSE)</f>
        <v>BMU</v>
      </c>
      <c r="H157" s="4" t="str">
        <f>VLOOKUP($E157,[1]Message!$C:$I,6,FALSE)</f>
        <v>Event</v>
      </c>
      <c r="I157" s="4">
        <f>VLOOKUP($E157,[1]Message!$C:$I,7,FALSE)</f>
        <v>0</v>
      </c>
      <c r="J157" s="4"/>
      <c r="K157" s="4" t="s">
        <v>502</v>
      </c>
      <c r="L157" s="4">
        <v>3</v>
      </c>
      <c r="M157" s="4">
        <v>1</v>
      </c>
      <c r="N157" s="4">
        <v>1</v>
      </c>
      <c r="O157" s="4">
        <v>0</v>
      </c>
      <c r="P157" s="4">
        <v>0</v>
      </c>
      <c r="Q157" s="4"/>
      <c r="R157" s="4">
        <v>0</v>
      </c>
      <c r="S157" s="4">
        <f t="shared" si="9"/>
        <v>1</v>
      </c>
      <c r="T157" s="4" t="s">
        <v>298</v>
      </c>
      <c r="U157" s="4" t="s">
        <v>1000</v>
      </c>
      <c r="V157" s="4" t="s">
        <v>500</v>
      </c>
      <c r="W157" s="3" t="s">
        <v>849</v>
      </c>
      <c r="X157" s="3"/>
      <c r="Y157" s="3"/>
    </row>
    <row r="158" spans="1:25" s="31" customFormat="1">
      <c r="A158" s="3">
        <v>157</v>
      </c>
      <c r="B158" s="4" t="s">
        <v>498</v>
      </c>
      <c r="C158" s="4">
        <f>MATCH($E158,[1]Message!$C:$C,0)</f>
        <v>27</v>
      </c>
      <c r="D158" s="4" t="str">
        <f>VLOOKUP($E158,[1]Message!$C:$I,3,FALSE)</f>
        <v>0x0810EE41</v>
      </c>
      <c r="E158" s="4" t="str">
        <f>VLOOKUP($B158,[1]Message!$B:$C,2,FALSE)</f>
        <v>U2P_SUMDATA16</v>
      </c>
      <c r="F158" s="4">
        <f>VLOOKUP($E158,[1]Message!$C:$I,4,FALSE)</f>
        <v>8</v>
      </c>
      <c r="G158" s="4" t="str">
        <f>VLOOKUP($E158,[1]Message!$C:$I,5,FALSE)</f>
        <v>BMU</v>
      </c>
      <c r="H158" s="4" t="str">
        <f>VLOOKUP($E158,[1]Message!$C:$I,6,FALSE)</f>
        <v>Event</v>
      </c>
      <c r="I158" s="4">
        <f>VLOOKUP($E158,[1]Message!$C:$I,7,FALSE)</f>
        <v>0</v>
      </c>
      <c r="J158" s="4"/>
      <c r="K158" s="4" t="s">
        <v>503</v>
      </c>
      <c r="L158" s="4">
        <v>4</v>
      </c>
      <c r="M158" s="4">
        <v>1</v>
      </c>
      <c r="N158" s="4">
        <v>1</v>
      </c>
      <c r="O158" s="4">
        <v>0</v>
      </c>
      <c r="P158" s="4"/>
      <c r="Q158" s="4"/>
      <c r="R158" s="4">
        <v>0</v>
      </c>
      <c r="S158" s="4">
        <f t="shared" si="9"/>
        <v>1</v>
      </c>
      <c r="T158" s="4" t="s">
        <v>298</v>
      </c>
      <c r="U158" s="4" t="s">
        <v>936</v>
      </c>
      <c r="V158" s="4" t="s">
        <v>497</v>
      </c>
      <c r="W158" s="3" t="s">
        <v>895</v>
      </c>
      <c r="X158" s="3"/>
      <c r="Y158" s="3"/>
    </row>
    <row r="159" spans="1:25">
      <c r="A159" s="3">
        <v>158</v>
      </c>
      <c r="B159" s="4" t="s">
        <v>498</v>
      </c>
      <c r="C159" s="4">
        <f>MATCH($E159,[1]Message!$C:$C,0)</f>
        <v>27</v>
      </c>
      <c r="D159" s="4" t="str">
        <f>VLOOKUP($E159,[1]Message!$C:$I,3,FALSE)</f>
        <v>0x0810EE41</v>
      </c>
      <c r="E159" s="4" t="str">
        <f>VLOOKUP($B159,[1]Message!$B:$C,2,FALSE)</f>
        <v>U2P_SUMDATA16</v>
      </c>
      <c r="F159" s="4">
        <f>VLOOKUP($E159,[1]Message!$C:$I,4,FALSE)</f>
        <v>8</v>
      </c>
      <c r="G159" s="4" t="str">
        <f>VLOOKUP($E159,[1]Message!$C:$I,5,FALSE)</f>
        <v>BMU</v>
      </c>
      <c r="H159" s="4" t="str">
        <f>VLOOKUP($E159,[1]Message!$C:$I,6,FALSE)</f>
        <v>Event</v>
      </c>
      <c r="I159" s="4">
        <f>VLOOKUP($E159,[1]Message!$C:$I,7,FALSE)</f>
        <v>0</v>
      </c>
      <c r="J159" s="4"/>
      <c r="K159" s="4" t="s">
        <v>504</v>
      </c>
      <c r="L159" s="4">
        <v>5</v>
      </c>
      <c r="M159" s="4">
        <v>3</v>
      </c>
      <c r="N159" s="4">
        <v>1</v>
      </c>
      <c r="O159" s="4">
        <v>0</v>
      </c>
      <c r="P159" s="4"/>
      <c r="Q159" s="4"/>
      <c r="R159" s="4">
        <v>0</v>
      </c>
      <c r="S159" s="4">
        <f t="shared" si="9"/>
        <v>7</v>
      </c>
      <c r="T159" s="4" t="s">
        <v>298</v>
      </c>
      <c r="U159" s="4" t="s">
        <v>977</v>
      </c>
      <c r="V159" s="4"/>
      <c r="W159" s="3" t="s">
        <v>849</v>
      </c>
      <c r="X159" s="3"/>
      <c r="Y159" s="3"/>
    </row>
    <row r="160" spans="1:25">
      <c r="A160" s="3">
        <v>159</v>
      </c>
      <c r="B160" s="4" t="s">
        <v>498</v>
      </c>
      <c r="C160" s="4">
        <f>MATCH($E160,[1]Message!$C:$C,0)</f>
        <v>27</v>
      </c>
      <c r="D160" s="4" t="str">
        <f>VLOOKUP($E160,[1]Message!$C:$I,3,FALSE)</f>
        <v>0x0810EE41</v>
      </c>
      <c r="E160" s="4" t="str">
        <f>VLOOKUP($B160,[1]Message!$B:$C,2,FALSE)</f>
        <v>U2P_SUMDATA16</v>
      </c>
      <c r="F160" s="4">
        <f>VLOOKUP($E160,[1]Message!$C:$I,4,FALSE)</f>
        <v>8</v>
      </c>
      <c r="G160" s="4" t="str">
        <f>VLOOKUP($E160,[1]Message!$C:$I,5,FALSE)</f>
        <v>BMU</v>
      </c>
      <c r="H160" s="4" t="str">
        <f>VLOOKUP($E160,[1]Message!$C:$I,6,FALSE)</f>
        <v>Event</v>
      </c>
      <c r="I160" s="4">
        <f>VLOOKUP($E160,[1]Message!$C:$I,7,FALSE)</f>
        <v>0</v>
      </c>
      <c r="J160" s="4"/>
      <c r="K160" s="4" t="s">
        <v>505</v>
      </c>
      <c r="L160" s="4">
        <v>8</v>
      </c>
      <c r="M160" s="4">
        <v>8</v>
      </c>
      <c r="N160" s="4">
        <v>1</v>
      </c>
      <c r="O160" s="4">
        <v>-50</v>
      </c>
      <c r="P160" s="4">
        <v>0</v>
      </c>
      <c r="Q160" s="4" t="s">
        <v>973</v>
      </c>
      <c r="R160" s="4">
        <v>-50</v>
      </c>
      <c r="S160" s="4">
        <v>205</v>
      </c>
      <c r="T160" s="4" t="s">
        <v>298</v>
      </c>
      <c r="U160" s="4" t="s">
        <v>1001</v>
      </c>
      <c r="V160" s="4" t="s">
        <v>506</v>
      </c>
      <c r="W160" s="3" t="s">
        <v>849</v>
      </c>
      <c r="X160" s="3"/>
      <c r="Y160" s="3"/>
    </row>
    <row r="161" spans="1:25">
      <c r="A161" s="3">
        <v>160</v>
      </c>
      <c r="B161" s="4" t="s">
        <v>498</v>
      </c>
      <c r="C161" s="4">
        <f>MATCH($E161,[1]Message!$C:$C,0)</f>
        <v>27</v>
      </c>
      <c r="D161" s="4" t="str">
        <f>VLOOKUP($E161,[1]Message!$C:$I,3,FALSE)</f>
        <v>0x0810EE41</v>
      </c>
      <c r="E161" s="4" t="str">
        <f>VLOOKUP($B161,[1]Message!$B:$C,2,FALSE)</f>
        <v>U2P_SUMDATA16</v>
      </c>
      <c r="F161" s="4">
        <f>VLOOKUP($E161,[1]Message!$C:$I,4,FALSE)</f>
        <v>8</v>
      </c>
      <c r="G161" s="4" t="str">
        <f>VLOOKUP($E161,[1]Message!$C:$I,5,FALSE)</f>
        <v>BMU</v>
      </c>
      <c r="H161" s="4" t="str">
        <f>VLOOKUP($E161,[1]Message!$C:$I,6,FALSE)</f>
        <v>Event</v>
      </c>
      <c r="I161" s="4">
        <f>VLOOKUP($E161,[1]Message!$C:$I,7,FALSE)</f>
        <v>0</v>
      </c>
      <c r="J161" s="4"/>
      <c r="K161" s="4" t="s">
        <v>507</v>
      </c>
      <c r="L161" s="4">
        <v>16</v>
      </c>
      <c r="M161" s="4">
        <v>8</v>
      </c>
      <c r="N161" s="4">
        <v>1</v>
      </c>
      <c r="O161" s="4">
        <v>-50</v>
      </c>
      <c r="P161" s="4">
        <v>0</v>
      </c>
      <c r="Q161" s="4" t="s">
        <v>973</v>
      </c>
      <c r="R161" s="4">
        <v>-50</v>
      </c>
      <c r="S161" s="4">
        <v>205</v>
      </c>
      <c r="T161" s="4" t="s">
        <v>298</v>
      </c>
      <c r="U161" s="4" t="s">
        <v>1002</v>
      </c>
      <c r="V161" s="4" t="s">
        <v>410</v>
      </c>
      <c r="W161" s="3" t="s">
        <v>849</v>
      </c>
      <c r="X161" s="3"/>
      <c r="Y161" s="3"/>
    </row>
    <row r="162" spans="1:25">
      <c r="A162" s="3">
        <v>161</v>
      </c>
      <c r="B162" s="4" t="s">
        <v>498</v>
      </c>
      <c r="C162" s="4">
        <f>MATCH($E162,[1]Message!$C:$C,0)</f>
        <v>27</v>
      </c>
      <c r="D162" s="4" t="str">
        <f>VLOOKUP($E162,[1]Message!$C:$I,3,FALSE)</f>
        <v>0x0810EE41</v>
      </c>
      <c r="E162" s="4" t="str">
        <f>VLOOKUP($B162,[1]Message!$B:$C,2,FALSE)</f>
        <v>U2P_SUMDATA16</v>
      </c>
      <c r="F162" s="4">
        <f>VLOOKUP($E162,[1]Message!$C:$I,4,FALSE)</f>
        <v>8</v>
      </c>
      <c r="G162" s="4" t="str">
        <f>VLOOKUP($E162,[1]Message!$C:$I,5,FALSE)</f>
        <v>BMU</v>
      </c>
      <c r="H162" s="4" t="str">
        <f>VLOOKUP($E162,[1]Message!$C:$I,6,FALSE)</f>
        <v>Event</v>
      </c>
      <c r="I162" s="4">
        <f>VLOOKUP($E162,[1]Message!$C:$I,7,FALSE)</f>
        <v>0</v>
      </c>
      <c r="J162" s="4"/>
      <c r="K162" s="4" t="s">
        <v>508</v>
      </c>
      <c r="L162" s="4">
        <v>24</v>
      </c>
      <c r="M162" s="4">
        <v>8</v>
      </c>
      <c r="N162" s="4">
        <v>1</v>
      </c>
      <c r="O162" s="4">
        <v>0</v>
      </c>
      <c r="P162" s="4">
        <v>0</v>
      </c>
      <c r="Q162" s="4"/>
      <c r="R162" s="4">
        <v>0</v>
      </c>
      <c r="S162" s="4">
        <f t="shared" ref="S162:S225" si="10">(2^(M162)-1)*N162+O162</f>
        <v>255</v>
      </c>
      <c r="T162" s="4" t="s">
        <v>298</v>
      </c>
      <c r="U162" s="4" t="s">
        <v>1003</v>
      </c>
      <c r="V162" s="4" t="s">
        <v>509</v>
      </c>
      <c r="W162" s="3" t="s">
        <v>849</v>
      </c>
      <c r="X162" s="3"/>
      <c r="Y162" s="3"/>
    </row>
    <row r="163" spans="1:25" s="31" customFormat="1">
      <c r="A163" s="3">
        <v>162</v>
      </c>
      <c r="B163" s="4" t="s">
        <v>498</v>
      </c>
      <c r="C163" s="4">
        <f>MATCH($E163,[1]Message!$C:$C,0)</f>
        <v>27</v>
      </c>
      <c r="D163" s="4" t="str">
        <f>VLOOKUP($E163,[1]Message!$C:$I,3,FALSE)</f>
        <v>0x0810EE41</v>
      </c>
      <c r="E163" s="4" t="str">
        <f>VLOOKUP($B163,[1]Message!$B:$C,2,FALSE)</f>
        <v>U2P_SUMDATA16</v>
      </c>
      <c r="F163" s="4">
        <f>VLOOKUP($E163,[1]Message!$C:$I,4,FALSE)</f>
        <v>8</v>
      </c>
      <c r="G163" s="4" t="str">
        <f>VLOOKUP($E163,[1]Message!$C:$I,5,FALSE)</f>
        <v>BMU</v>
      </c>
      <c r="H163" s="4" t="str">
        <f>VLOOKUP($E163,[1]Message!$C:$I,6,FALSE)</f>
        <v>Event</v>
      </c>
      <c r="I163" s="4">
        <f>VLOOKUP($E163,[1]Message!$C:$I,7,FALSE)</f>
        <v>0</v>
      </c>
      <c r="J163" s="4"/>
      <c r="K163" s="4" t="s">
        <v>510</v>
      </c>
      <c r="L163" s="4">
        <v>32</v>
      </c>
      <c r="M163" s="4">
        <v>6</v>
      </c>
      <c r="N163" s="4">
        <v>1</v>
      </c>
      <c r="O163" s="4">
        <v>0</v>
      </c>
      <c r="P163" s="4">
        <v>0</v>
      </c>
      <c r="Q163" s="4"/>
      <c r="R163" s="4">
        <v>0</v>
      </c>
      <c r="S163" s="4">
        <f t="shared" si="10"/>
        <v>63</v>
      </c>
      <c r="T163" s="4" t="s">
        <v>298</v>
      </c>
      <c r="U163" s="4" t="s">
        <v>937</v>
      </c>
      <c r="V163" s="4" t="s">
        <v>511</v>
      </c>
      <c r="W163" s="3" t="s">
        <v>905</v>
      </c>
      <c r="X163" s="3"/>
      <c r="Y163" s="3"/>
    </row>
    <row r="164" spans="1:25">
      <c r="A164" s="3">
        <v>163</v>
      </c>
      <c r="B164" s="4" t="s">
        <v>498</v>
      </c>
      <c r="C164" s="4">
        <f>MATCH($E164,[1]Message!$C:$C,0)</f>
        <v>27</v>
      </c>
      <c r="D164" s="4" t="str">
        <f>VLOOKUP($E164,[1]Message!$C:$I,3,FALSE)</f>
        <v>0x0810EE41</v>
      </c>
      <c r="E164" s="4" t="str">
        <f>VLOOKUP($B164,[1]Message!$B:$C,2,FALSE)</f>
        <v>U2P_SUMDATA16</v>
      </c>
      <c r="F164" s="4">
        <f>VLOOKUP($E164,[1]Message!$C:$I,4,FALSE)</f>
        <v>8</v>
      </c>
      <c r="G164" s="4" t="str">
        <f>VLOOKUP($E164,[1]Message!$C:$I,5,FALSE)</f>
        <v>BMU</v>
      </c>
      <c r="H164" s="4" t="str">
        <f>VLOOKUP($E164,[1]Message!$C:$I,6,FALSE)</f>
        <v>Event</v>
      </c>
      <c r="I164" s="4">
        <f>VLOOKUP($E164,[1]Message!$C:$I,7,FALSE)</f>
        <v>0</v>
      </c>
      <c r="J164" s="4"/>
      <c r="K164" s="4" t="s">
        <v>512</v>
      </c>
      <c r="L164" s="4">
        <v>38</v>
      </c>
      <c r="M164" s="4">
        <v>2</v>
      </c>
      <c r="N164" s="4">
        <v>1</v>
      </c>
      <c r="O164" s="4">
        <v>0</v>
      </c>
      <c r="P164" s="4">
        <v>0</v>
      </c>
      <c r="Q164" s="4"/>
      <c r="R164" s="4">
        <v>0</v>
      </c>
      <c r="S164" s="4">
        <f t="shared" si="10"/>
        <v>3</v>
      </c>
      <c r="T164" s="4" t="s">
        <v>298</v>
      </c>
      <c r="U164" s="4" t="s">
        <v>1004</v>
      </c>
      <c r="V164" s="4" t="s">
        <v>513</v>
      </c>
      <c r="W164" s="3" t="s">
        <v>849</v>
      </c>
      <c r="X164" s="3"/>
      <c r="Y164" s="3"/>
    </row>
    <row r="165" spans="1:25">
      <c r="A165" s="3">
        <v>164</v>
      </c>
      <c r="B165" s="4" t="s">
        <v>495</v>
      </c>
      <c r="C165" s="4">
        <f>MATCH($E165,[1]Message!$C:$C,0)</f>
        <v>27</v>
      </c>
      <c r="D165" s="4" t="str">
        <f>VLOOKUP($E165,[1]Message!$C:$I,3,FALSE)</f>
        <v>0x0810EE41</v>
      </c>
      <c r="E165" s="4" t="str">
        <f>VLOOKUP($B165,[1]Message!$B:$C,2,FALSE)</f>
        <v>U2P_SUMDATA16</v>
      </c>
      <c r="F165" s="4">
        <f>VLOOKUP($E165,[1]Message!$C:$I,4,FALSE)</f>
        <v>8</v>
      </c>
      <c r="G165" s="4" t="str">
        <f>VLOOKUP($E165,[1]Message!$C:$I,5,FALSE)</f>
        <v>BMU</v>
      </c>
      <c r="H165" s="4" t="str">
        <f>VLOOKUP($E165,[1]Message!$C:$I,6,FALSE)</f>
        <v>Event</v>
      </c>
      <c r="I165" s="4">
        <f>VLOOKUP($E165,[1]Message!$C:$I,7,FALSE)</f>
        <v>0</v>
      </c>
      <c r="J165" s="4"/>
      <c r="K165" s="4" t="s">
        <v>514</v>
      </c>
      <c r="L165" s="4">
        <v>40</v>
      </c>
      <c r="M165" s="4">
        <v>4</v>
      </c>
      <c r="N165" s="4">
        <v>1</v>
      </c>
      <c r="O165" s="4">
        <v>0</v>
      </c>
      <c r="P165" s="4">
        <v>0</v>
      </c>
      <c r="Q165" s="4"/>
      <c r="R165" s="4">
        <v>0</v>
      </c>
      <c r="S165" s="4">
        <f t="shared" si="10"/>
        <v>15</v>
      </c>
      <c r="T165" s="4" t="s">
        <v>298</v>
      </c>
      <c r="U165" s="4" t="s">
        <v>1005</v>
      </c>
      <c r="V165" s="4" t="s">
        <v>1006</v>
      </c>
      <c r="W165" s="3" t="s">
        <v>849</v>
      </c>
      <c r="X165" s="3"/>
      <c r="Y165" s="3"/>
    </row>
    <row r="166" spans="1:25">
      <c r="A166" s="3">
        <v>165</v>
      </c>
      <c r="B166" s="4" t="s">
        <v>495</v>
      </c>
      <c r="C166" s="4">
        <f>MATCH($E166,[1]Message!$C:$C,0)</f>
        <v>27</v>
      </c>
      <c r="D166" s="4" t="str">
        <f>VLOOKUP($E166,[1]Message!$C:$I,3,FALSE)</f>
        <v>0x0810EE41</v>
      </c>
      <c r="E166" s="4" t="str">
        <f>VLOOKUP($B166,[1]Message!$B:$C,2,FALSE)</f>
        <v>U2P_SUMDATA16</v>
      </c>
      <c r="F166" s="4">
        <f>VLOOKUP($E166,[1]Message!$C:$I,4,FALSE)</f>
        <v>8</v>
      </c>
      <c r="G166" s="4" t="str">
        <f>VLOOKUP($E166,[1]Message!$C:$I,5,FALSE)</f>
        <v>BMU</v>
      </c>
      <c r="H166" s="4" t="str">
        <f>VLOOKUP($E166,[1]Message!$C:$I,6,FALSE)</f>
        <v>Event</v>
      </c>
      <c r="I166" s="4">
        <f>VLOOKUP($E166,[1]Message!$C:$I,7,FALSE)</f>
        <v>0</v>
      </c>
      <c r="J166" s="4"/>
      <c r="K166" s="4" t="s">
        <v>504</v>
      </c>
      <c r="L166" s="4">
        <v>44</v>
      </c>
      <c r="M166" s="4">
        <v>20</v>
      </c>
      <c r="N166" s="4">
        <v>1</v>
      </c>
      <c r="O166" s="4">
        <v>0</v>
      </c>
      <c r="P166" s="4"/>
      <c r="Q166" s="4"/>
      <c r="R166" s="4">
        <v>0</v>
      </c>
      <c r="S166" s="4">
        <f t="shared" si="10"/>
        <v>1048575</v>
      </c>
      <c r="T166" s="4" t="s">
        <v>298</v>
      </c>
      <c r="U166" s="4" t="s">
        <v>977</v>
      </c>
      <c r="V166" s="4"/>
      <c r="W166" s="3" t="s">
        <v>849</v>
      </c>
      <c r="X166" s="3"/>
      <c r="Y166" s="3"/>
    </row>
    <row r="167" spans="1:25">
      <c r="A167" s="3">
        <v>166</v>
      </c>
      <c r="B167" s="4" t="s">
        <v>515</v>
      </c>
      <c r="C167" s="4">
        <f>MATCH($E167,[1]Message!$C:$C,0)</f>
        <v>28</v>
      </c>
      <c r="D167" s="4" t="str">
        <f>VLOOKUP($E167,[1]Message!$C:$I,3,FALSE)</f>
        <v>0x0811EE41</v>
      </c>
      <c r="E167" s="4" t="str">
        <f>VLOOKUP($B167,[1]Message!$B:$C,2,FALSE)</f>
        <v>U2P_SUMDATA17</v>
      </c>
      <c r="F167" s="4">
        <f>VLOOKUP($E167,[1]Message!$C:$I,4,FALSE)</f>
        <v>8</v>
      </c>
      <c r="G167" s="4" t="str">
        <f>VLOOKUP($E167,[1]Message!$C:$I,5,FALSE)</f>
        <v>BMU</v>
      </c>
      <c r="H167" s="4" t="str">
        <f>VLOOKUP($E167,[1]Message!$C:$I,6,FALSE)</f>
        <v>Event</v>
      </c>
      <c r="I167" s="4">
        <f>VLOOKUP($E167,[1]Message!$C:$I,7,FALSE)</f>
        <v>0</v>
      </c>
      <c r="J167" s="4"/>
      <c r="K167" s="4" t="s">
        <v>516</v>
      </c>
      <c r="L167" s="4">
        <v>0</v>
      </c>
      <c r="M167" s="4">
        <v>16</v>
      </c>
      <c r="N167" s="4">
        <v>0.1</v>
      </c>
      <c r="O167" s="4">
        <v>-2000</v>
      </c>
      <c r="P167" s="4">
        <v>2000</v>
      </c>
      <c r="Q167" s="4" t="s">
        <v>334</v>
      </c>
      <c r="R167" s="4">
        <f t="shared" ref="R167:R230" si="11">0*N167+O167</f>
        <v>-2000</v>
      </c>
      <c r="S167" s="4">
        <f t="shared" si="10"/>
        <v>4553.5</v>
      </c>
      <c r="T167" s="4" t="s">
        <v>298</v>
      </c>
      <c r="U167" s="4" t="s">
        <v>517</v>
      </c>
      <c r="V167" s="4" t="s">
        <v>330</v>
      </c>
      <c r="W167" s="3" t="s">
        <v>849</v>
      </c>
      <c r="X167" s="3"/>
      <c r="Y167" s="3"/>
    </row>
    <row r="168" spans="1:25">
      <c r="A168" s="3">
        <v>167</v>
      </c>
      <c r="B168" s="4" t="s">
        <v>515</v>
      </c>
      <c r="C168" s="4">
        <f>MATCH($E168,[1]Message!$C:$C,0)</f>
        <v>28</v>
      </c>
      <c r="D168" s="4" t="str">
        <f>VLOOKUP($E168,[1]Message!$C:$I,3,FALSE)</f>
        <v>0x0811EE41</v>
      </c>
      <c r="E168" s="4" t="str">
        <f>VLOOKUP($B168,[1]Message!$B:$C,2,FALSE)</f>
        <v>U2P_SUMDATA17</v>
      </c>
      <c r="F168" s="4">
        <f>VLOOKUP($E168,[1]Message!$C:$I,4,FALSE)</f>
        <v>8</v>
      </c>
      <c r="G168" s="4" t="str">
        <f>VLOOKUP($E168,[1]Message!$C:$I,5,FALSE)</f>
        <v>BMU</v>
      </c>
      <c r="H168" s="4" t="str">
        <f>VLOOKUP($E168,[1]Message!$C:$I,6,FALSE)</f>
        <v>Event</v>
      </c>
      <c r="I168" s="4">
        <f>VLOOKUP($E168,[1]Message!$C:$I,7,FALSE)</f>
        <v>0</v>
      </c>
      <c r="J168" s="4"/>
      <c r="K168" s="4" t="s">
        <v>518</v>
      </c>
      <c r="L168" s="4">
        <v>16</v>
      </c>
      <c r="M168" s="4">
        <v>16</v>
      </c>
      <c r="N168" s="4">
        <v>0.1</v>
      </c>
      <c r="O168" s="4">
        <v>-2000</v>
      </c>
      <c r="P168" s="4">
        <v>2000</v>
      </c>
      <c r="Q168" s="4" t="s">
        <v>334</v>
      </c>
      <c r="R168" s="4">
        <f t="shared" si="11"/>
        <v>-2000</v>
      </c>
      <c r="S168" s="4">
        <f t="shared" si="10"/>
        <v>4553.5</v>
      </c>
      <c r="T168" s="4" t="s">
        <v>298</v>
      </c>
      <c r="U168" s="4" t="s">
        <v>519</v>
      </c>
      <c r="V168" s="4" t="s">
        <v>330</v>
      </c>
      <c r="W168" s="3" t="s">
        <v>849</v>
      </c>
      <c r="X168" s="3"/>
      <c r="Y168" s="3"/>
    </row>
    <row r="169" spans="1:25">
      <c r="A169" s="3">
        <v>168</v>
      </c>
      <c r="B169" s="4" t="s">
        <v>515</v>
      </c>
      <c r="C169" s="4">
        <f>MATCH($E169,[1]Message!$C:$C,0)</f>
        <v>28</v>
      </c>
      <c r="D169" s="4" t="str">
        <f>VLOOKUP($E169,[1]Message!$C:$I,3,FALSE)</f>
        <v>0x0811EE41</v>
      </c>
      <c r="E169" s="4" t="str">
        <f>VLOOKUP($B169,[1]Message!$B:$C,2,FALSE)</f>
        <v>U2P_SUMDATA17</v>
      </c>
      <c r="F169" s="4">
        <f>VLOOKUP($E169,[1]Message!$C:$I,4,FALSE)</f>
        <v>8</v>
      </c>
      <c r="G169" s="4" t="str">
        <f>VLOOKUP($E169,[1]Message!$C:$I,5,FALSE)</f>
        <v>BMU</v>
      </c>
      <c r="H169" s="4" t="str">
        <f>VLOOKUP($E169,[1]Message!$C:$I,6,FALSE)</f>
        <v>Event</v>
      </c>
      <c r="I169" s="4">
        <f>VLOOKUP($E169,[1]Message!$C:$I,7,FALSE)</f>
        <v>0</v>
      </c>
      <c r="J169" s="4"/>
      <c r="K169" s="4" t="s">
        <v>520</v>
      </c>
      <c r="L169" s="4">
        <v>32</v>
      </c>
      <c r="M169" s="4">
        <v>16</v>
      </c>
      <c r="N169" s="4">
        <v>0.1</v>
      </c>
      <c r="O169" s="4">
        <v>-2000</v>
      </c>
      <c r="P169" s="4">
        <v>2000</v>
      </c>
      <c r="Q169" s="4" t="s">
        <v>334</v>
      </c>
      <c r="R169" s="4">
        <f t="shared" si="11"/>
        <v>-2000</v>
      </c>
      <c r="S169" s="4">
        <f t="shared" si="10"/>
        <v>4553.5</v>
      </c>
      <c r="T169" s="4" t="s">
        <v>521</v>
      </c>
      <c r="U169" s="4" t="s">
        <v>522</v>
      </c>
      <c r="V169" s="4" t="s">
        <v>523</v>
      </c>
      <c r="W169" s="3" t="s">
        <v>849</v>
      </c>
      <c r="X169" s="3"/>
      <c r="Y169" s="3"/>
    </row>
    <row r="170" spans="1:25">
      <c r="A170" s="3">
        <v>169</v>
      </c>
      <c r="B170" s="4" t="s">
        <v>515</v>
      </c>
      <c r="C170" s="4">
        <f>MATCH($E170,[1]Message!$C:$C,0)</f>
        <v>28</v>
      </c>
      <c r="D170" s="4" t="str">
        <f>VLOOKUP($E170,[1]Message!$C:$I,3,FALSE)</f>
        <v>0x0811EE41</v>
      </c>
      <c r="E170" s="4" t="str">
        <f>VLOOKUP($B170,[1]Message!$B:$C,2,FALSE)</f>
        <v>U2P_SUMDATA17</v>
      </c>
      <c r="F170" s="4">
        <f>VLOOKUP($E170,[1]Message!$C:$I,4,FALSE)</f>
        <v>8</v>
      </c>
      <c r="G170" s="4" t="str">
        <f>VLOOKUP($E170,[1]Message!$C:$I,5,FALSE)</f>
        <v>BMU</v>
      </c>
      <c r="H170" s="4" t="str">
        <f>VLOOKUP($E170,[1]Message!$C:$I,6,FALSE)</f>
        <v>Event</v>
      </c>
      <c r="I170" s="4">
        <f>VLOOKUP($E170,[1]Message!$C:$I,7,FALSE)</f>
        <v>0</v>
      </c>
      <c r="J170" s="4"/>
      <c r="K170" s="4" t="s">
        <v>524</v>
      </c>
      <c r="L170" s="4">
        <v>48</v>
      </c>
      <c r="M170" s="4">
        <v>16</v>
      </c>
      <c r="N170" s="4">
        <v>0.1</v>
      </c>
      <c r="O170" s="4">
        <v>-2000</v>
      </c>
      <c r="P170" s="4">
        <v>2000</v>
      </c>
      <c r="Q170" s="4" t="s">
        <v>334</v>
      </c>
      <c r="R170" s="4">
        <f t="shared" si="11"/>
        <v>-2000</v>
      </c>
      <c r="S170" s="4">
        <f t="shared" si="10"/>
        <v>4553.5</v>
      </c>
      <c r="T170" s="4" t="s">
        <v>298</v>
      </c>
      <c r="U170" s="4" t="s">
        <v>525</v>
      </c>
      <c r="V170" s="4" t="s">
        <v>330</v>
      </c>
      <c r="W170" s="3" t="s">
        <v>849</v>
      </c>
      <c r="X170" s="3"/>
      <c r="Y170" s="3"/>
    </row>
    <row r="171" spans="1:25">
      <c r="A171" s="3">
        <v>170</v>
      </c>
      <c r="B171" s="4" t="s">
        <v>526</v>
      </c>
      <c r="C171" s="4">
        <f>MATCH($E171,[1]Message!$C:$C,0)</f>
        <v>29</v>
      </c>
      <c r="D171" s="4" t="str">
        <f>VLOOKUP($E171,[1]Message!$C:$I,3,FALSE)</f>
        <v>0x0813EE41</v>
      </c>
      <c r="E171" s="4" t="str">
        <f>VLOOKUP($B171,[1]Message!$B:$C,2,FALSE)</f>
        <v>U2P_SUMDATA18</v>
      </c>
      <c r="F171" s="4">
        <f>VLOOKUP($E171,[1]Message!$C:$I,4,FALSE)</f>
        <v>8</v>
      </c>
      <c r="G171" s="4" t="str">
        <f>VLOOKUP($E171,[1]Message!$C:$I,5,FALSE)</f>
        <v>BMU</v>
      </c>
      <c r="H171" s="4" t="str">
        <f>VLOOKUP($E171,[1]Message!$C:$I,6,FALSE)</f>
        <v>Event</v>
      </c>
      <c r="I171" s="4">
        <f>VLOOKUP($E171,[1]Message!$C:$I,7,FALSE)</f>
        <v>0</v>
      </c>
      <c r="J171" s="4"/>
      <c r="K171" s="4" t="s">
        <v>527</v>
      </c>
      <c r="L171" s="4">
        <v>0</v>
      </c>
      <c r="M171" s="4">
        <v>4</v>
      </c>
      <c r="N171" s="4">
        <v>1</v>
      </c>
      <c r="O171" s="4">
        <v>0</v>
      </c>
      <c r="P171" s="4">
        <v>0</v>
      </c>
      <c r="Q171" s="4"/>
      <c r="R171" s="4">
        <f t="shared" si="11"/>
        <v>0</v>
      </c>
      <c r="S171" s="4">
        <f t="shared" si="10"/>
        <v>15</v>
      </c>
      <c r="T171" s="4" t="s">
        <v>298</v>
      </c>
      <c r="U171" s="4" t="s">
        <v>1007</v>
      </c>
      <c r="V171" s="4" t="s">
        <v>528</v>
      </c>
      <c r="W171" s="3" t="s">
        <v>849</v>
      </c>
      <c r="X171" s="3"/>
      <c r="Y171" s="3"/>
    </row>
    <row r="172" spans="1:25">
      <c r="A172" s="3">
        <v>171</v>
      </c>
      <c r="B172" s="4" t="s">
        <v>526</v>
      </c>
      <c r="C172" s="4">
        <f>MATCH($E172,[1]Message!$C:$C,0)</f>
        <v>29</v>
      </c>
      <c r="D172" s="4" t="str">
        <f>VLOOKUP($E172,[1]Message!$C:$I,3,FALSE)</f>
        <v>0x0813EE41</v>
      </c>
      <c r="E172" s="4" t="str">
        <f>VLOOKUP($B172,[1]Message!$B:$C,2,FALSE)</f>
        <v>U2P_SUMDATA18</v>
      </c>
      <c r="F172" s="4">
        <f>VLOOKUP($E172,[1]Message!$C:$I,4,FALSE)</f>
        <v>8</v>
      </c>
      <c r="G172" s="4" t="str">
        <f>VLOOKUP($E172,[1]Message!$C:$I,5,FALSE)</f>
        <v>BMU</v>
      </c>
      <c r="H172" s="4" t="str">
        <f>VLOOKUP($E172,[1]Message!$C:$I,6,FALSE)</f>
        <v>Event</v>
      </c>
      <c r="I172" s="4">
        <f>VLOOKUP($E172,[1]Message!$C:$I,7,FALSE)</f>
        <v>0</v>
      </c>
      <c r="J172" s="4"/>
      <c r="K172" s="4" t="s">
        <v>529</v>
      </c>
      <c r="L172" s="4">
        <v>4</v>
      </c>
      <c r="M172" s="4">
        <v>4</v>
      </c>
      <c r="N172" s="4">
        <v>1</v>
      </c>
      <c r="O172" s="4">
        <v>0</v>
      </c>
      <c r="P172" s="4">
        <v>0</v>
      </c>
      <c r="Q172" s="4"/>
      <c r="R172" s="4">
        <f t="shared" si="11"/>
        <v>0</v>
      </c>
      <c r="S172" s="4">
        <f t="shared" si="10"/>
        <v>15</v>
      </c>
      <c r="T172" s="4" t="s">
        <v>298</v>
      </c>
      <c r="U172" s="4" t="s">
        <v>1008</v>
      </c>
      <c r="V172" s="4" t="s">
        <v>530</v>
      </c>
      <c r="W172" s="3" t="s">
        <v>849</v>
      </c>
      <c r="X172" s="3"/>
      <c r="Y172" s="3"/>
    </row>
    <row r="173" spans="1:25">
      <c r="A173" s="3">
        <v>172</v>
      </c>
      <c r="B173" s="4" t="s">
        <v>526</v>
      </c>
      <c r="C173" s="4">
        <f>MATCH($E173,[1]Message!$C:$C,0)</f>
        <v>29</v>
      </c>
      <c r="D173" s="4" t="str">
        <f>VLOOKUP($E173,[1]Message!$C:$I,3,FALSE)</f>
        <v>0x0813EE41</v>
      </c>
      <c r="E173" s="4" t="str">
        <f>VLOOKUP($B173,[1]Message!$B:$C,2,FALSE)</f>
        <v>U2P_SUMDATA18</v>
      </c>
      <c r="F173" s="4">
        <f>VLOOKUP($E173,[1]Message!$C:$I,4,FALSE)</f>
        <v>8</v>
      </c>
      <c r="G173" s="4" t="str">
        <f>VLOOKUP($E173,[1]Message!$C:$I,5,FALSE)</f>
        <v>BMU</v>
      </c>
      <c r="H173" s="4" t="str">
        <f>VLOOKUP($E173,[1]Message!$C:$I,6,FALSE)</f>
        <v>Event</v>
      </c>
      <c r="I173" s="4">
        <f>VLOOKUP($E173,[1]Message!$C:$I,7,FALSE)</f>
        <v>0</v>
      </c>
      <c r="J173" s="4"/>
      <c r="K173" s="4" t="s">
        <v>531</v>
      </c>
      <c r="L173" s="4">
        <v>8</v>
      </c>
      <c r="M173" s="4">
        <v>4</v>
      </c>
      <c r="N173" s="4">
        <v>1</v>
      </c>
      <c r="O173" s="4">
        <v>0</v>
      </c>
      <c r="P173" s="4">
        <v>0</v>
      </c>
      <c r="Q173" s="4"/>
      <c r="R173" s="4">
        <f t="shared" si="11"/>
        <v>0</v>
      </c>
      <c r="S173" s="4">
        <f t="shared" si="10"/>
        <v>15</v>
      </c>
      <c r="T173" s="4" t="s">
        <v>298</v>
      </c>
      <c r="U173" s="4" t="s">
        <v>1009</v>
      </c>
      <c r="V173" s="4"/>
      <c r="W173" s="3" t="s">
        <v>849</v>
      </c>
      <c r="X173" s="3"/>
      <c r="Y173" s="3"/>
    </row>
    <row r="174" spans="1:25">
      <c r="A174" s="3">
        <v>173</v>
      </c>
      <c r="B174" s="4" t="s">
        <v>526</v>
      </c>
      <c r="C174" s="4">
        <f>MATCH($E174,[1]Message!$C:$C,0)</f>
        <v>29</v>
      </c>
      <c r="D174" s="4" t="str">
        <f>VLOOKUP($E174,[1]Message!$C:$I,3,FALSE)</f>
        <v>0x0813EE41</v>
      </c>
      <c r="E174" s="4" t="str">
        <f>VLOOKUP($B174,[1]Message!$B:$C,2,FALSE)</f>
        <v>U2P_SUMDATA18</v>
      </c>
      <c r="F174" s="4">
        <f>VLOOKUP($E174,[1]Message!$C:$I,4,FALSE)</f>
        <v>8</v>
      </c>
      <c r="G174" s="4" t="str">
        <f>VLOOKUP($E174,[1]Message!$C:$I,5,FALSE)</f>
        <v>BMU</v>
      </c>
      <c r="H174" s="4" t="str">
        <f>VLOOKUP($E174,[1]Message!$C:$I,6,FALSE)</f>
        <v>Event</v>
      </c>
      <c r="I174" s="4">
        <f>VLOOKUP($E174,[1]Message!$C:$I,7,FALSE)</f>
        <v>0</v>
      </c>
      <c r="J174" s="4"/>
      <c r="K174" s="4" t="s">
        <v>325</v>
      </c>
      <c r="L174" s="4">
        <v>12</v>
      </c>
      <c r="M174" s="4">
        <v>4</v>
      </c>
      <c r="N174" s="4">
        <v>1</v>
      </c>
      <c r="O174" s="4">
        <v>0</v>
      </c>
      <c r="P174" s="4">
        <v>0</v>
      </c>
      <c r="Q174" s="4"/>
      <c r="R174" s="4">
        <f t="shared" si="11"/>
        <v>0</v>
      </c>
      <c r="S174" s="4">
        <f t="shared" si="10"/>
        <v>15</v>
      </c>
      <c r="T174" s="4" t="s">
        <v>298</v>
      </c>
      <c r="U174" s="4" t="s">
        <v>361</v>
      </c>
      <c r="V174" s="4"/>
      <c r="W174" s="3" t="s">
        <v>849</v>
      </c>
      <c r="X174" s="3"/>
      <c r="Y174" s="3"/>
    </row>
    <row r="175" spans="1:25">
      <c r="A175" s="3">
        <v>174</v>
      </c>
      <c r="B175" s="4" t="s">
        <v>526</v>
      </c>
      <c r="C175" s="4">
        <f>MATCH($E175,[1]Message!$C:$C,0)</f>
        <v>29</v>
      </c>
      <c r="D175" s="4" t="str">
        <f>VLOOKUP($E175,[1]Message!$C:$I,3,FALSE)</f>
        <v>0x0813EE41</v>
      </c>
      <c r="E175" s="4" t="str">
        <f>VLOOKUP($B175,[1]Message!$B:$C,2,FALSE)</f>
        <v>U2P_SUMDATA18</v>
      </c>
      <c r="F175" s="4">
        <f>VLOOKUP($E175,[1]Message!$C:$I,4,FALSE)</f>
        <v>8</v>
      </c>
      <c r="G175" s="4" t="str">
        <f>VLOOKUP($E175,[1]Message!$C:$I,5,FALSE)</f>
        <v>BMU</v>
      </c>
      <c r="H175" s="4" t="str">
        <f>VLOOKUP($E175,[1]Message!$C:$I,6,FALSE)</f>
        <v>Event</v>
      </c>
      <c r="I175" s="4">
        <f>VLOOKUP($E175,[1]Message!$C:$I,7,FALSE)</f>
        <v>0</v>
      </c>
      <c r="J175" s="4"/>
      <c r="K175" s="4" t="s">
        <v>325</v>
      </c>
      <c r="L175" s="4">
        <v>16</v>
      </c>
      <c r="M175" s="4">
        <v>4</v>
      </c>
      <c r="N175" s="4">
        <v>1</v>
      </c>
      <c r="O175" s="4">
        <v>0</v>
      </c>
      <c r="P175" s="4">
        <v>0</v>
      </c>
      <c r="Q175" s="4"/>
      <c r="R175" s="4">
        <f t="shared" si="11"/>
        <v>0</v>
      </c>
      <c r="S175" s="4">
        <f t="shared" si="10"/>
        <v>15</v>
      </c>
      <c r="T175" s="4" t="s">
        <v>298</v>
      </c>
      <c r="U175" s="4" t="s">
        <v>361</v>
      </c>
      <c r="V175" s="4"/>
      <c r="W175" s="3" t="s">
        <v>849</v>
      </c>
      <c r="X175" s="3"/>
      <c r="Y175" s="3"/>
    </row>
    <row r="176" spans="1:25">
      <c r="A176" s="3">
        <v>175</v>
      </c>
      <c r="B176" s="4" t="s">
        <v>526</v>
      </c>
      <c r="C176" s="4">
        <f>MATCH($E176,[1]Message!$C:$C,0)</f>
        <v>29</v>
      </c>
      <c r="D176" s="4" t="str">
        <f>VLOOKUP($E176,[1]Message!$C:$I,3,FALSE)</f>
        <v>0x0813EE41</v>
      </c>
      <c r="E176" s="4" t="str">
        <f>VLOOKUP($B176,[1]Message!$B:$C,2,FALSE)</f>
        <v>U2P_SUMDATA18</v>
      </c>
      <c r="F176" s="4">
        <f>VLOOKUP($E176,[1]Message!$C:$I,4,FALSE)</f>
        <v>8</v>
      </c>
      <c r="G176" s="4" t="str">
        <f>VLOOKUP($E176,[1]Message!$C:$I,5,FALSE)</f>
        <v>BMU</v>
      </c>
      <c r="H176" s="4" t="str">
        <f>VLOOKUP($E176,[1]Message!$C:$I,6,FALSE)</f>
        <v>Event</v>
      </c>
      <c r="I176" s="4">
        <f>VLOOKUP($E176,[1]Message!$C:$I,7,FALSE)</f>
        <v>0</v>
      </c>
      <c r="J176" s="4"/>
      <c r="K176" s="4" t="s">
        <v>532</v>
      </c>
      <c r="L176" s="4">
        <v>20</v>
      </c>
      <c r="M176" s="4">
        <v>2</v>
      </c>
      <c r="N176" s="4">
        <v>1</v>
      </c>
      <c r="O176" s="4">
        <v>0</v>
      </c>
      <c r="P176" s="4">
        <v>0</v>
      </c>
      <c r="Q176" s="4"/>
      <c r="R176" s="4">
        <f t="shared" si="11"/>
        <v>0</v>
      </c>
      <c r="S176" s="4">
        <f t="shared" si="10"/>
        <v>3</v>
      </c>
      <c r="T176" s="4" t="s">
        <v>298</v>
      </c>
      <c r="U176" s="4" t="s">
        <v>1010</v>
      </c>
      <c r="V176" s="4" t="s">
        <v>533</v>
      </c>
      <c r="W176" s="3" t="s">
        <v>849</v>
      </c>
      <c r="X176" s="3"/>
      <c r="Y176" s="3"/>
    </row>
    <row r="177" spans="1:25">
      <c r="A177" s="3">
        <v>176</v>
      </c>
      <c r="B177" s="4" t="s">
        <v>534</v>
      </c>
      <c r="C177" s="4">
        <f>MATCH($E177,[1]Message!$C:$C,0)</f>
        <v>29</v>
      </c>
      <c r="D177" s="4" t="str">
        <f>VLOOKUP($E177,[1]Message!$C:$I,3,FALSE)</f>
        <v>0x0813EE41</v>
      </c>
      <c r="E177" s="4" t="str">
        <f>VLOOKUP($B177,[1]Message!$B:$C,2,FALSE)</f>
        <v>U2P_SUMDATA18</v>
      </c>
      <c r="F177" s="4">
        <f>VLOOKUP($E177,[1]Message!$C:$I,4,FALSE)</f>
        <v>8</v>
      </c>
      <c r="G177" s="4" t="str">
        <f>VLOOKUP($E177,[1]Message!$C:$I,5,FALSE)</f>
        <v>BMU</v>
      </c>
      <c r="H177" s="4" t="str">
        <f>VLOOKUP($E177,[1]Message!$C:$I,6,FALSE)</f>
        <v>Event</v>
      </c>
      <c r="I177" s="4">
        <f>VLOOKUP($E177,[1]Message!$C:$I,7,FALSE)</f>
        <v>0</v>
      </c>
      <c r="J177" s="4"/>
      <c r="K177" s="4" t="s">
        <v>325</v>
      </c>
      <c r="L177" s="4">
        <v>22</v>
      </c>
      <c r="M177" s="4">
        <v>1</v>
      </c>
      <c r="N177" s="4">
        <v>1</v>
      </c>
      <c r="O177" s="4">
        <v>0</v>
      </c>
      <c r="P177" s="4">
        <v>0</v>
      </c>
      <c r="Q177" s="4"/>
      <c r="R177" s="4">
        <f t="shared" si="11"/>
        <v>0</v>
      </c>
      <c r="S177" s="4">
        <f t="shared" si="10"/>
        <v>1</v>
      </c>
      <c r="T177" s="4" t="s">
        <v>298</v>
      </c>
      <c r="U177" s="4" t="s">
        <v>361</v>
      </c>
      <c r="V177" s="4"/>
      <c r="W177" s="3" t="s">
        <v>849</v>
      </c>
      <c r="X177" s="3"/>
      <c r="Y177" s="3"/>
    </row>
    <row r="178" spans="1:25">
      <c r="A178" s="3">
        <v>177</v>
      </c>
      <c r="B178" s="4" t="s">
        <v>526</v>
      </c>
      <c r="C178" s="4">
        <f>MATCH($E178,[1]Message!$C:$C,0)</f>
        <v>29</v>
      </c>
      <c r="D178" s="4" t="str">
        <f>VLOOKUP($E178,[1]Message!$C:$I,3,FALSE)</f>
        <v>0x0813EE41</v>
      </c>
      <c r="E178" s="4" t="str">
        <f>VLOOKUP($B178,[1]Message!$B:$C,2,FALSE)</f>
        <v>U2P_SUMDATA18</v>
      </c>
      <c r="F178" s="4">
        <f>VLOOKUP($E178,[1]Message!$C:$I,4,FALSE)</f>
        <v>8</v>
      </c>
      <c r="G178" s="4" t="str">
        <f>VLOOKUP($E178,[1]Message!$C:$I,5,FALSE)</f>
        <v>BMU</v>
      </c>
      <c r="H178" s="4" t="str">
        <f>VLOOKUP($E178,[1]Message!$C:$I,6,FALSE)</f>
        <v>Event</v>
      </c>
      <c r="I178" s="4">
        <f>VLOOKUP($E178,[1]Message!$C:$I,7,FALSE)</f>
        <v>0</v>
      </c>
      <c r="J178" s="4"/>
      <c r="K178" s="4" t="s">
        <v>325</v>
      </c>
      <c r="L178" s="4">
        <v>23</v>
      </c>
      <c r="M178" s="4">
        <v>1</v>
      </c>
      <c r="N178" s="4">
        <v>1</v>
      </c>
      <c r="O178" s="4">
        <v>0</v>
      </c>
      <c r="P178" s="4">
        <v>0</v>
      </c>
      <c r="Q178" s="4"/>
      <c r="R178" s="4">
        <f t="shared" si="11"/>
        <v>0</v>
      </c>
      <c r="S178" s="4">
        <f t="shared" si="10"/>
        <v>1</v>
      </c>
      <c r="T178" s="4" t="s">
        <v>298</v>
      </c>
      <c r="U178" s="4" t="s">
        <v>361</v>
      </c>
      <c r="V178" s="4"/>
      <c r="W178" s="3" t="s">
        <v>849</v>
      </c>
      <c r="X178" s="3"/>
      <c r="Y178" s="3"/>
    </row>
    <row r="179" spans="1:25" s="31" customFormat="1">
      <c r="A179" s="3">
        <v>178</v>
      </c>
      <c r="B179" s="4" t="s">
        <v>526</v>
      </c>
      <c r="C179" s="4">
        <f>MATCH($E179,[1]Message!$C:$C,0)</f>
        <v>29</v>
      </c>
      <c r="D179" s="4" t="str">
        <f>VLOOKUP($E179,[1]Message!$C:$I,3,FALSE)</f>
        <v>0x0813EE41</v>
      </c>
      <c r="E179" s="4" t="str">
        <f>VLOOKUP($B179,[1]Message!$B:$C,2,FALSE)</f>
        <v>U2P_SUMDATA18</v>
      </c>
      <c r="F179" s="4">
        <f>VLOOKUP($E179,[1]Message!$C:$I,4,FALSE)</f>
        <v>8</v>
      </c>
      <c r="G179" s="4" t="str">
        <f>VLOOKUP($E179,[1]Message!$C:$I,5,FALSE)</f>
        <v>BMU</v>
      </c>
      <c r="H179" s="4" t="str">
        <f>VLOOKUP($E179,[1]Message!$C:$I,6,FALSE)</f>
        <v>Event</v>
      </c>
      <c r="I179" s="4">
        <f>VLOOKUP($E179,[1]Message!$C:$I,7,FALSE)</f>
        <v>0</v>
      </c>
      <c r="J179" s="4"/>
      <c r="K179" s="4" t="s">
        <v>535</v>
      </c>
      <c r="L179" s="4">
        <v>24</v>
      </c>
      <c r="M179" s="4">
        <v>1</v>
      </c>
      <c r="N179" s="4">
        <v>1</v>
      </c>
      <c r="O179" s="4">
        <v>0</v>
      </c>
      <c r="P179" s="4">
        <v>0</v>
      </c>
      <c r="Q179" s="4"/>
      <c r="R179" s="4">
        <f t="shared" si="11"/>
        <v>0</v>
      </c>
      <c r="S179" s="4">
        <f t="shared" si="10"/>
        <v>1</v>
      </c>
      <c r="T179" s="4" t="s">
        <v>298</v>
      </c>
      <c r="U179" s="4" t="s">
        <v>938</v>
      </c>
      <c r="V179" s="4" t="s">
        <v>342</v>
      </c>
      <c r="W179" s="3" t="s">
        <v>895</v>
      </c>
      <c r="X179" s="3"/>
      <c r="Y179" s="3"/>
    </row>
    <row r="180" spans="1:25" s="31" customFormat="1">
      <c r="A180" s="3">
        <v>179</v>
      </c>
      <c r="B180" s="4" t="s">
        <v>526</v>
      </c>
      <c r="C180" s="4">
        <f>MATCH($E180,[1]Message!$C:$C,0)</f>
        <v>29</v>
      </c>
      <c r="D180" s="4" t="str">
        <f>VLOOKUP($E180,[1]Message!$C:$I,3,FALSE)</f>
        <v>0x0813EE41</v>
      </c>
      <c r="E180" s="4" t="str">
        <f>VLOOKUP($B180,[1]Message!$B:$C,2,FALSE)</f>
        <v>U2P_SUMDATA18</v>
      </c>
      <c r="F180" s="4">
        <f>VLOOKUP($E180,[1]Message!$C:$I,4,FALSE)</f>
        <v>8</v>
      </c>
      <c r="G180" s="4" t="str">
        <f>VLOOKUP($E180,[1]Message!$C:$I,5,FALSE)</f>
        <v>BMU</v>
      </c>
      <c r="H180" s="4" t="str">
        <f>VLOOKUP($E180,[1]Message!$C:$I,6,FALSE)</f>
        <v>Event</v>
      </c>
      <c r="I180" s="4">
        <f>VLOOKUP($E180,[1]Message!$C:$I,7,FALSE)</f>
        <v>0</v>
      </c>
      <c r="J180" s="4"/>
      <c r="K180" s="4" t="s">
        <v>536</v>
      </c>
      <c r="L180" s="4">
        <v>25</v>
      </c>
      <c r="M180" s="4">
        <v>1</v>
      </c>
      <c r="N180" s="4">
        <v>1</v>
      </c>
      <c r="O180" s="4">
        <v>0</v>
      </c>
      <c r="P180" s="4">
        <v>0</v>
      </c>
      <c r="Q180" s="4"/>
      <c r="R180" s="4">
        <f t="shared" si="11"/>
        <v>0</v>
      </c>
      <c r="S180" s="4">
        <f t="shared" si="10"/>
        <v>1</v>
      </c>
      <c r="T180" s="4" t="s">
        <v>298</v>
      </c>
      <c r="U180" s="4" t="s">
        <v>939</v>
      </c>
      <c r="V180" s="4" t="s">
        <v>342</v>
      </c>
      <c r="W180" s="3" t="s">
        <v>895</v>
      </c>
      <c r="X180" s="3"/>
      <c r="Y180" s="3"/>
    </row>
    <row r="181" spans="1:25" s="31" customFormat="1">
      <c r="A181" s="3">
        <v>180</v>
      </c>
      <c r="B181" s="4" t="s">
        <v>526</v>
      </c>
      <c r="C181" s="4">
        <f>MATCH($E181,[1]Message!$C:$C,0)</f>
        <v>29</v>
      </c>
      <c r="D181" s="4" t="str">
        <f>VLOOKUP($E181,[1]Message!$C:$I,3,FALSE)</f>
        <v>0x0813EE41</v>
      </c>
      <c r="E181" s="4" t="str">
        <f>VLOOKUP($B181,[1]Message!$B:$C,2,FALSE)</f>
        <v>U2P_SUMDATA18</v>
      </c>
      <c r="F181" s="4">
        <f>VLOOKUP($E181,[1]Message!$C:$I,4,FALSE)</f>
        <v>8</v>
      </c>
      <c r="G181" s="4" t="str">
        <f>VLOOKUP($E181,[1]Message!$C:$I,5,FALSE)</f>
        <v>BMU</v>
      </c>
      <c r="H181" s="4" t="str">
        <f>VLOOKUP($E181,[1]Message!$C:$I,6,FALSE)</f>
        <v>Event</v>
      </c>
      <c r="I181" s="4">
        <f>VLOOKUP($E181,[1]Message!$C:$I,7,FALSE)</f>
        <v>0</v>
      </c>
      <c r="J181" s="4"/>
      <c r="K181" s="4" t="s">
        <v>537</v>
      </c>
      <c r="L181" s="4">
        <v>26</v>
      </c>
      <c r="M181" s="4">
        <v>1</v>
      </c>
      <c r="N181" s="4">
        <v>1</v>
      </c>
      <c r="O181" s="4">
        <v>0</v>
      </c>
      <c r="P181" s="4">
        <v>0</v>
      </c>
      <c r="Q181" s="4"/>
      <c r="R181" s="4">
        <f t="shared" si="11"/>
        <v>0</v>
      </c>
      <c r="S181" s="4">
        <f t="shared" si="10"/>
        <v>1</v>
      </c>
      <c r="T181" s="4" t="s">
        <v>538</v>
      </c>
      <c r="U181" s="4" t="s">
        <v>940</v>
      </c>
      <c r="V181" s="4" t="s">
        <v>539</v>
      </c>
      <c r="W181" s="3" t="s">
        <v>895</v>
      </c>
      <c r="X181" s="3"/>
      <c r="Y181" s="3"/>
    </row>
    <row r="182" spans="1:25" s="31" customFormat="1">
      <c r="A182" s="3">
        <v>181</v>
      </c>
      <c r="B182" s="4" t="s">
        <v>526</v>
      </c>
      <c r="C182" s="4">
        <f>MATCH($E182,[1]Message!$C:$C,0)</f>
        <v>29</v>
      </c>
      <c r="D182" s="4" t="str">
        <f>VLOOKUP($E182,[1]Message!$C:$I,3,FALSE)</f>
        <v>0x0813EE41</v>
      </c>
      <c r="E182" s="4" t="str">
        <f>VLOOKUP($B182,[1]Message!$B:$C,2,FALSE)</f>
        <v>U2P_SUMDATA18</v>
      </c>
      <c r="F182" s="4">
        <f>VLOOKUP($E182,[1]Message!$C:$I,4,FALSE)</f>
        <v>8</v>
      </c>
      <c r="G182" s="4" t="str">
        <f>VLOOKUP($E182,[1]Message!$C:$I,5,FALSE)</f>
        <v>BMU</v>
      </c>
      <c r="H182" s="4" t="str">
        <f>VLOOKUP($E182,[1]Message!$C:$I,6,FALSE)</f>
        <v>Event</v>
      </c>
      <c r="I182" s="4">
        <f>VLOOKUP($E182,[1]Message!$C:$I,7,FALSE)</f>
        <v>0</v>
      </c>
      <c r="J182" s="4"/>
      <c r="K182" s="4" t="s">
        <v>540</v>
      </c>
      <c r="L182" s="4">
        <v>27</v>
      </c>
      <c r="M182" s="4">
        <v>1</v>
      </c>
      <c r="N182" s="4">
        <v>1</v>
      </c>
      <c r="O182" s="4">
        <v>0</v>
      </c>
      <c r="P182" s="4">
        <v>0</v>
      </c>
      <c r="Q182" s="4"/>
      <c r="R182" s="4">
        <f t="shared" si="11"/>
        <v>0</v>
      </c>
      <c r="S182" s="4">
        <f t="shared" si="10"/>
        <v>1</v>
      </c>
      <c r="T182" s="4" t="s">
        <v>298</v>
      </c>
      <c r="U182" s="4" t="s">
        <v>941</v>
      </c>
      <c r="V182" s="4" t="s">
        <v>342</v>
      </c>
      <c r="W182" s="3" t="s">
        <v>895</v>
      </c>
      <c r="X182" s="3"/>
      <c r="Y182" s="3"/>
    </row>
    <row r="183" spans="1:25">
      <c r="A183" s="3">
        <v>182</v>
      </c>
      <c r="B183" s="4" t="s">
        <v>534</v>
      </c>
      <c r="C183" s="4">
        <f>MATCH($E183,[1]Message!$C:$C,0)</f>
        <v>29</v>
      </c>
      <c r="D183" s="4" t="str">
        <f>VLOOKUP($E183,[1]Message!$C:$I,3,FALSE)</f>
        <v>0x0813EE41</v>
      </c>
      <c r="E183" s="4" t="str">
        <f>VLOOKUP($B183,[1]Message!$B:$C,2,FALSE)</f>
        <v>U2P_SUMDATA18</v>
      </c>
      <c r="F183" s="4">
        <f>VLOOKUP($E183,[1]Message!$C:$I,4,FALSE)</f>
        <v>8</v>
      </c>
      <c r="G183" s="4" t="str">
        <f>VLOOKUP($E183,[1]Message!$C:$I,5,FALSE)</f>
        <v>BMU</v>
      </c>
      <c r="H183" s="4" t="str">
        <f>VLOOKUP($E183,[1]Message!$C:$I,6,FALSE)</f>
        <v>Event</v>
      </c>
      <c r="I183" s="4">
        <f>VLOOKUP($E183,[1]Message!$C:$I,7,FALSE)</f>
        <v>0</v>
      </c>
      <c r="J183" s="4"/>
      <c r="K183" s="4" t="s">
        <v>541</v>
      </c>
      <c r="L183" s="4">
        <v>28</v>
      </c>
      <c r="M183" s="4">
        <v>1</v>
      </c>
      <c r="N183" s="4">
        <v>1</v>
      </c>
      <c r="O183" s="4">
        <v>0</v>
      </c>
      <c r="P183" s="4">
        <v>0</v>
      </c>
      <c r="Q183" s="4"/>
      <c r="R183" s="4">
        <f t="shared" si="11"/>
        <v>0</v>
      </c>
      <c r="S183" s="4">
        <f t="shared" si="10"/>
        <v>1</v>
      </c>
      <c r="T183" s="4" t="s">
        <v>298</v>
      </c>
      <c r="U183" s="4" t="s">
        <v>542</v>
      </c>
      <c r="V183" s="4" t="s">
        <v>342</v>
      </c>
      <c r="W183" s="3" t="s">
        <v>849</v>
      </c>
      <c r="X183" s="3"/>
      <c r="Y183" s="3"/>
    </row>
    <row r="184" spans="1:25">
      <c r="A184" s="3">
        <v>183</v>
      </c>
      <c r="B184" s="4" t="s">
        <v>526</v>
      </c>
      <c r="C184" s="4">
        <f>MATCH($E184,[1]Message!$C:$C,0)</f>
        <v>29</v>
      </c>
      <c r="D184" s="4" t="str">
        <f>VLOOKUP($E184,[1]Message!$C:$I,3,FALSE)</f>
        <v>0x0813EE41</v>
      </c>
      <c r="E184" s="4" t="str">
        <f>VLOOKUP($B184,[1]Message!$B:$C,2,FALSE)</f>
        <v>U2P_SUMDATA18</v>
      </c>
      <c r="F184" s="4">
        <f>VLOOKUP($E184,[1]Message!$C:$I,4,FALSE)</f>
        <v>8</v>
      </c>
      <c r="G184" s="4" t="str">
        <f>VLOOKUP($E184,[1]Message!$C:$I,5,FALSE)</f>
        <v>BMU</v>
      </c>
      <c r="H184" s="4" t="str">
        <f>VLOOKUP($E184,[1]Message!$C:$I,6,FALSE)</f>
        <v>Event</v>
      </c>
      <c r="I184" s="4">
        <f>VLOOKUP($E184,[1]Message!$C:$I,7,FALSE)</f>
        <v>0</v>
      </c>
      <c r="J184" s="4"/>
      <c r="K184" s="4" t="s">
        <v>543</v>
      </c>
      <c r="L184" s="4">
        <v>29</v>
      </c>
      <c r="M184" s="4">
        <v>1</v>
      </c>
      <c r="N184" s="4">
        <v>1</v>
      </c>
      <c r="O184" s="4">
        <v>0</v>
      </c>
      <c r="P184" s="4"/>
      <c r="Q184" s="4"/>
      <c r="R184" s="4">
        <f t="shared" si="11"/>
        <v>0</v>
      </c>
      <c r="S184" s="4">
        <f t="shared" si="10"/>
        <v>1</v>
      </c>
      <c r="T184" s="4" t="s">
        <v>298</v>
      </c>
      <c r="U184" s="4" t="s">
        <v>544</v>
      </c>
      <c r="V184" s="4" t="s">
        <v>342</v>
      </c>
      <c r="W184" s="3" t="s">
        <v>849</v>
      </c>
      <c r="X184" s="3"/>
      <c r="Y184" s="3"/>
    </row>
    <row r="185" spans="1:25" s="32" customFormat="1">
      <c r="A185" s="3">
        <v>184</v>
      </c>
      <c r="B185" s="4" t="s">
        <v>526</v>
      </c>
      <c r="C185" s="4">
        <f>MATCH($E185,[1]Message!$C:$C,0)</f>
        <v>29</v>
      </c>
      <c r="D185" s="4" t="str">
        <f>VLOOKUP($E185,[1]Message!$C:$I,3,FALSE)</f>
        <v>0x0813EE41</v>
      </c>
      <c r="E185" s="4" t="str">
        <f>VLOOKUP($B185,[1]Message!$B:$C,2,FALSE)</f>
        <v>U2P_SUMDATA18</v>
      </c>
      <c r="F185" s="4">
        <f>VLOOKUP($E185,[1]Message!$C:$I,4,FALSE)</f>
        <v>8</v>
      </c>
      <c r="G185" s="4" t="str">
        <f>VLOOKUP($E185,[1]Message!$C:$I,5,FALSE)</f>
        <v>BMU</v>
      </c>
      <c r="H185" s="4" t="str">
        <f>VLOOKUP($E185,[1]Message!$C:$I,6,FALSE)</f>
        <v>Event</v>
      </c>
      <c r="I185" s="4">
        <f>VLOOKUP($E185,[1]Message!$C:$I,7,FALSE)</f>
        <v>0</v>
      </c>
      <c r="J185" s="4"/>
      <c r="K185" s="4" t="s">
        <v>545</v>
      </c>
      <c r="L185" s="4">
        <v>30</v>
      </c>
      <c r="M185" s="4">
        <v>1</v>
      </c>
      <c r="N185" s="4">
        <v>1</v>
      </c>
      <c r="O185" s="4">
        <v>0</v>
      </c>
      <c r="P185" s="4">
        <v>0</v>
      </c>
      <c r="Q185" s="4"/>
      <c r="R185" s="4">
        <f t="shared" si="11"/>
        <v>0</v>
      </c>
      <c r="S185" s="4">
        <f t="shared" si="10"/>
        <v>1</v>
      </c>
      <c r="T185" s="4" t="s">
        <v>298</v>
      </c>
      <c r="U185" s="4" t="s">
        <v>942</v>
      </c>
      <c r="V185" s="4" t="s">
        <v>342</v>
      </c>
      <c r="W185" s="3" t="s">
        <v>905</v>
      </c>
      <c r="X185" s="3"/>
      <c r="Y185" s="3"/>
    </row>
    <row r="186" spans="1:25" s="32" customFormat="1">
      <c r="A186" s="3">
        <v>185</v>
      </c>
      <c r="B186" s="4" t="s">
        <v>526</v>
      </c>
      <c r="C186" s="4">
        <f>MATCH($E186,[1]Message!$C:$C,0)</f>
        <v>29</v>
      </c>
      <c r="D186" s="4" t="str">
        <f>VLOOKUP($E186,[1]Message!$C:$I,3,FALSE)</f>
        <v>0x0813EE41</v>
      </c>
      <c r="E186" s="4" t="str">
        <f>VLOOKUP($B186,[1]Message!$B:$C,2,FALSE)</f>
        <v>U2P_SUMDATA18</v>
      </c>
      <c r="F186" s="4">
        <f>VLOOKUP($E186,[1]Message!$C:$I,4,FALSE)</f>
        <v>8</v>
      </c>
      <c r="G186" s="4" t="str">
        <f>VLOOKUP($E186,[1]Message!$C:$I,5,FALSE)</f>
        <v>BMU</v>
      </c>
      <c r="H186" s="4" t="str">
        <f>VLOOKUP($E186,[1]Message!$C:$I,6,FALSE)</f>
        <v>Event</v>
      </c>
      <c r="I186" s="4">
        <f>VLOOKUP($E186,[1]Message!$C:$I,7,FALSE)</f>
        <v>0</v>
      </c>
      <c r="J186" s="4"/>
      <c r="K186" s="4" t="s">
        <v>546</v>
      </c>
      <c r="L186" s="4">
        <v>31</v>
      </c>
      <c r="M186" s="4">
        <v>1</v>
      </c>
      <c r="N186" s="4">
        <v>1</v>
      </c>
      <c r="O186" s="4">
        <v>0</v>
      </c>
      <c r="P186" s="4">
        <v>0</v>
      </c>
      <c r="Q186" s="4"/>
      <c r="R186" s="4">
        <f>0*N186+O186</f>
        <v>0</v>
      </c>
      <c r="S186" s="4">
        <f>(2^(M186)-1)*N186+O186</f>
        <v>1</v>
      </c>
      <c r="T186" s="4" t="s">
        <v>298</v>
      </c>
      <c r="U186" s="4" t="s">
        <v>943</v>
      </c>
      <c r="V186" s="4" t="s">
        <v>342</v>
      </c>
      <c r="W186" s="3" t="s">
        <v>905</v>
      </c>
      <c r="X186" s="3"/>
      <c r="Y186" s="3"/>
    </row>
    <row r="187" spans="1:25" s="32" customFormat="1">
      <c r="A187" s="3">
        <v>186</v>
      </c>
      <c r="B187" s="4" t="s">
        <v>526</v>
      </c>
      <c r="C187" s="4">
        <f>MATCH($E187,[1]Message!$C:$C,0)</f>
        <v>29</v>
      </c>
      <c r="D187" s="4" t="str">
        <f>VLOOKUP($E187,[1]Message!$C:$I,3,FALSE)</f>
        <v>0x0813EE41</v>
      </c>
      <c r="E187" s="4" t="str">
        <f>VLOOKUP($B187,[1]Message!$B:$C,2,FALSE)</f>
        <v>U2P_SUMDATA18</v>
      </c>
      <c r="F187" s="4">
        <f>VLOOKUP($E187,[1]Message!$C:$I,4,FALSE)</f>
        <v>8</v>
      </c>
      <c r="G187" s="4" t="str">
        <f>VLOOKUP($E187,[1]Message!$C:$I,5,FALSE)</f>
        <v>BMU</v>
      </c>
      <c r="H187" s="4" t="str">
        <f>VLOOKUP($E187,[1]Message!$C:$I,6,FALSE)</f>
        <v>Event</v>
      </c>
      <c r="I187" s="4">
        <f>VLOOKUP($E187,[1]Message!$C:$I,7,FALSE)</f>
        <v>0</v>
      </c>
      <c r="J187" s="4"/>
      <c r="K187" s="4" t="s">
        <v>547</v>
      </c>
      <c r="L187" s="4">
        <v>32</v>
      </c>
      <c r="M187" s="4">
        <v>1</v>
      </c>
      <c r="N187" s="4">
        <v>1</v>
      </c>
      <c r="O187" s="4">
        <v>0</v>
      </c>
      <c r="P187" s="4">
        <v>0</v>
      </c>
      <c r="Q187" s="4"/>
      <c r="R187" s="4">
        <f>0*N187+O187</f>
        <v>0</v>
      </c>
      <c r="S187" s="4">
        <f>(2^(M187)-1)*N187+O187</f>
        <v>1</v>
      </c>
      <c r="T187" s="4" t="s">
        <v>538</v>
      </c>
      <c r="U187" s="4" t="s">
        <v>944</v>
      </c>
      <c r="V187" s="4" t="s">
        <v>539</v>
      </c>
      <c r="W187" s="3" t="s">
        <v>905</v>
      </c>
      <c r="X187" s="3"/>
      <c r="Y187" s="3"/>
    </row>
    <row r="188" spans="1:25" s="32" customFormat="1">
      <c r="A188" s="3">
        <v>187</v>
      </c>
      <c r="B188" s="4" t="s">
        <v>526</v>
      </c>
      <c r="C188" s="4">
        <f>MATCH($E188,[1]Message!$C:$C,0)</f>
        <v>29</v>
      </c>
      <c r="D188" s="4" t="str">
        <f>VLOOKUP($E188,[1]Message!$C:$I,3,FALSE)</f>
        <v>0x0813EE41</v>
      </c>
      <c r="E188" s="4" t="str">
        <f>VLOOKUP($B188,[1]Message!$B:$C,2,FALSE)</f>
        <v>U2P_SUMDATA18</v>
      </c>
      <c r="F188" s="4">
        <f>VLOOKUP($E188,[1]Message!$C:$I,4,FALSE)</f>
        <v>8</v>
      </c>
      <c r="G188" s="4" t="str">
        <f>VLOOKUP($E188,[1]Message!$C:$I,5,FALSE)</f>
        <v>BMU</v>
      </c>
      <c r="H188" s="4" t="str">
        <f>VLOOKUP($E188,[1]Message!$C:$I,6,FALSE)</f>
        <v>Event</v>
      </c>
      <c r="I188" s="4">
        <f>VLOOKUP($E188,[1]Message!$C:$I,7,FALSE)</f>
        <v>0</v>
      </c>
      <c r="J188" s="4"/>
      <c r="K188" s="4" t="s">
        <v>548</v>
      </c>
      <c r="L188" s="4">
        <v>33</v>
      </c>
      <c r="M188" s="4">
        <v>1</v>
      </c>
      <c r="N188" s="4">
        <v>1</v>
      </c>
      <c r="O188" s="4">
        <v>0</v>
      </c>
      <c r="P188" s="4">
        <v>0</v>
      </c>
      <c r="Q188" s="4"/>
      <c r="R188" s="4">
        <f>0*N188+O188</f>
        <v>0</v>
      </c>
      <c r="S188" s="4">
        <f>(2^(M188)-1)*N188+O188</f>
        <v>1</v>
      </c>
      <c r="T188" s="4" t="s">
        <v>298</v>
      </c>
      <c r="U188" s="4" t="s">
        <v>945</v>
      </c>
      <c r="V188" s="4" t="s">
        <v>342</v>
      </c>
      <c r="W188" s="3" t="s">
        <v>905</v>
      </c>
      <c r="X188" s="3"/>
      <c r="Y188" s="3"/>
    </row>
    <row r="189" spans="1:25">
      <c r="A189" s="3">
        <v>188</v>
      </c>
      <c r="B189" s="4" t="s">
        <v>526</v>
      </c>
      <c r="C189" s="4">
        <f>MATCH($E189,[1]Message!$C:$C,0)</f>
        <v>29</v>
      </c>
      <c r="D189" s="4" t="str">
        <f>VLOOKUP($E189,[1]Message!$C:$I,3,FALSE)</f>
        <v>0x0813EE41</v>
      </c>
      <c r="E189" s="4" t="str">
        <f>VLOOKUP($B189,[1]Message!$B:$C,2,FALSE)</f>
        <v>U2P_SUMDATA18</v>
      </c>
      <c r="F189" s="4">
        <f>VLOOKUP($E189,[1]Message!$C:$I,4,FALSE)</f>
        <v>8</v>
      </c>
      <c r="G189" s="4" t="str">
        <f>VLOOKUP($E189,[1]Message!$C:$I,5,FALSE)</f>
        <v>BMU</v>
      </c>
      <c r="H189" s="4" t="str">
        <f>VLOOKUP($E189,[1]Message!$C:$I,6,FALSE)</f>
        <v>Event</v>
      </c>
      <c r="I189" s="4">
        <f>VLOOKUP($E189,[1]Message!$C:$I,7,FALSE)</f>
        <v>0</v>
      </c>
      <c r="J189" s="4"/>
      <c r="K189" s="4" t="s">
        <v>504</v>
      </c>
      <c r="L189" s="4">
        <v>34</v>
      </c>
      <c r="M189" s="4">
        <v>4</v>
      </c>
      <c r="N189" s="4">
        <v>1</v>
      </c>
      <c r="O189" s="4">
        <v>0</v>
      </c>
      <c r="P189" s="4"/>
      <c r="Q189" s="4"/>
      <c r="R189" s="4">
        <f>0*N189+O189</f>
        <v>0</v>
      </c>
      <c r="S189" s="4">
        <f>(2^(M189)-1)*N189+O189</f>
        <v>15</v>
      </c>
      <c r="T189" s="4" t="s">
        <v>298</v>
      </c>
      <c r="U189" s="4" t="s">
        <v>361</v>
      </c>
      <c r="V189" s="4"/>
      <c r="W189" s="3" t="s">
        <v>849</v>
      </c>
      <c r="X189" s="3"/>
      <c r="Y189" s="3"/>
    </row>
    <row r="190" spans="1:25">
      <c r="A190" s="3">
        <v>189</v>
      </c>
      <c r="B190" s="4" t="s">
        <v>526</v>
      </c>
      <c r="C190" s="4">
        <f>MATCH($E190,[1]Message!$C:$C,0)</f>
        <v>29</v>
      </c>
      <c r="D190" s="4" t="str">
        <f>VLOOKUP($E190,[1]Message!$C:$I,3,FALSE)</f>
        <v>0x0813EE41</v>
      </c>
      <c r="E190" s="4" t="str">
        <f>VLOOKUP($B190,[1]Message!$B:$C,2,FALSE)</f>
        <v>U2P_SUMDATA18</v>
      </c>
      <c r="F190" s="4">
        <f>VLOOKUP($E190,[1]Message!$C:$I,4,FALSE)</f>
        <v>8</v>
      </c>
      <c r="G190" s="4" t="str">
        <f>VLOOKUP($E190,[1]Message!$C:$I,5,FALSE)</f>
        <v>BMU</v>
      </c>
      <c r="H190" s="4" t="str">
        <f>VLOOKUP($E190,[1]Message!$C:$I,6,FALSE)</f>
        <v>Event</v>
      </c>
      <c r="I190" s="4">
        <f>VLOOKUP($E190,[1]Message!$C:$I,7,FALSE)</f>
        <v>0</v>
      </c>
      <c r="J190" s="4"/>
      <c r="K190" s="4" t="s">
        <v>549</v>
      </c>
      <c r="L190" s="4">
        <v>38</v>
      </c>
      <c r="M190" s="4">
        <v>16</v>
      </c>
      <c r="N190" s="4">
        <v>0.1</v>
      </c>
      <c r="O190" s="4">
        <v>0</v>
      </c>
      <c r="P190" s="4"/>
      <c r="Q190" s="4" t="s">
        <v>334</v>
      </c>
      <c r="R190" s="4">
        <f t="shared" si="11"/>
        <v>0</v>
      </c>
      <c r="S190" s="4">
        <f t="shared" si="10"/>
        <v>6553.5</v>
      </c>
      <c r="T190" s="4" t="s">
        <v>298</v>
      </c>
      <c r="U190" s="4" t="s">
        <v>550</v>
      </c>
      <c r="V190" s="4"/>
      <c r="W190" s="3" t="s">
        <v>849</v>
      </c>
      <c r="X190" s="3"/>
      <c r="Y190" s="3"/>
    </row>
    <row r="191" spans="1:25">
      <c r="A191" s="3">
        <v>190</v>
      </c>
      <c r="B191" s="4" t="s">
        <v>526</v>
      </c>
      <c r="C191" s="4">
        <f>MATCH($E191,[1]Message!$C:$C,0)</f>
        <v>29</v>
      </c>
      <c r="D191" s="4" t="str">
        <f>VLOOKUP($E191,[1]Message!$C:$I,3,FALSE)</f>
        <v>0x0813EE41</v>
      </c>
      <c r="E191" s="4" t="str">
        <f>VLOOKUP($B191,[1]Message!$B:$C,2,FALSE)</f>
        <v>U2P_SUMDATA18</v>
      </c>
      <c r="F191" s="4">
        <f>VLOOKUP($E191,[1]Message!$C:$I,4,FALSE)</f>
        <v>8</v>
      </c>
      <c r="G191" s="4" t="str">
        <f>VLOOKUP($E191,[1]Message!$C:$I,5,FALSE)</f>
        <v>BMU</v>
      </c>
      <c r="H191" s="4" t="str">
        <f>VLOOKUP($E191,[1]Message!$C:$I,6,FALSE)</f>
        <v>Event</v>
      </c>
      <c r="I191" s="4">
        <f>VLOOKUP($E191,[1]Message!$C:$I,7,FALSE)</f>
        <v>0</v>
      </c>
      <c r="J191" s="4"/>
      <c r="K191" s="4" t="s">
        <v>551</v>
      </c>
      <c r="L191" s="4">
        <v>54</v>
      </c>
      <c r="M191" s="4">
        <v>10</v>
      </c>
      <c r="N191" s="4">
        <v>2</v>
      </c>
      <c r="O191" s="4">
        <v>0</v>
      </c>
      <c r="P191" s="4">
        <v>0</v>
      </c>
      <c r="Q191" s="4" t="s">
        <v>334</v>
      </c>
      <c r="R191" s="4">
        <f t="shared" si="11"/>
        <v>0</v>
      </c>
      <c r="S191" s="4">
        <f t="shared" si="10"/>
        <v>2046</v>
      </c>
      <c r="T191" s="4" t="s">
        <v>298</v>
      </c>
      <c r="U191" s="4" t="s">
        <v>552</v>
      </c>
      <c r="V191" s="4"/>
      <c r="W191" s="3" t="s">
        <v>849</v>
      </c>
      <c r="X191" s="3"/>
      <c r="Y191" s="3"/>
    </row>
    <row r="192" spans="1:25">
      <c r="A192" s="3">
        <v>191</v>
      </c>
      <c r="B192" s="4" t="s">
        <v>553</v>
      </c>
      <c r="C192" s="4">
        <f>MATCH($E192,[1]Message!$C:$C,0)</f>
        <v>30</v>
      </c>
      <c r="D192" s="4" t="str">
        <f>VLOOKUP($E192,[1]Message!$C:$I,3,FALSE)</f>
        <v>0x0814EE41</v>
      </c>
      <c r="E192" s="4" t="str">
        <f>VLOOKUP($B192,[1]Message!$B:$C,2,FALSE)</f>
        <v>U2P_SUMDATA19</v>
      </c>
      <c r="F192" s="4">
        <f>VLOOKUP($E192,[1]Message!$C:$I,4,FALSE)</f>
        <v>8</v>
      </c>
      <c r="G192" s="4" t="str">
        <f>VLOOKUP($E192,[1]Message!$C:$I,5,FALSE)</f>
        <v>BMU</v>
      </c>
      <c r="H192" s="4" t="str">
        <f>VLOOKUP($E192,[1]Message!$C:$I,6,FALSE)</f>
        <v>Event</v>
      </c>
      <c r="I192" s="4">
        <f>VLOOKUP($E192,[1]Message!$C:$I,7,FALSE)</f>
        <v>0</v>
      </c>
      <c r="J192" s="4"/>
      <c r="K192" s="4" t="s">
        <v>554</v>
      </c>
      <c r="L192" s="4">
        <v>0</v>
      </c>
      <c r="M192" s="4">
        <v>32</v>
      </c>
      <c r="N192" s="4">
        <v>0.1</v>
      </c>
      <c r="O192" s="4">
        <v>0</v>
      </c>
      <c r="P192" s="4">
        <v>0</v>
      </c>
      <c r="Q192" s="4" t="s">
        <v>555</v>
      </c>
      <c r="R192" s="4">
        <f t="shared" si="11"/>
        <v>0</v>
      </c>
      <c r="S192" s="4">
        <f t="shared" si="10"/>
        <v>429496729.5</v>
      </c>
      <c r="T192" s="4" t="s">
        <v>538</v>
      </c>
      <c r="U192" s="4" t="s">
        <v>1011</v>
      </c>
      <c r="V192" s="4"/>
      <c r="W192" s="3" t="s">
        <v>849</v>
      </c>
      <c r="X192" s="3"/>
      <c r="Y192" s="3"/>
    </row>
    <row r="193" spans="1:25">
      <c r="A193" s="3">
        <v>192</v>
      </c>
      <c r="B193" s="4" t="s">
        <v>553</v>
      </c>
      <c r="C193" s="4">
        <f>MATCH($E193,[1]Message!$C:$C,0)</f>
        <v>30</v>
      </c>
      <c r="D193" s="4" t="str">
        <f>VLOOKUP($E193,[1]Message!$C:$I,3,FALSE)</f>
        <v>0x0814EE41</v>
      </c>
      <c r="E193" s="4" t="str">
        <f>VLOOKUP($B193,[1]Message!$B:$C,2,FALSE)</f>
        <v>U2P_SUMDATA19</v>
      </c>
      <c r="F193" s="4">
        <f>VLOOKUP($E193,[1]Message!$C:$I,4,FALSE)</f>
        <v>8</v>
      </c>
      <c r="G193" s="4" t="str">
        <f>VLOOKUP($E193,[1]Message!$C:$I,5,FALSE)</f>
        <v>BMU</v>
      </c>
      <c r="H193" s="4" t="str">
        <f>VLOOKUP($E193,[1]Message!$C:$I,6,FALSE)</f>
        <v>Event</v>
      </c>
      <c r="I193" s="4">
        <f>VLOOKUP($E193,[1]Message!$C:$I,7,FALSE)</f>
        <v>0</v>
      </c>
      <c r="J193" s="4"/>
      <c r="K193" s="4" t="s">
        <v>556</v>
      </c>
      <c r="L193" s="4">
        <v>32</v>
      </c>
      <c r="M193" s="4">
        <v>32</v>
      </c>
      <c r="N193" s="4">
        <v>0.1</v>
      </c>
      <c r="O193" s="4">
        <v>0</v>
      </c>
      <c r="P193" s="4">
        <v>0</v>
      </c>
      <c r="Q193" s="4" t="s">
        <v>557</v>
      </c>
      <c r="R193" s="4">
        <f t="shared" si="11"/>
        <v>0</v>
      </c>
      <c r="S193" s="4">
        <f t="shared" si="10"/>
        <v>429496729.5</v>
      </c>
      <c r="T193" s="4" t="s">
        <v>298</v>
      </c>
      <c r="U193" s="4" t="s">
        <v>1012</v>
      </c>
      <c r="V193" s="4"/>
      <c r="W193" s="3" t="s">
        <v>849</v>
      </c>
      <c r="X193" s="3"/>
      <c r="Y193" s="3"/>
    </row>
    <row r="194" spans="1:25">
      <c r="A194" s="3">
        <v>193</v>
      </c>
      <c r="B194" s="4" t="s">
        <v>558</v>
      </c>
      <c r="C194" s="4">
        <f>MATCH($E194,[1]Message!$C:$C,0)</f>
        <v>31</v>
      </c>
      <c r="D194" s="4" t="str">
        <f>VLOOKUP($E194,[1]Message!$C:$I,3,FALSE)</f>
        <v>0x0815EE41</v>
      </c>
      <c r="E194" s="4" t="str">
        <f>VLOOKUP($B194,[1]Message!$B:$C,2,FALSE)</f>
        <v>U2P_SUMDATA20</v>
      </c>
      <c r="F194" s="4">
        <f>VLOOKUP($E194,[1]Message!$C:$I,4,FALSE)</f>
        <v>8</v>
      </c>
      <c r="G194" s="4" t="str">
        <f>VLOOKUP($E194,[1]Message!$C:$I,5,FALSE)</f>
        <v>BMU</v>
      </c>
      <c r="H194" s="4" t="str">
        <f>VLOOKUP($E194,[1]Message!$C:$I,6,FALSE)</f>
        <v>Event</v>
      </c>
      <c r="I194" s="4">
        <f>VLOOKUP($E194,[1]Message!$C:$I,7,FALSE)</f>
        <v>0</v>
      </c>
      <c r="J194" s="4"/>
      <c r="K194" s="4" t="s">
        <v>559</v>
      </c>
      <c r="L194" s="4">
        <v>0</v>
      </c>
      <c r="M194" s="4">
        <v>16</v>
      </c>
      <c r="N194" s="4">
        <v>0.1</v>
      </c>
      <c r="O194" s="4">
        <v>0</v>
      </c>
      <c r="P194" s="4">
        <v>0</v>
      </c>
      <c r="Q194" s="4" t="s">
        <v>560</v>
      </c>
      <c r="R194" s="4">
        <f t="shared" si="11"/>
        <v>0</v>
      </c>
      <c r="S194" s="4">
        <f t="shared" si="10"/>
        <v>6553.5</v>
      </c>
      <c r="T194" s="4" t="s">
        <v>561</v>
      </c>
      <c r="U194" s="4" t="s">
        <v>1013</v>
      </c>
      <c r="V194" s="4"/>
      <c r="W194" s="3" t="s">
        <v>849</v>
      </c>
      <c r="X194" s="3"/>
      <c r="Y194" s="3"/>
    </row>
    <row r="195" spans="1:25">
      <c r="A195" s="3">
        <v>194</v>
      </c>
      <c r="B195" s="4" t="s">
        <v>558</v>
      </c>
      <c r="C195" s="4">
        <f>MATCH($E195,[1]Message!$C:$C,0)</f>
        <v>31</v>
      </c>
      <c r="D195" s="4" t="str">
        <f>VLOOKUP($E195,[1]Message!$C:$I,3,FALSE)</f>
        <v>0x0815EE41</v>
      </c>
      <c r="E195" s="4" t="str">
        <f>VLOOKUP($B195,[1]Message!$B:$C,2,FALSE)</f>
        <v>U2P_SUMDATA20</v>
      </c>
      <c r="F195" s="4">
        <f>VLOOKUP($E195,[1]Message!$C:$I,4,FALSE)</f>
        <v>8</v>
      </c>
      <c r="G195" s="4" t="str">
        <f>VLOOKUP($E195,[1]Message!$C:$I,5,FALSE)</f>
        <v>BMU</v>
      </c>
      <c r="H195" s="4" t="str">
        <f>VLOOKUP($E195,[1]Message!$C:$I,6,FALSE)</f>
        <v>Event</v>
      </c>
      <c r="I195" s="4">
        <f>VLOOKUP($E195,[1]Message!$C:$I,7,FALSE)</f>
        <v>0</v>
      </c>
      <c r="J195" s="4"/>
      <c r="K195" s="4" t="s">
        <v>562</v>
      </c>
      <c r="L195" s="4">
        <v>16</v>
      </c>
      <c r="M195" s="4">
        <v>16</v>
      </c>
      <c r="N195" s="4">
        <v>0.1</v>
      </c>
      <c r="O195" s="4">
        <v>0</v>
      </c>
      <c r="P195" s="4">
        <v>0</v>
      </c>
      <c r="Q195" s="4" t="s">
        <v>560</v>
      </c>
      <c r="R195" s="4">
        <f t="shared" si="11"/>
        <v>0</v>
      </c>
      <c r="S195" s="4">
        <f t="shared" si="10"/>
        <v>6553.5</v>
      </c>
      <c r="T195" s="4" t="s">
        <v>563</v>
      </c>
      <c r="U195" s="4" t="s">
        <v>1014</v>
      </c>
      <c r="V195" s="4"/>
      <c r="W195" s="3" t="s">
        <v>849</v>
      </c>
      <c r="X195" s="3"/>
      <c r="Y195" s="3"/>
    </row>
    <row r="196" spans="1:25">
      <c r="A196" s="3">
        <v>195</v>
      </c>
      <c r="B196" s="4" t="s">
        <v>558</v>
      </c>
      <c r="C196" s="4">
        <f>MATCH($E196,[1]Message!$C:$C,0)</f>
        <v>31</v>
      </c>
      <c r="D196" s="4" t="str">
        <f>VLOOKUP($E196,[1]Message!$C:$I,3,FALSE)</f>
        <v>0x0815EE41</v>
      </c>
      <c r="E196" s="4" t="str">
        <f>VLOOKUP($B196,[1]Message!$B:$C,2,FALSE)</f>
        <v>U2P_SUMDATA20</v>
      </c>
      <c r="F196" s="4">
        <f>VLOOKUP($E196,[1]Message!$C:$I,4,FALSE)</f>
        <v>8</v>
      </c>
      <c r="G196" s="4" t="str">
        <f>VLOOKUP($E196,[1]Message!$C:$I,5,FALSE)</f>
        <v>BMU</v>
      </c>
      <c r="H196" s="4" t="str">
        <f>VLOOKUP($E196,[1]Message!$C:$I,6,FALSE)</f>
        <v>Event</v>
      </c>
      <c r="I196" s="4">
        <f>VLOOKUP($E196,[1]Message!$C:$I,7,FALSE)</f>
        <v>0</v>
      </c>
      <c r="J196" s="4"/>
      <c r="K196" s="4" t="s">
        <v>564</v>
      </c>
      <c r="L196" s="4">
        <v>32</v>
      </c>
      <c r="M196" s="4">
        <v>16</v>
      </c>
      <c r="N196" s="4">
        <v>0.1</v>
      </c>
      <c r="O196" s="4">
        <v>0</v>
      </c>
      <c r="P196" s="4">
        <v>0</v>
      </c>
      <c r="Q196" s="4" t="s">
        <v>560</v>
      </c>
      <c r="R196" s="4">
        <f t="shared" si="11"/>
        <v>0</v>
      </c>
      <c r="S196" s="4">
        <f t="shared" si="10"/>
        <v>6553.5</v>
      </c>
      <c r="T196" s="4" t="s">
        <v>563</v>
      </c>
      <c r="U196" s="4" t="s">
        <v>1015</v>
      </c>
      <c r="V196" s="4"/>
      <c r="W196" s="3" t="s">
        <v>849</v>
      </c>
      <c r="X196" s="3"/>
      <c r="Y196" s="3"/>
    </row>
    <row r="197" spans="1:25">
      <c r="A197" s="3">
        <v>196</v>
      </c>
      <c r="B197" s="4" t="s">
        <v>558</v>
      </c>
      <c r="C197" s="4">
        <f>MATCH($E197,[1]Message!$C:$C,0)</f>
        <v>31</v>
      </c>
      <c r="D197" s="4" t="str">
        <f>VLOOKUP($E197,[1]Message!$C:$I,3,FALSE)</f>
        <v>0x0815EE41</v>
      </c>
      <c r="E197" s="4" t="str">
        <f>VLOOKUP($B197,[1]Message!$B:$C,2,FALSE)</f>
        <v>U2P_SUMDATA20</v>
      </c>
      <c r="F197" s="4">
        <f>VLOOKUP($E197,[1]Message!$C:$I,4,FALSE)</f>
        <v>8</v>
      </c>
      <c r="G197" s="4" t="str">
        <f>VLOOKUP($E197,[1]Message!$C:$I,5,FALSE)</f>
        <v>BMU</v>
      </c>
      <c r="H197" s="4" t="str">
        <f>VLOOKUP($E197,[1]Message!$C:$I,6,FALSE)</f>
        <v>Event</v>
      </c>
      <c r="I197" s="4">
        <f>VLOOKUP($E197,[1]Message!$C:$I,7,FALSE)</f>
        <v>0</v>
      </c>
      <c r="J197" s="4"/>
      <c r="K197" s="4" t="s">
        <v>565</v>
      </c>
      <c r="L197" s="4">
        <v>48</v>
      </c>
      <c r="M197" s="4">
        <v>16</v>
      </c>
      <c r="N197" s="4">
        <v>0.1</v>
      </c>
      <c r="O197" s="4">
        <v>0</v>
      </c>
      <c r="P197" s="4">
        <v>0</v>
      </c>
      <c r="Q197" s="4" t="s">
        <v>560</v>
      </c>
      <c r="R197" s="4">
        <f t="shared" si="11"/>
        <v>0</v>
      </c>
      <c r="S197" s="4">
        <f t="shared" si="10"/>
        <v>6553.5</v>
      </c>
      <c r="T197" s="4" t="s">
        <v>566</v>
      </c>
      <c r="U197" s="4" t="s">
        <v>1016</v>
      </c>
      <c r="V197" s="4"/>
      <c r="W197" s="3" t="s">
        <v>849</v>
      </c>
      <c r="X197" s="3"/>
      <c r="Y197" s="3"/>
    </row>
    <row r="198" spans="1:25">
      <c r="A198" s="3">
        <v>197</v>
      </c>
      <c r="B198" s="4" t="s">
        <v>567</v>
      </c>
      <c r="C198" s="4">
        <f>MATCH($E198,[1]Message!$C:$C,0)</f>
        <v>32</v>
      </c>
      <c r="D198" s="4" t="str">
        <f>VLOOKUP($E198,[1]Message!$C:$I,3,FALSE)</f>
        <v>0x0816EE41</v>
      </c>
      <c r="E198" s="4" t="str">
        <f>VLOOKUP($B198,[1]Message!$B:$C,2,FALSE)</f>
        <v>U2P_SUMDATA21</v>
      </c>
      <c r="F198" s="4">
        <f>VLOOKUP($E198,[1]Message!$C:$I,4,FALSE)</f>
        <v>8</v>
      </c>
      <c r="G198" s="4" t="str">
        <f>VLOOKUP($E198,[1]Message!$C:$I,5,FALSE)</f>
        <v>BMU</v>
      </c>
      <c r="H198" s="4" t="str">
        <f>VLOOKUP($E198,[1]Message!$C:$I,6,FALSE)</f>
        <v>Event</v>
      </c>
      <c r="I198" s="4">
        <f>VLOOKUP($E198,[1]Message!$C:$I,7,FALSE)</f>
        <v>0</v>
      </c>
      <c r="J198" s="4"/>
      <c r="K198" s="4" t="s">
        <v>568</v>
      </c>
      <c r="L198" s="4">
        <v>0</v>
      </c>
      <c r="M198" s="4">
        <v>16</v>
      </c>
      <c r="N198" s="4">
        <v>0.1</v>
      </c>
      <c r="O198" s="4">
        <v>0</v>
      </c>
      <c r="P198" s="4">
        <v>0</v>
      </c>
      <c r="Q198" s="4" t="s">
        <v>560</v>
      </c>
      <c r="R198" s="4">
        <f t="shared" si="11"/>
        <v>0</v>
      </c>
      <c r="S198" s="4">
        <f t="shared" si="10"/>
        <v>6553.5</v>
      </c>
      <c r="T198" s="4" t="s">
        <v>563</v>
      </c>
      <c r="U198" s="4" t="s">
        <v>569</v>
      </c>
      <c r="V198" s="4"/>
      <c r="W198" s="3" t="s">
        <v>849</v>
      </c>
      <c r="X198" s="3"/>
      <c r="Y198" s="3"/>
    </row>
    <row r="199" spans="1:25">
      <c r="A199" s="3">
        <v>198</v>
      </c>
      <c r="B199" s="4" t="s">
        <v>567</v>
      </c>
      <c r="C199" s="4">
        <f>MATCH($E199,[1]Message!$C:$C,0)</f>
        <v>32</v>
      </c>
      <c r="D199" s="4" t="str">
        <f>VLOOKUP($E199,[1]Message!$C:$I,3,FALSE)</f>
        <v>0x0816EE41</v>
      </c>
      <c r="E199" s="4" t="str">
        <f>VLOOKUP($B199,[1]Message!$B:$C,2,FALSE)</f>
        <v>U2P_SUMDATA21</v>
      </c>
      <c r="F199" s="4">
        <f>VLOOKUP($E199,[1]Message!$C:$I,4,FALSE)</f>
        <v>8</v>
      </c>
      <c r="G199" s="4" t="str">
        <f>VLOOKUP($E199,[1]Message!$C:$I,5,FALSE)</f>
        <v>BMU</v>
      </c>
      <c r="H199" s="4" t="str">
        <f>VLOOKUP($E199,[1]Message!$C:$I,6,FALSE)</f>
        <v>Event</v>
      </c>
      <c r="I199" s="4">
        <f>VLOOKUP($E199,[1]Message!$C:$I,7,FALSE)</f>
        <v>0</v>
      </c>
      <c r="J199" s="4"/>
      <c r="K199" s="4" t="s">
        <v>570</v>
      </c>
      <c r="L199" s="4">
        <v>16</v>
      </c>
      <c r="M199" s="4">
        <v>16</v>
      </c>
      <c r="N199" s="4">
        <v>0.1</v>
      </c>
      <c r="O199" s="4">
        <v>0</v>
      </c>
      <c r="P199" s="4">
        <v>0</v>
      </c>
      <c r="Q199" s="4" t="s">
        <v>329</v>
      </c>
      <c r="R199" s="4">
        <f t="shared" si="11"/>
        <v>0</v>
      </c>
      <c r="S199" s="4">
        <f t="shared" si="10"/>
        <v>6553.5</v>
      </c>
      <c r="T199" s="4" t="s">
        <v>563</v>
      </c>
      <c r="U199" s="4" t="s">
        <v>1017</v>
      </c>
      <c r="V199" s="4"/>
      <c r="W199" s="3" t="s">
        <v>849</v>
      </c>
      <c r="X199" s="3"/>
      <c r="Y199" s="3"/>
    </row>
    <row r="200" spans="1:25">
      <c r="A200" s="3">
        <v>199</v>
      </c>
      <c r="B200" s="4" t="s">
        <v>567</v>
      </c>
      <c r="C200" s="4">
        <f>MATCH($E200,[1]Message!$C:$C,0)</f>
        <v>32</v>
      </c>
      <c r="D200" s="4" t="str">
        <f>VLOOKUP($E200,[1]Message!$C:$I,3,FALSE)</f>
        <v>0x0816EE41</v>
      </c>
      <c r="E200" s="4" t="str">
        <f>VLOOKUP($B200,[1]Message!$B:$C,2,FALSE)</f>
        <v>U2P_SUMDATA21</v>
      </c>
      <c r="F200" s="4">
        <f>VLOOKUP($E200,[1]Message!$C:$I,4,FALSE)</f>
        <v>8</v>
      </c>
      <c r="G200" s="4" t="str">
        <f>VLOOKUP($E200,[1]Message!$C:$I,5,FALSE)</f>
        <v>BMU</v>
      </c>
      <c r="H200" s="4" t="str">
        <f>VLOOKUP($E200,[1]Message!$C:$I,6,FALSE)</f>
        <v>Event</v>
      </c>
      <c r="I200" s="4">
        <f>VLOOKUP($E200,[1]Message!$C:$I,7,FALSE)</f>
        <v>0</v>
      </c>
      <c r="J200" s="4"/>
      <c r="K200" s="4" t="s">
        <v>571</v>
      </c>
      <c r="L200" s="4">
        <v>32</v>
      </c>
      <c r="M200" s="4">
        <v>16</v>
      </c>
      <c r="N200" s="4">
        <v>0.1</v>
      </c>
      <c r="O200" s="4">
        <v>0</v>
      </c>
      <c r="P200" s="4">
        <v>0</v>
      </c>
      <c r="Q200" s="4" t="s">
        <v>329</v>
      </c>
      <c r="R200" s="4">
        <f t="shared" si="11"/>
        <v>0</v>
      </c>
      <c r="S200" s="4">
        <f t="shared" si="10"/>
        <v>6553.5</v>
      </c>
      <c r="T200" s="4" t="s">
        <v>563</v>
      </c>
      <c r="U200" s="4" t="s">
        <v>572</v>
      </c>
      <c r="V200" s="4"/>
      <c r="W200" s="3" t="s">
        <v>849</v>
      </c>
      <c r="X200" s="3"/>
      <c r="Y200" s="3"/>
    </row>
    <row r="201" spans="1:25">
      <c r="A201" s="3">
        <v>200</v>
      </c>
      <c r="B201" s="4" t="s">
        <v>567</v>
      </c>
      <c r="C201" s="4">
        <f>MATCH($E201,[1]Message!$C:$C,0)</f>
        <v>32</v>
      </c>
      <c r="D201" s="4" t="str">
        <f>VLOOKUP($E201,[1]Message!$C:$I,3,FALSE)</f>
        <v>0x0816EE41</v>
      </c>
      <c r="E201" s="4" t="str">
        <f>VLOOKUP($B201,[1]Message!$B:$C,2,FALSE)</f>
        <v>U2P_SUMDATA21</v>
      </c>
      <c r="F201" s="4">
        <f>VLOOKUP($E201,[1]Message!$C:$I,4,FALSE)</f>
        <v>8</v>
      </c>
      <c r="G201" s="4" t="str">
        <f>VLOOKUP($E201,[1]Message!$C:$I,5,FALSE)</f>
        <v>BMU</v>
      </c>
      <c r="H201" s="4" t="str">
        <f>VLOOKUP($E201,[1]Message!$C:$I,6,FALSE)</f>
        <v>Event</v>
      </c>
      <c r="I201" s="4">
        <f>VLOOKUP($E201,[1]Message!$C:$I,7,FALSE)</f>
        <v>0</v>
      </c>
      <c r="J201" s="4"/>
      <c r="K201" s="4" t="s">
        <v>573</v>
      </c>
      <c r="L201" s="4">
        <v>48</v>
      </c>
      <c r="M201" s="4">
        <v>16</v>
      </c>
      <c r="N201" s="4">
        <v>0.1</v>
      </c>
      <c r="O201" s="4">
        <v>0</v>
      </c>
      <c r="P201" s="4">
        <v>0</v>
      </c>
      <c r="Q201" s="4" t="s">
        <v>329</v>
      </c>
      <c r="R201" s="4">
        <f t="shared" si="11"/>
        <v>0</v>
      </c>
      <c r="S201" s="4">
        <f t="shared" si="10"/>
        <v>6553.5</v>
      </c>
      <c r="T201" s="4" t="s">
        <v>298</v>
      </c>
      <c r="U201" s="4" t="s">
        <v>574</v>
      </c>
      <c r="V201" s="4"/>
      <c r="W201" s="3" t="s">
        <v>849</v>
      </c>
      <c r="X201" s="3"/>
      <c r="Y201" s="3"/>
    </row>
    <row r="202" spans="1:25">
      <c r="A202" s="3">
        <v>201</v>
      </c>
      <c r="B202" s="4" t="s">
        <v>575</v>
      </c>
      <c r="C202" s="4">
        <f>MATCH($E202,[1]Message!$C:$C,0)</f>
        <v>33</v>
      </c>
      <c r="D202" s="4" t="str">
        <f>VLOOKUP($E202,[1]Message!$C:$I,3,FALSE)</f>
        <v>0x0817EE41</v>
      </c>
      <c r="E202" s="4" t="str">
        <f>VLOOKUP($B202,[1]Message!$B:$C,2,FALSE)</f>
        <v>U2P_SUMDATA22</v>
      </c>
      <c r="F202" s="4">
        <f>VLOOKUP($E202,[1]Message!$C:$I,4,FALSE)</f>
        <v>8</v>
      </c>
      <c r="G202" s="4" t="str">
        <f>VLOOKUP($E202,[1]Message!$C:$I,5,FALSE)</f>
        <v>BMU</v>
      </c>
      <c r="H202" s="4" t="str">
        <f>VLOOKUP($E202,[1]Message!$C:$I,6,FALSE)</f>
        <v>Event</v>
      </c>
      <c r="I202" s="4">
        <f>VLOOKUP($E202,[1]Message!$C:$I,7,FALSE)</f>
        <v>0</v>
      </c>
      <c r="J202" s="4"/>
      <c r="K202" s="4" t="s">
        <v>576</v>
      </c>
      <c r="L202" s="4">
        <v>0</v>
      </c>
      <c r="M202" s="4">
        <v>16</v>
      </c>
      <c r="N202" s="4">
        <v>0.1</v>
      </c>
      <c r="O202" s="4">
        <v>0</v>
      </c>
      <c r="P202" s="4">
        <v>0</v>
      </c>
      <c r="Q202" s="4" t="s">
        <v>329</v>
      </c>
      <c r="R202" s="4">
        <f t="shared" si="11"/>
        <v>0</v>
      </c>
      <c r="S202" s="4">
        <f t="shared" si="10"/>
        <v>6553.5</v>
      </c>
      <c r="T202" s="4" t="s">
        <v>298</v>
      </c>
      <c r="U202" s="4" t="s">
        <v>577</v>
      </c>
      <c r="V202" s="4"/>
      <c r="W202" s="3" t="s">
        <v>849</v>
      </c>
      <c r="X202" s="3"/>
      <c r="Y202" s="3"/>
    </row>
    <row r="203" spans="1:25">
      <c r="A203" s="3">
        <v>202</v>
      </c>
      <c r="B203" s="4" t="s">
        <v>575</v>
      </c>
      <c r="C203" s="4">
        <f>MATCH($E203,[1]Message!$C:$C,0)</f>
        <v>33</v>
      </c>
      <c r="D203" s="4" t="str">
        <f>VLOOKUP($E203,[1]Message!$C:$I,3,FALSE)</f>
        <v>0x0817EE41</v>
      </c>
      <c r="E203" s="4" t="str">
        <f>VLOOKUP($B203,[1]Message!$B:$C,2,FALSE)</f>
        <v>U2P_SUMDATA22</v>
      </c>
      <c r="F203" s="4">
        <f>VLOOKUP($E203,[1]Message!$C:$I,4,FALSE)</f>
        <v>8</v>
      </c>
      <c r="G203" s="4" t="str">
        <f>VLOOKUP($E203,[1]Message!$C:$I,5,FALSE)</f>
        <v>BMU</v>
      </c>
      <c r="H203" s="4" t="str">
        <f>VLOOKUP($E203,[1]Message!$C:$I,6,FALSE)</f>
        <v>Event</v>
      </c>
      <c r="I203" s="4">
        <f>VLOOKUP($E203,[1]Message!$C:$I,7,FALSE)</f>
        <v>0</v>
      </c>
      <c r="J203" s="4"/>
      <c r="K203" s="4" t="s">
        <v>578</v>
      </c>
      <c r="L203" s="4">
        <v>16</v>
      </c>
      <c r="M203" s="4">
        <v>16</v>
      </c>
      <c r="N203" s="4">
        <v>0.1</v>
      </c>
      <c r="O203" s="4">
        <v>0</v>
      </c>
      <c r="P203" s="4">
        <v>0</v>
      </c>
      <c r="Q203" s="4" t="s">
        <v>329</v>
      </c>
      <c r="R203" s="4">
        <f t="shared" si="11"/>
        <v>0</v>
      </c>
      <c r="S203" s="4">
        <f t="shared" si="10"/>
        <v>6553.5</v>
      </c>
      <c r="T203" s="4" t="s">
        <v>298</v>
      </c>
      <c r="U203" s="4" t="s">
        <v>579</v>
      </c>
      <c r="V203" s="4"/>
      <c r="W203" s="3" t="s">
        <v>849</v>
      </c>
      <c r="X203" s="3"/>
      <c r="Y203" s="3"/>
    </row>
    <row r="204" spans="1:25">
      <c r="A204" s="3">
        <v>203</v>
      </c>
      <c r="B204" s="4" t="s">
        <v>575</v>
      </c>
      <c r="C204" s="4">
        <f>MATCH($E204,[1]Message!$C:$C,0)</f>
        <v>33</v>
      </c>
      <c r="D204" s="4" t="str">
        <f>VLOOKUP($E204,[1]Message!$C:$I,3,FALSE)</f>
        <v>0x0817EE41</v>
      </c>
      <c r="E204" s="4" t="str">
        <f>VLOOKUP($B204,[1]Message!$B:$C,2,FALSE)</f>
        <v>U2P_SUMDATA22</v>
      </c>
      <c r="F204" s="4">
        <f>VLOOKUP($E204,[1]Message!$C:$I,4,FALSE)</f>
        <v>8</v>
      </c>
      <c r="G204" s="4" t="str">
        <f>VLOOKUP($E204,[1]Message!$C:$I,5,FALSE)</f>
        <v>BMU</v>
      </c>
      <c r="H204" s="4" t="str">
        <f>VLOOKUP($E204,[1]Message!$C:$I,6,FALSE)</f>
        <v>Event</v>
      </c>
      <c r="I204" s="4">
        <f>VLOOKUP($E204,[1]Message!$C:$I,7,FALSE)</f>
        <v>0</v>
      </c>
      <c r="J204" s="4"/>
      <c r="K204" s="4" t="s">
        <v>580</v>
      </c>
      <c r="L204" s="4">
        <v>32</v>
      </c>
      <c r="M204" s="4">
        <v>16</v>
      </c>
      <c r="N204" s="4">
        <v>0.1</v>
      </c>
      <c r="O204" s="4">
        <v>0</v>
      </c>
      <c r="P204" s="4">
        <v>0</v>
      </c>
      <c r="Q204" s="4" t="s">
        <v>329</v>
      </c>
      <c r="R204" s="4">
        <f t="shared" si="11"/>
        <v>0</v>
      </c>
      <c r="S204" s="4">
        <f t="shared" si="10"/>
        <v>6553.5</v>
      </c>
      <c r="T204" s="4" t="s">
        <v>298</v>
      </c>
      <c r="U204" s="4" t="s">
        <v>581</v>
      </c>
      <c r="V204" s="4"/>
      <c r="W204" s="3" t="s">
        <v>849</v>
      </c>
      <c r="X204" s="3"/>
      <c r="Y204" s="3"/>
    </row>
    <row r="205" spans="1:25">
      <c r="A205" s="3">
        <v>204</v>
      </c>
      <c r="B205" s="4" t="s">
        <v>575</v>
      </c>
      <c r="C205" s="4">
        <f>MATCH($E205,[1]Message!$C:$C,0)</f>
        <v>33</v>
      </c>
      <c r="D205" s="4" t="str">
        <f>VLOOKUP($E205,[1]Message!$C:$I,3,FALSE)</f>
        <v>0x0817EE41</v>
      </c>
      <c r="E205" s="4" t="str">
        <f>VLOOKUP($B205,[1]Message!$B:$C,2,FALSE)</f>
        <v>U2P_SUMDATA22</v>
      </c>
      <c r="F205" s="4">
        <f>VLOOKUP($E205,[1]Message!$C:$I,4,FALSE)</f>
        <v>8</v>
      </c>
      <c r="G205" s="4" t="str">
        <f>VLOOKUP($E205,[1]Message!$C:$I,5,FALSE)</f>
        <v>BMU</v>
      </c>
      <c r="H205" s="4" t="str">
        <f>VLOOKUP($E205,[1]Message!$C:$I,6,FALSE)</f>
        <v>Event</v>
      </c>
      <c r="I205" s="4">
        <f>VLOOKUP($E205,[1]Message!$C:$I,7,FALSE)</f>
        <v>0</v>
      </c>
      <c r="J205" s="4"/>
      <c r="K205" s="4" t="s">
        <v>582</v>
      </c>
      <c r="L205" s="4">
        <v>48</v>
      </c>
      <c r="M205" s="4">
        <v>16</v>
      </c>
      <c r="N205" s="4">
        <v>0.1</v>
      </c>
      <c r="O205" s="4">
        <v>0</v>
      </c>
      <c r="P205" s="4">
        <v>0</v>
      </c>
      <c r="Q205" s="4" t="s">
        <v>557</v>
      </c>
      <c r="R205" s="4">
        <f t="shared" si="11"/>
        <v>0</v>
      </c>
      <c r="S205" s="4">
        <f t="shared" si="10"/>
        <v>6553.5</v>
      </c>
      <c r="T205" s="4" t="s">
        <v>298</v>
      </c>
      <c r="U205" s="4" t="s">
        <v>1018</v>
      </c>
      <c r="V205" s="4"/>
      <c r="W205" s="3" t="s">
        <v>849</v>
      </c>
      <c r="X205" s="3"/>
      <c r="Y205" s="3"/>
    </row>
    <row r="206" spans="1:25">
      <c r="A206" s="3">
        <v>205</v>
      </c>
      <c r="B206" s="4" t="s">
        <v>583</v>
      </c>
      <c r="C206" s="4">
        <f>MATCH($E206,[1]Message!$C:$C,0)</f>
        <v>34</v>
      </c>
      <c r="D206" s="4" t="str">
        <f>VLOOKUP($E206,[1]Message!$C:$I,3,FALSE)</f>
        <v>0x0818EE41</v>
      </c>
      <c r="E206" s="4" t="str">
        <f>VLOOKUP($B206,[1]Message!$B:$C,2,FALSE)</f>
        <v>U2P_SUMDATA23</v>
      </c>
      <c r="F206" s="4">
        <f>VLOOKUP($E206,[1]Message!$C:$I,4,FALSE)</f>
        <v>8</v>
      </c>
      <c r="G206" s="4" t="str">
        <f>VLOOKUP($E206,[1]Message!$C:$I,5,FALSE)</f>
        <v>BMU</v>
      </c>
      <c r="H206" s="4" t="str">
        <f>VLOOKUP($E206,[1]Message!$C:$I,6,FALSE)</f>
        <v>Event</v>
      </c>
      <c r="I206" s="4">
        <f>VLOOKUP($E206,[1]Message!$C:$I,7,FALSE)</f>
        <v>0</v>
      </c>
      <c r="J206" s="4"/>
      <c r="K206" s="4" t="s">
        <v>584</v>
      </c>
      <c r="L206" s="4">
        <v>0</v>
      </c>
      <c r="M206" s="4">
        <v>16</v>
      </c>
      <c r="N206" s="4">
        <v>1</v>
      </c>
      <c r="O206" s="4">
        <v>0</v>
      </c>
      <c r="P206" s="4">
        <v>0</v>
      </c>
      <c r="Q206" s="4"/>
      <c r="R206" s="4">
        <f t="shared" si="11"/>
        <v>0</v>
      </c>
      <c r="S206" s="4">
        <f t="shared" si="10"/>
        <v>65535</v>
      </c>
      <c r="T206" s="4" t="s">
        <v>298</v>
      </c>
      <c r="U206" s="4" t="s">
        <v>585</v>
      </c>
      <c r="V206" s="4"/>
      <c r="W206" s="3" t="s">
        <v>849</v>
      </c>
      <c r="X206" s="3"/>
      <c r="Y206" s="3"/>
    </row>
    <row r="207" spans="1:25">
      <c r="A207" s="3">
        <v>206</v>
      </c>
      <c r="B207" s="4" t="s">
        <v>583</v>
      </c>
      <c r="C207" s="4">
        <f>MATCH($E207,[1]Message!$C:$C,0)</f>
        <v>34</v>
      </c>
      <c r="D207" s="4" t="str">
        <f>VLOOKUP($E207,[1]Message!$C:$I,3,FALSE)</f>
        <v>0x0818EE41</v>
      </c>
      <c r="E207" s="4" t="str">
        <f>VLOOKUP($B207,[1]Message!$B:$C,2,FALSE)</f>
        <v>U2P_SUMDATA23</v>
      </c>
      <c r="F207" s="4">
        <f>VLOOKUP($E207,[1]Message!$C:$I,4,FALSE)</f>
        <v>8</v>
      </c>
      <c r="G207" s="4" t="str">
        <f>VLOOKUP($E207,[1]Message!$C:$I,5,FALSE)</f>
        <v>BMU</v>
      </c>
      <c r="H207" s="4" t="str">
        <f>VLOOKUP($E207,[1]Message!$C:$I,6,FALSE)</f>
        <v>Event</v>
      </c>
      <c r="I207" s="4">
        <f>VLOOKUP($E207,[1]Message!$C:$I,7,FALSE)</f>
        <v>0</v>
      </c>
      <c r="J207" s="4"/>
      <c r="K207" s="4" t="s">
        <v>586</v>
      </c>
      <c r="L207" s="4">
        <v>16</v>
      </c>
      <c r="M207" s="4">
        <v>16</v>
      </c>
      <c r="N207" s="4">
        <v>0.1</v>
      </c>
      <c r="O207" s="4">
        <v>-2000</v>
      </c>
      <c r="P207" s="4">
        <v>0</v>
      </c>
      <c r="Q207" s="4" t="s">
        <v>334</v>
      </c>
      <c r="R207" s="4">
        <f t="shared" si="11"/>
        <v>-2000</v>
      </c>
      <c r="S207" s="4">
        <f t="shared" si="10"/>
        <v>4553.5</v>
      </c>
      <c r="T207" s="4" t="s">
        <v>298</v>
      </c>
      <c r="U207" s="4" t="s">
        <v>587</v>
      </c>
      <c r="V207" s="4" t="s">
        <v>588</v>
      </c>
      <c r="W207" s="3" t="s">
        <v>849</v>
      </c>
      <c r="X207" s="3"/>
      <c r="Y207" s="3"/>
    </row>
    <row r="208" spans="1:25">
      <c r="A208" s="3">
        <v>207</v>
      </c>
      <c r="B208" s="4" t="s">
        <v>583</v>
      </c>
      <c r="C208" s="4">
        <f>MATCH($E208,[1]Message!$C:$C,0)</f>
        <v>34</v>
      </c>
      <c r="D208" s="4" t="str">
        <f>VLOOKUP($E208,[1]Message!$C:$I,3,FALSE)</f>
        <v>0x0818EE41</v>
      </c>
      <c r="E208" s="4" t="str">
        <f>VLOOKUP($B208,[1]Message!$B:$C,2,FALSE)</f>
        <v>U2P_SUMDATA23</v>
      </c>
      <c r="F208" s="4">
        <f>VLOOKUP($E208,[1]Message!$C:$I,4,FALSE)</f>
        <v>8</v>
      </c>
      <c r="G208" s="4" t="str">
        <f>VLOOKUP($E208,[1]Message!$C:$I,5,FALSE)</f>
        <v>BMU</v>
      </c>
      <c r="H208" s="4" t="str">
        <f>VLOOKUP($E208,[1]Message!$C:$I,6,FALSE)</f>
        <v>Event</v>
      </c>
      <c r="I208" s="4">
        <f>VLOOKUP($E208,[1]Message!$C:$I,7,FALSE)</f>
        <v>0</v>
      </c>
      <c r="J208" s="4"/>
      <c r="K208" s="4" t="s">
        <v>589</v>
      </c>
      <c r="L208" s="4">
        <v>32</v>
      </c>
      <c r="M208" s="4">
        <v>16</v>
      </c>
      <c r="N208" s="4">
        <v>1</v>
      </c>
      <c r="O208" s="4">
        <v>0</v>
      </c>
      <c r="P208" s="4">
        <v>0</v>
      </c>
      <c r="Q208" s="4"/>
      <c r="R208" s="4">
        <f t="shared" si="11"/>
        <v>0</v>
      </c>
      <c r="S208" s="4">
        <f t="shared" si="10"/>
        <v>65535</v>
      </c>
      <c r="T208" s="4" t="s">
        <v>298</v>
      </c>
      <c r="U208" s="4" t="s">
        <v>590</v>
      </c>
      <c r="V208" s="4"/>
      <c r="W208" s="3" t="s">
        <v>849</v>
      </c>
      <c r="X208" s="3"/>
      <c r="Y208" s="3"/>
    </row>
    <row r="209" spans="1:25">
      <c r="A209" s="3">
        <v>208</v>
      </c>
      <c r="B209" s="4" t="s">
        <v>583</v>
      </c>
      <c r="C209" s="4">
        <f>MATCH($E209,[1]Message!$C:$C,0)</f>
        <v>34</v>
      </c>
      <c r="D209" s="4" t="str">
        <f>VLOOKUP($E209,[1]Message!$C:$I,3,FALSE)</f>
        <v>0x0818EE41</v>
      </c>
      <c r="E209" s="4" t="str">
        <f>VLOOKUP($B209,[1]Message!$B:$C,2,FALSE)</f>
        <v>U2P_SUMDATA23</v>
      </c>
      <c r="F209" s="4">
        <f>VLOOKUP($E209,[1]Message!$C:$I,4,FALSE)</f>
        <v>8</v>
      </c>
      <c r="G209" s="4" t="str">
        <f>VLOOKUP($E209,[1]Message!$C:$I,5,FALSE)</f>
        <v>BMU</v>
      </c>
      <c r="H209" s="4" t="str">
        <f>VLOOKUP($E209,[1]Message!$C:$I,6,FALSE)</f>
        <v>Event</v>
      </c>
      <c r="I209" s="4">
        <f>VLOOKUP($E209,[1]Message!$C:$I,7,FALSE)</f>
        <v>0</v>
      </c>
      <c r="J209" s="4"/>
      <c r="K209" s="4" t="s">
        <v>591</v>
      </c>
      <c r="L209" s="4">
        <v>48</v>
      </c>
      <c r="M209" s="4">
        <v>16</v>
      </c>
      <c r="N209" s="4">
        <v>0.1</v>
      </c>
      <c r="O209" s="4">
        <v>-2000</v>
      </c>
      <c r="P209" s="4">
        <v>0</v>
      </c>
      <c r="Q209" s="4" t="s">
        <v>334</v>
      </c>
      <c r="R209" s="4">
        <f t="shared" si="11"/>
        <v>-2000</v>
      </c>
      <c r="S209" s="4">
        <f t="shared" si="10"/>
        <v>4553.5</v>
      </c>
      <c r="T209" s="4" t="s">
        <v>298</v>
      </c>
      <c r="U209" s="4" t="s">
        <v>592</v>
      </c>
      <c r="V209" s="4" t="s">
        <v>588</v>
      </c>
      <c r="W209" s="3" t="s">
        <v>849</v>
      </c>
      <c r="X209" s="3"/>
      <c r="Y209" s="3"/>
    </row>
    <row r="210" spans="1:25">
      <c r="A210" s="3">
        <v>209</v>
      </c>
      <c r="B210" s="4" t="s">
        <v>593</v>
      </c>
      <c r="C210" s="4">
        <f>MATCH($E210,[1]Message!$C:$C,0)</f>
        <v>35</v>
      </c>
      <c r="D210" s="4" t="str">
        <f>VLOOKUP($E210,[1]Message!$C:$I,3,FALSE)</f>
        <v>0x0819EE41</v>
      </c>
      <c r="E210" s="4" t="str">
        <f>VLOOKUP($B210,[1]Message!$B:$C,2,FALSE)</f>
        <v>U2P_SUMDATA24</v>
      </c>
      <c r="F210" s="4">
        <f>VLOOKUP($E210,[1]Message!$C:$I,4,FALSE)</f>
        <v>8</v>
      </c>
      <c r="G210" s="4" t="str">
        <f>VLOOKUP($E210,[1]Message!$C:$I,5,FALSE)</f>
        <v>BMU</v>
      </c>
      <c r="H210" s="4" t="str">
        <f>VLOOKUP($E210,[1]Message!$C:$I,6,FALSE)</f>
        <v>Event</v>
      </c>
      <c r="I210" s="4">
        <f>VLOOKUP($E210,[1]Message!$C:$I,7,FALSE)</f>
        <v>0</v>
      </c>
      <c r="J210" s="4"/>
      <c r="K210" s="4" t="s">
        <v>594</v>
      </c>
      <c r="L210" s="4">
        <v>0</v>
      </c>
      <c r="M210" s="4">
        <v>16</v>
      </c>
      <c r="N210" s="4">
        <v>1</v>
      </c>
      <c r="O210" s="4">
        <v>0</v>
      </c>
      <c r="P210" s="4">
        <v>0</v>
      </c>
      <c r="Q210" s="4"/>
      <c r="R210" s="4">
        <f t="shared" si="11"/>
        <v>0</v>
      </c>
      <c r="S210" s="4">
        <f t="shared" si="10"/>
        <v>65535</v>
      </c>
      <c r="T210" s="4" t="s">
        <v>298</v>
      </c>
      <c r="U210" s="4" t="s">
        <v>595</v>
      </c>
      <c r="V210" s="4"/>
      <c r="W210" s="3" t="s">
        <v>849</v>
      </c>
      <c r="X210" s="3"/>
      <c r="Y210" s="3"/>
    </row>
    <row r="211" spans="1:25">
      <c r="A211" s="3">
        <v>210</v>
      </c>
      <c r="B211" s="4" t="s">
        <v>593</v>
      </c>
      <c r="C211" s="4">
        <f>MATCH($E211,[1]Message!$C:$C,0)</f>
        <v>35</v>
      </c>
      <c r="D211" s="4" t="str">
        <f>VLOOKUP($E211,[1]Message!$C:$I,3,FALSE)</f>
        <v>0x0819EE41</v>
      </c>
      <c r="E211" s="4" t="str">
        <f>VLOOKUP($B211,[1]Message!$B:$C,2,FALSE)</f>
        <v>U2P_SUMDATA24</v>
      </c>
      <c r="F211" s="4">
        <f>VLOOKUP($E211,[1]Message!$C:$I,4,FALSE)</f>
        <v>8</v>
      </c>
      <c r="G211" s="4" t="str">
        <f>VLOOKUP($E211,[1]Message!$C:$I,5,FALSE)</f>
        <v>BMU</v>
      </c>
      <c r="H211" s="4" t="str">
        <f>VLOOKUP($E211,[1]Message!$C:$I,6,FALSE)</f>
        <v>Event</v>
      </c>
      <c r="I211" s="4">
        <f>VLOOKUP($E211,[1]Message!$C:$I,7,FALSE)</f>
        <v>0</v>
      </c>
      <c r="J211" s="4"/>
      <c r="K211" s="4" t="s">
        <v>596</v>
      </c>
      <c r="L211" s="4">
        <v>16</v>
      </c>
      <c r="M211" s="4">
        <v>16</v>
      </c>
      <c r="N211" s="4">
        <v>0.1</v>
      </c>
      <c r="O211" s="4">
        <v>-2000</v>
      </c>
      <c r="P211" s="4">
        <v>0</v>
      </c>
      <c r="Q211" s="4" t="s">
        <v>334</v>
      </c>
      <c r="R211" s="4">
        <f t="shared" si="11"/>
        <v>-2000</v>
      </c>
      <c r="S211" s="4">
        <f t="shared" si="10"/>
        <v>4553.5</v>
      </c>
      <c r="T211" s="4" t="s">
        <v>298</v>
      </c>
      <c r="U211" s="4" t="s">
        <v>597</v>
      </c>
      <c r="V211" s="4" t="s">
        <v>588</v>
      </c>
      <c r="W211" s="3" t="s">
        <v>849</v>
      </c>
      <c r="X211" s="3"/>
      <c r="Y211" s="3"/>
    </row>
    <row r="212" spans="1:25">
      <c r="A212" s="3">
        <v>211</v>
      </c>
      <c r="B212" s="4" t="s">
        <v>593</v>
      </c>
      <c r="C212" s="4">
        <f>MATCH($E212,[1]Message!$C:$C,0)</f>
        <v>35</v>
      </c>
      <c r="D212" s="4" t="str">
        <f>VLOOKUP($E212,[1]Message!$C:$I,3,FALSE)</f>
        <v>0x0819EE41</v>
      </c>
      <c r="E212" s="4" t="str">
        <f>VLOOKUP($B212,[1]Message!$B:$C,2,FALSE)</f>
        <v>U2P_SUMDATA24</v>
      </c>
      <c r="F212" s="4">
        <f>VLOOKUP($E212,[1]Message!$C:$I,4,FALSE)</f>
        <v>8</v>
      </c>
      <c r="G212" s="4" t="str">
        <f>VLOOKUP($E212,[1]Message!$C:$I,5,FALSE)</f>
        <v>BMU</v>
      </c>
      <c r="H212" s="4" t="str">
        <f>VLOOKUP($E212,[1]Message!$C:$I,6,FALSE)</f>
        <v>Event</v>
      </c>
      <c r="I212" s="4">
        <f>VLOOKUP($E212,[1]Message!$C:$I,7,FALSE)</f>
        <v>0</v>
      </c>
      <c r="J212" s="4"/>
      <c r="K212" s="4" t="s">
        <v>504</v>
      </c>
      <c r="L212" s="4">
        <v>32</v>
      </c>
      <c r="M212" s="4">
        <v>32</v>
      </c>
      <c r="N212" s="4">
        <v>1</v>
      </c>
      <c r="O212" s="4">
        <v>0</v>
      </c>
      <c r="P212" s="4">
        <v>0</v>
      </c>
      <c r="Q212" s="4"/>
      <c r="R212" s="4">
        <f t="shared" si="11"/>
        <v>0</v>
      </c>
      <c r="S212" s="4">
        <f t="shared" si="10"/>
        <v>4294967295</v>
      </c>
      <c r="T212" s="4" t="s">
        <v>298</v>
      </c>
      <c r="U212" s="4" t="s">
        <v>361</v>
      </c>
      <c r="V212" s="4"/>
      <c r="W212" s="3" t="s">
        <v>849</v>
      </c>
      <c r="X212" s="3"/>
      <c r="Y212" s="3"/>
    </row>
    <row r="213" spans="1:25">
      <c r="A213" s="3">
        <v>212</v>
      </c>
      <c r="B213" s="4" t="s">
        <v>598</v>
      </c>
      <c r="C213" s="4">
        <f>MATCH($E213,[1]Message!$C:$C,0)</f>
        <v>36</v>
      </c>
      <c r="D213" s="4" t="str">
        <f>VLOOKUP($E213,[1]Message!$C:$I,3,FALSE)</f>
        <v>0x081AEE41</v>
      </c>
      <c r="E213" s="4" t="str">
        <f>VLOOKUP($B213,[1]Message!$B:$C,2,FALSE)</f>
        <v>U2P_SUMDATA25</v>
      </c>
      <c r="F213" s="4">
        <f>VLOOKUP($E213,[1]Message!$C:$I,4,FALSE)</f>
        <v>8</v>
      </c>
      <c r="G213" s="4" t="str">
        <f>VLOOKUP($E213,[1]Message!$C:$I,5,FALSE)</f>
        <v>BMU</v>
      </c>
      <c r="H213" s="4" t="str">
        <f>VLOOKUP($E213,[1]Message!$C:$I,6,FALSE)</f>
        <v>Event</v>
      </c>
      <c r="I213" s="4">
        <f>VLOOKUP($E213,[1]Message!$C:$I,7,FALSE)</f>
        <v>0</v>
      </c>
      <c r="J213" s="4"/>
      <c r="K213" s="4" t="s">
        <v>599</v>
      </c>
      <c r="L213" s="4">
        <v>0</v>
      </c>
      <c r="M213" s="4">
        <v>6</v>
      </c>
      <c r="N213" s="4">
        <v>1</v>
      </c>
      <c r="O213" s="4">
        <v>0</v>
      </c>
      <c r="P213" s="4">
        <v>0</v>
      </c>
      <c r="Q213" s="4"/>
      <c r="R213" s="4">
        <f t="shared" si="11"/>
        <v>0</v>
      </c>
      <c r="S213" s="4">
        <f t="shared" si="10"/>
        <v>63</v>
      </c>
      <c r="T213" s="4" t="s">
        <v>298</v>
      </c>
      <c r="U213" s="4" t="s">
        <v>600</v>
      </c>
      <c r="V213" s="4" t="s">
        <v>601</v>
      </c>
      <c r="W213" s="3" t="s">
        <v>849</v>
      </c>
      <c r="X213" s="3"/>
      <c r="Y213" s="3"/>
    </row>
    <row r="214" spans="1:25">
      <c r="A214" s="3">
        <v>213</v>
      </c>
      <c r="B214" s="4" t="s">
        <v>598</v>
      </c>
      <c r="C214" s="4">
        <f>MATCH($E214,[1]Message!$C:$C,0)</f>
        <v>36</v>
      </c>
      <c r="D214" s="4" t="str">
        <f>VLOOKUP($E214,[1]Message!$C:$I,3,FALSE)</f>
        <v>0x081AEE41</v>
      </c>
      <c r="E214" s="4" t="str">
        <f>VLOOKUP($B214,[1]Message!$B:$C,2,FALSE)</f>
        <v>U2P_SUMDATA25</v>
      </c>
      <c r="F214" s="4">
        <f>VLOOKUP($E214,[1]Message!$C:$I,4,FALSE)</f>
        <v>8</v>
      </c>
      <c r="G214" s="4" t="str">
        <f>VLOOKUP($E214,[1]Message!$C:$I,5,FALSE)</f>
        <v>BMU</v>
      </c>
      <c r="H214" s="4" t="str">
        <f>VLOOKUP($E214,[1]Message!$C:$I,6,FALSE)</f>
        <v>Event</v>
      </c>
      <c r="I214" s="4">
        <f>VLOOKUP($E214,[1]Message!$C:$I,7,FALSE)</f>
        <v>0</v>
      </c>
      <c r="J214" s="4"/>
      <c r="K214" s="4" t="s">
        <v>602</v>
      </c>
      <c r="L214" s="4">
        <v>6</v>
      </c>
      <c r="M214" s="4">
        <v>6</v>
      </c>
      <c r="N214" s="4">
        <v>1</v>
      </c>
      <c r="O214" s="4">
        <v>0</v>
      </c>
      <c r="P214" s="4">
        <v>0</v>
      </c>
      <c r="Q214" s="4"/>
      <c r="R214" s="4">
        <f t="shared" si="11"/>
        <v>0</v>
      </c>
      <c r="S214" s="4">
        <f t="shared" si="10"/>
        <v>63</v>
      </c>
      <c r="T214" s="4" t="s">
        <v>298</v>
      </c>
      <c r="U214" s="4" t="s">
        <v>603</v>
      </c>
      <c r="V214" s="4" t="s">
        <v>601</v>
      </c>
      <c r="W214" s="3" t="s">
        <v>849</v>
      </c>
      <c r="X214" s="3"/>
      <c r="Y214" s="3"/>
    </row>
    <row r="215" spans="1:25">
      <c r="A215" s="3">
        <v>214</v>
      </c>
      <c r="B215" s="4" t="s">
        <v>598</v>
      </c>
      <c r="C215" s="4">
        <f>MATCH($E215,[1]Message!$C:$C,0)</f>
        <v>36</v>
      </c>
      <c r="D215" s="4" t="str">
        <f>VLOOKUP($E215,[1]Message!$C:$I,3,FALSE)</f>
        <v>0x081AEE41</v>
      </c>
      <c r="E215" s="4" t="str">
        <f>VLOOKUP($B215,[1]Message!$B:$C,2,FALSE)</f>
        <v>U2P_SUMDATA25</v>
      </c>
      <c r="F215" s="4">
        <f>VLOOKUP($E215,[1]Message!$C:$I,4,FALSE)</f>
        <v>8</v>
      </c>
      <c r="G215" s="4" t="str">
        <f>VLOOKUP($E215,[1]Message!$C:$I,5,FALSE)</f>
        <v>BMU</v>
      </c>
      <c r="H215" s="4" t="str">
        <f>VLOOKUP($E215,[1]Message!$C:$I,6,FALSE)</f>
        <v>Event</v>
      </c>
      <c r="I215" s="4">
        <f>VLOOKUP($E215,[1]Message!$C:$I,7,FALSE)</f>
        <v>0</v>
      </c>
      <c r="J215" s="4"/>
      <c r="K215" s="4" t="s">
        <v>604</v>
      </c>
      <c r="L215" s="4">
        <v>12</v>
      </c>
      <c r="M215" s="4">
        <v>6</v>
      </c>
      <c r="N215" s="4">
        <v>1</v>
      </c>
      <c r="O215" s="4">
        <v>0</v>
      </c>
      <c r="P215" s="4">
        <v>0</v>
      </c>
      <c r="Q215" s="4"/>
      <c r="R215" s="4">
        <f t="shared" si="11"/>
        <v>0</v>
      </c>
      <c r="S215" s="4">
        <f t="shared" si="10"/>
        <v>63</v>
      </c>
      <c r="T215" s="4" t="s">
        <v>298</v>
      </c>
      <c r="U215" s="4" t="s">
        <v>605</v>
      </c>
      <c r="V215" s="4" t="s">
        <v>601</v>
      </c>
      <c r="W215" s="3" t="s">
        <v>849</v>
      </c>
      <c r="X215" s="3"/>
      <c r="Y215" s="3"/>
    </row>
    <row r="216" spans="1:25">
      <c r="A216" s="3">
        <v>215</v>
      </c>
      <c r="B216" s="4" t="s">
        <v>598</v>
      </c>
      <c r="C216" s="4">
        <f>MATCH($E216,[1]Message!$C:$C,0)</f>
        <v>36</v>
      </c>
      <c r="D216" s="4" t="str">
        <f>VLOOKUP($E216,[1]Message!$C:$I,3,FALSE)</f>
        <v>0x081AEE41</v>
      </c>
      <c r="E216" s="4" t="str">
        <f>VLOOKUP($B216,[1]Message!$B:$C,2,FALSE)</f>
        <v>U2P_SUMDATA25</v>
      </c>
      <c r="F216" s="4">
        <f>VLOOKUP($E216,[1]Message!$C:$I,4,FALSE)</f>
        <v>8</v>
      </c>
      <c r="G216" s="4" t="str">
        <f>VLOOKUP($E216,[1]Message!$C:$I,5,FALSE)</f>
        <v>BMU</v>
      </c>
      <c r="H216" s="4" t="str">
        <f>VLOOKUP($E216,[1]Message!$C:$I,6,FALSE)</f>
        <v>Event</v>
      </c>
      <c r="I216" s="4">
        <f>VLOOKUP($E216,[1]Message!$C:$I,7,FALSE)</f>
        <v>0</v>
      </c>
      <c r="J216" s="4"/>
      <c r="K216" s="4" t="s">
        <v>606</v>
      </c>
      <c r="L216" s="4">
        <v>18</v>
      </c>
      <c r="M216" s="4">
        <v>6</v>
      </c>
      <c r="N216" s="4">
        <v>1</v>
      </c>
      <c r="O216" s="4">
        <v>0</v>
      </c>
      <c r="P216" s="4">
        <v>0</v>
      </c>
      <c r="Q216" s="4"/>
      <c r="R216" s="4">
        <f t="shared" si="11"/>
        <v>0</v>
      </c>
      <c r="S216" s="4">
        <f t="shared" si="10"/>
        <v>63</v>
      </c>
      <c r="T216" s="4" t="s">
        <v>298</v>
      </c>
      <c r="U216" s="4" t="s">
        <v>607</v>
      </c>
      <c r="V216" s="4" t="s">
        <v>601</v>
      </c>
      <c r="W216" s="3" t="s">
        <v>849</v>
      </c>
      <c r="X216" s="3"/>
      <c r="Y216" s="3"/>
    </row>
    <row r="217" spans="1:25">
      <c r="A217" s="3">
        <v>216</v>
      </c>
      <c r="B217" s="4" t="s">
        <v>598</v>
      </c>
      <c r="C217" s="4">
        <f>MATCH($E217,[1]Message!$C:$C,0)</f>
        <v>36</v>
      </c>
      <c r="D217" s="4" t="str">
        <f>VLOOKUP($E217,[1]Message!$C:$I,3,FALSE)</f>
        <v>0x081AEE41</v>
      </c>
      <c r="E217" s="4" t="str">
        <f>VLOOKUP($B217,[1]Message!$B:$C,2,FALSE)</f>
        <v>U2P_SUMDATA25</v>
      </c>
      <c r="F217" s="4">
        <f>VLOOKUP($E217,[1]Message!$C:$I,4,FALSE)</f>
        <v>8</v>
      </c>
      <c r="G217" s="4" t="str">
        <f>VLOOKUP($E217,[1]Message!$C:$I,5,FALSE)</f>
        <v>BMU</v>
      </c>
      <c r="H217" s="4" t="str">
        <f>VLOOKUP($E217,[1]Message!$C:$I,6,FALSE)</f>
        <v>Event</v>
      </c>
      <c r="I217" s="4">
        <f>VLOOKUP($E217,[1]Message!$C:$I,7,FALSE)</f>
        <v>0</v>
      </c>
      <c r="J217" s="4"/>
      <c r="K217" s="4" t="s">
        <v>608</v>
      </c>
      <c r="L217" s="4">
        <v>24</v>
      </c>
      <c r="M217" s="4">
        <v>6</v>
      </c>
      <c r="N217" s="4">
        <v>1</v>
      </c>
      <c r="O217" s="4">
        <v>0</v>
      </c>
      <c r="P217" s="4">
        <v>0</v>
      </c>
      <c r="Q217" s="4"/>
      <c r="R217" s="4">
        <f t="shared" si="11"/>
        <v>0</v>
      </c>
      <c r="S217" s="4">
        <f t="shared" si="10"/>
        <v>63</v>
      </c>
      <c r="T217" s="4" t="s">
        <v>298</v>
      </c>
      <c r="U217" s="4" t="s">
        <v>609</v>
      </c>
      <c r="V217" s="4" t="s">
        <v>601</v>
      </c>
      <c r="W217" s="3" t="s">
        <v>849</v>
      </c>
      <c r="X217" s="3"/>
      <c r="Y217" s="3"/>
    </row>
    <row r="218" spans="1:25">
      <c r="A218" s="3">
        <v>217</v>
      </c>
      <c r="B218" s="4" t="s">
        <v>598</v>
      </c>
      <c r="C218" s="4">
        <f>MATCH($E218,[1]Message!$C:$C,0)</f>
        <v>36</v>
      </c>
      <c r="D218" s="4" t="str">
        <f>VLOOKUP($E218,[1]Message!$C:$I,3,FALSE)</f>
        <v>0x081AEE41</v>
      </c>
      <c r="E218" s="4" t="str">
        <f>VLOOKUP($B218,[1]Message!$B:$C,2,FALSE)</f>
        <v>U2P_SUMDATA25</v>
      </c>
      <c r="F218" s="4">
        <f>VLOOKUP($E218,[1]Message!$C:$I,4,FALSE)</f>
        <v>8</v>
      </c>
      <c r="G218" s="4" t="str">
        <f>VLOOKUP($E218,[1]Message!$C:$I,5,FALSE)</f>
        <v>BMU</v>
      </c>
      <c r="H218" s="4" t="str">
        <f>VLOOKUP($E218,[1]Message!$C:$I,6,FALSE)</f>
        <v>Event</v>
      </c>
      <c r="I218" s="4">
        <f>VLOOKUP($E218,[1]Message!$C:$I,7,FALSE)</f>
        <v>0</v>
      </c>
      <c r="J218" s="4"/>
      <c r="K218" s="4" t="s">
        <v>610</v>
      </c>
      <c r="L218" s="4">
        <v>30</v>
      </c>
      <c r="M218" s="4">
        <v>6</v>
      </c>
      <c r="N218" s="4">
        <v>1</v>
      </c>
      <c r="O218" s="4">
        <v>0</v>
      </c>
      <c r="P218" s="4">
        <v>0</v>
      </c>
      <c r="Q218" s="4"/>
      <c r="R218" s="4">
        <f t="shared" si="11"/>
        <v>0</v>
      </c>
      <c r="S218" s="4">
        <f t="shared" si="10"/>
        <v>63</v>
      </c>
      <c r="T218" s="4" t="s">
        <v>298</v>
      </c>
      <c r="U218" s="4" t="s">
        <v>611</v>
      </c>
      <c r="V218" s="4" t="s">
        <v>601</v>
      </c>
      <c r="W218" s="3" t="s">
        <v>849</v>
      </c>
      <c r="X218" s="3"/>
      <c r="Y218" s="3"/>
    </row>
    <row r="219" spans="1:25">
      <c r="A219" s="3">
        <v>218</v>
      </c>
      <c r="B219" s="4" t="s">
        <v>598</v>
      </c>
      <c r="C219" s="4">
        <f>MATCH($E219,[1]Message!$C:$C,0)</f>
        <v>36</v>
      </c>
      <c r="D219" s="4" t="str">
        <f>VLOOKUP($E219,[1]Message!$C:$I,3,FALSE)</f>
        <v>0x081AEE41</v>
      </c>
      <c r="E219" s="4" t="str">
        <f>VLOOKUP($B219,[1]Message!$B:$C,2,FALSE)</f>
        <v>U2P_SUMDATA25</v>
      </c>
      <c r="F219" s="4">
        <f>VLOOKUP($E219,[1]Message!$C:$I,4,FALSE)</f>
        <v>8</v>
      </c>
      <c r="G219" s="4" t="str">
        <f>VLOOKUP($E219,[1]Message!$C:$I,5,FALSE)</f>
        <v>BMU</v>
      </c>
      <c r="H219" s="4" t="str">
        <f>VLOOKUP($E219,[1]Message!$C:$I,6,FALSE)</f>
        <v>Event</v>
      </c>
      <c r="I219" s="4">
        <f>VLOOKUP($E219,[1]Message!$C:$I,7,FALSE)</f>
        <v>0</v>
      </c>
      <c r="J219" s="4"/>
      <c r="K219" s="4" t="s">
        <v>612</v>
      </c>
      <c r="L219" s="4">
        <v>36</v>
      </c>
      <c r="M219" s="4">
        <v>6</v>
      </c>
      <c r="N219" s="4">
        <v>1</v>
      </c>
      <c r="O219" s="4">
        <v>0</v>
      </c>
      <c r="P219" s="4">
        <v>0</v>
      </c>
      <c r="Q219" s="4"/>
      <c r="R219" s="4">
        <f t="shared" si="11"/>
        <v>0</v>
      </c>
      <c r="S219" s="4">
        <f t="shared" si="10"/>
        <v>63</v>
      </c>
      <c r="T219" s="4" t="s">
        <v>298</v>
      </c>
      <c r="U219" s="4" t="s">
        <v>613</v>
      </c>
      <c r="V219" s="4" t="s">
        <v>601</v>
      </c>
      <c r="W219" s="3" t="s">
        <v>849</v>
      </c>
      <c r="X219" s="3"/>
      <c r="Y219" s="3"/>
    </row>
    <row r="220" spans="1:25">
      <c r="A220" s="3">
        <v>219</v>
      </c>
      <c r="B220" s="4" t="s">
        <v>598</v>
      </c>
      <c r="C220" s="4">
        <f>MATCH($E220,[1]Message!$C:$C,0)</f>
        <v>36</v>
      </c>
      <c r="D220" s="4" t="str">
        <f>VLOOKUP($E220,[1]Message!$C:$I,3,FALSE)</f>
        <v>0x081AEE41</v>
      </c>
      <c r="E220" s="4" t="str">
        <f>VLOOKUP($B220,[1]Message!$B:$C,2,FALSE)</f>
        <v>U2P_SUMDATA25</v>
      </c>
      <c r="F220" s="4">
        <f>VLOOKUP($E220,[1]Message!$C:$I,4,FALSE)</f>
        <v>8</v>
      </c>
      <c r="G220" s="4" t="str">
        <f>VLOOKUP($E220,[1]Message!$C:$I,5,FALSE)</f>
        <v>BMU</v>
      </c>
      <c r="H220" s="4" t="str">
        <f>VLOOKUP($E220,[1]Message!$C:$I,6,FALSE)</f>
        <v>Event</v>
      </c>
      <c r="I220" s="4">
        <f>VLOOKUP($E220,[1]Message!$C:$I,7,FALSE)</f>
        <v>0</v>
      </c>
      <c r="J220" s="4"/>
      <c r="K220" s="4" t="s">
        <v>614</v>
      </c>
      <c r="L220" s="4">
        <v>42</v>
      </c>
      <c r="M220" s="4">
        <v>6</v>
      </c>
      <c r="N220" s="4">
        <v>1</v>
      </c>
      <c r="O220" s="4">
        <v>0</v>
      </c>
      <c r="P220" s="4">
        <v>0</v>
      </c>
      <c r="Q220" s="4"/>
      <c r="R220" s="4">
        <f t="shared" si="11"/>
        <v>0</v>
      </c>
      <c r="S220" s="4">
        <f t="shared" si="10"/>
        <v>63</v>
      </c>
      <c r="T220" s="4" t="s">
        <v>298</v>
      </c>
      <c r="U220" s="4" t="s">
        <v>615</v>
      </c>
      <c r="V220" s="4" t="s">
        <v>601</v>
      </c>
      <c r="W220" s="3" t="s">
        <v>849</v>
      </c>
      <c r="X220" s="3"/>
      <c r="Y220" s="3"/>
    </row>
    <row r="221" spans="1:25">
      <c r="A221" s="3">
        <v>220</v>
      </c>
      <c r="B221" s="4" t="s">
        <v>598</v>
      </c>
      <c r="C221" s="4">
        <f>MATCH($E221,[1]Message!$C:$C,0)</f>
        <v>36</v>
      </c>
      <c r="D221" s="4" t="str">
        <f>VLOOKUP($E221,[1]Message!$C:$I,3,FALSE)</f>
        <v>0x081AEE41</v>
      </c>
      <c r="E221" s="4" t="str">
        <f>VLOOKUP($B221,[1]Message!$B:$C,2,FALSE)</f>
        <v>U2P_SUMDATA25</v>
      </c>
      <c r="F221" s="4">
        <f>VLOOKUP($E221,[1]Message!$C:$I,4,FALSE)</f>
        <v>8</v>
      </c>
      <c r="G221" s="4" t="str">
        <f>VLOOKUP($E221,[1]Message!$C:$I,5,FALSE)</f>
        <v>BMU</v>
      </c>
      <c r="H221" s="4" t="str">
        <f>VLOOKUP($E221,[1]Message!$C:$I,6,FALSE)</f>
        <v>Event</v>
      </c>
      <c r="I221" s="4">
        <f>VLOOKUP($E221,[1]Message!$C:$I,7,FALSE)</f>
        <v>0</v>
      </c>
      <c r="J221" s="4"/>
      <c r="K221" s="4" t="s">
        <v>616</v>
      </c>
      <c r="L221" s="4">
        <v>48</v>
      </c>
      <c r="M221" s="4">
        <v>6</v>
      </c>
      <c r="N221" s="4">
        <v>1</v>
      </c>
      <c r="O221" s="4">
        <v>0</v>
      </c>
      <c r="P221" s="4">
        <v>0</v>
      </c>
      <c r="Q221" s="4"/>
      <c r="R221" s="4">
        <f t="shared" si="11"/>
        <v>0</v>
      </c>
      <c r="S221" s="4">
        <f t="shared" si="10"/>
        <v>63</v>
      </c>
      <c r="T221" s="4" t="s">
        <v>298</v>
      </c>
      <c r="U221" s="4" t="s">
        <v>617</v>
      </c>
      <c r="V221" s="4" t="s">
        <v>601</v>
      </c>
      <c r="W221" s="3" t="s">
        <v>849</v>
      </c>
      <c r="X221" s="3"/>
      <c r="Y221" s="3"/>
    </row>
    <row r="222" spans="1:25">
      <c r="A222" s="3">
        <v>221</v>
      </c>
      <c r="B222" s="4" t="s">
        <v>598</v>
      </c>
      <c r="C222" s="4">
        <f>MATCH($E222,[1]Message!$C:$C,0)</f>
        <v>36</v>
      </c>
      <c r="D222" s="4" t="str">
        <f>VLOOKUP($E222,[1]Message!$C:$I,3,FALSE)</f>
        <v>0x081AEE41</v>
      </c>
      <c r="E222" s="4" t="str">
        <f>VLOOKUP($B222,[1]Message!$B:$C,2,FALSE)</f>
        <v>U2P_SUMDATA25</v>
      </c>
      <c r="F222" s="4">
        <f>VLOOKUP($E222,[1]Message!$C:$I,4,FALSE)</f>
        <v>8</v>
      </c>
      <c r="G222" s="4" t="str">
        <f>VLOOKUP($E222,[1]Message!$C:$I,5,FALSE)</f>
        <v>BMU</v>
      </c>
      <c r="H222" s="4" t="str">
        <f>VLOOKUP($E222,[1]Message!$C:$I,6,FALSE)</f>
        <v>Event</v>
      </c>
      <c r="I222" s="4">
        <f>VLOOKUP($E222,[1]Message!$C:$I,7,FALSE)</f>
        <v>0</v>
      </c>
      <c r="J222" s="4"/>
      <c r="K222" s="4" t="s">
        <v>618</v>
      </c>
      <c r="L222" s="4">
        <v>54</v>
      </c>
      <c r="M222" s="4">
        <v>6</v>
      </c>
      <c r="N222" s="4">
        <v>1</v>
      </c>
      <c r="O222" s="4">
        <v>0</v>
      </c>
      <c r="P222" s="4">
        <v>0</v>
      </c>
      <c r="Q222" s="4"/>
      <c r="R222" s="4">
        <f t="shared" si="11"/>
        <v>0</v>
      </c>
      <c r="S222" s="4">
        <f t="shared" si="10"/>
        <v>63</v>
      </c>
      <c r="T222" s="4" t="s">
        <v>298</v>
      </c>
      <c r="U222" s="4" t="s">
        <v>619</v>
      </c>
      <c r="V222" s="4" t="s">
        <v>601</v>
      </c>
      <c r="W222" s="3" t="s">
        <v>849</v>
      </c>
      <c r="X222" s="3"/>
      <c r="Y222" s="3"/>
    </row>
    <row r="223" spans="1:25">
      <c r="A223" s="3">
        <v>222</v>
      </c>
      <c r="B223" s="4" t="s">
        <v>598</v>
      </c>
      <c r="C223" s="4">
        <f>MATCH($E223,[1]Message!$C:$C,0)</f>
        <v>36</v>
      </c>
      <c r="D223" s="4" t="str">
        <f>VLOOKUP($E223,[1]Message!$C:$I,3,FALSE)</f>
        <v>0x081AEE41</v>
      </c>
      <c r="E223" s="4" t="str">
        <f>VLOOKUP($B223,[1]Message!$B:$C,2,FALSE)</f>
        <v>U2P_SUMDATA25</v>
      </c>
      <c r="F223" s="4">
        <f>VLOOKUP($E223,[1]Message!$C:$I,4,FALSE)</f>
        <v>8</v>
      </c>
      <c r="G223" s="4" t="str">
        <f>VLOOKUP($E223,[1]Message!$C:$I,5,FALSE)</f>
        <v>BMU</v>
      </c>
      <c r="H223" s="4" t="str">
        <f>VLOOKUP($E223,[1]Message!$C:$I,6,FALSE)</f>
        <v>Event</v>
      </c>
      <c r="I223" s="4">
        <f>VLOOKUP($E223,[1]Message!$C:$I,7,FALSE)</f>
        <v>0</v>
      </c>
      <c r="J223" s="4"/>
      <c r="K223" s="4" t="s">
        <v>504</v>
      </c>
      <c r="L223" s="4">
        <v>60</v>
      </c>
      <c r="M223" s="4">
        <v>4</v>
      </c>
      <c r="N223" s="4">
        <v>1</v>
      </c>
      <c r="O223" s="4">
        <v>0</v>
      </c>
      <c r="P223" s="4">
        <v>0</v>
      </c>
      <c r="Q223" s="4"/>
      <c r="R223" s="4">
        <f t="shared" si="11"/>
        <v>0</v>
      </c>
      <c r="S223" s="4">
        <f t="shared" si="10"/>
        <v>15</v>
      </c>
      <c r="T223" s="4" t="s">
        <v>298</v>
      </c>
      <c r="U223" s="4" t="s">
        <v>361</v>
      </c>
      <c r="V223" s="4"/>
      <c r="W223" s="3" t="s">
        <v>849</v>
      </c>
      <c r="X223" s="3"/>
      <c r="Y223" s="3"/>
    </row>
    <row r="224" spans="1:25">
      <c r="A224" s="3">
        <v>223</v>
      </c>
      <c r="B224" s="4" t="s">
        <v>620</v>
      </c>
      <c r="C224" s="4">
        <f>MATCH($E224,[1]Message!$C:$C,0)</f>
        <v>37</v>
      </c>
      <c r="D224" s="4" t="str">
        <f>VLOOKUP($E224,[1]Message!$C:$I,3,FALSE)</f>
        <v>0x081BEE41</v>
      </c>
      <c r="E224" s="4" t="str">
        <f>VLOOKUP($B224,[1]Message!$B:$C,2,FALSE)</f>
        <v>U2P_SUMDATA26</v>
      </c>
      <c r="F224" s="4">
        <f>VLOOKUP($E224,[1]Message!$C:$I,4,FALSE)</f>
        <v>8</v>
      </c>
      <c r="G224" s="4" t="str">
        <f>VLOOKUP($E224,[1]Message!$C:$I,5,FALSE)</f>
        <v>BMU</v>
      </c>
      <c r="H224" s="4" t="str">
        <f>VLOOKUP($E224,[1]Message!$C:$I,6,FALSE)</f>
        <v>Event</v>
      </c>
      <c r="I224" s="4">
        <f>VLOOKUP($E224,[1]Message!$C:$I,7,FALSE)</f>
        <v>0</v>
      </c>
      <c r="J224" s="4"/>
      <c r="K224" s="4" t="s">
        <v>621</v>
      </c>
      <c r="L224" s="4">
        <v>0</v>
      </c>
      <c r="M224" s="4">
        <v>6</v>
      </c>
      <c r="N224" s="4">
        <v>1</v>
      </c>
      <c r="O224" s="4">
        <v>0</v>
      </c>
      <c r="P224" s="4">
        <v>0</v>
      </c>
      <c r="Q224" s="4"/>
      <c r="R224" s="4">
        <f t="shared" si="11"/>
        <v>0</v>
      </c>
      <c r="S224" s="4">
        <f t="shared" si="10"/>
        <v>63</v>
      </c>
      <c r="T224" s="4" t="s">
        <v>298</v>
      </c>
      <c r="U224" s="4" t="s">
        <v>622</v>
      </c>
      <c r="V224" s="4" t="s">
        <v>601</v>
      </c>
      <c r="W224" s="3" t="s">
        <v>849</v>
      </c>
      <c r="X224" s="3"/>
      <c r="Y224" s="3"/>
    </row>
    <row r="225" spans="1:25">
      <c r="A225" s="3">
        <v>224</v>
      </c>
      <c r="B225" s="4" t="s">
        <v>620</v>
      </c>
      <c r="C225" s="4">
        <f>MATCH($E225,[1]Message!$C:$C,0)</f>
        <v>37</v>
      </c>
      <c r="D225" s="4" t="str">
        <f>VLOOKUP($E225,[1]Message!$C:$I,3,FALSE)</f>
        <v>0x081BEE41</v>
      </c>
      <c r="E225" s="4" t="str">
        <f>VLOOKUP($B225,[1]Message!$B:$C,2,FALSE)</f>
        <v>U2P_SUMDATA26</v>
      </c>
      <c r="F225" s="4">
        <f>VLOOKUP($E225,[1]Message!$C:$I,4,FALSE)</f>
        <v>8</v>
      </c>
      <c r="G225" s="4" t="str">
        <f>VLOOKUP($E225,[1]Message!$C:$I,5,FALSE)</f>
        <v>BMU</v>
      </c>
      <c r="H225" s="4" t="str">
        <f>VLOOKUP($E225,[1]Message!$C:$I,6,FALSE)</f>
        <v>Event</v>
      </c>
      <c r="I225" s="4">
        <f>VLOOKUP($E225,[1]Message!$C:$I,7,FALSE)</f>
        <v>0</v>
      </c>
      <c r="J225" s="4"/>
      <c r="K225" s="4" t="s">
        <v>623</v>
      </c>
      <c r="L225" s="4">
        <v>6</v>
      </c>
      <c r="M225" s="4">
        <v>6</v>
      </c>
      <c r="N225" s="4">
        <v>1</v>
      </c>
      <c r="O225" s="4">
        <v>0</v>
      </c>
      <c r="P225" s="4">
        <v>0</v>
      </c>
      <c r="Q225" s="4"/>
      <c r="R225" s="4">
        <f t="shared" si="11"/>
        <v>0</v>
      </c>
      <c r="S225" s="4">
        <f t="shared" si="10"/>
        <v>63</v>
      </c>
      <c r="T225" s="4" t="s">
        <v>298</v>
      </c>
      <c r="U225" s="4" t="s">
        <v>624</v>
      </c>
      <c r="V225" s="4" t="s">
        <v>601</v>
      </c>
      <c r="W225" s="3" t="s">
        <v>849</v>
      </c>
      <c r="X225" s="3"/>
      <c r="Y225" s="3"/>
    </row>
    <row r="226" spans="1:25">
      <c r="A226" s="3">
        <v>225</v>
      </c>
      <c r="B226" s="4" t="s">
        <v>620</v>
      </c>
      <c r="C226" s="4">
        <f>MATCH($E226,[1]Message!$C:$C,0)</f>
        <v>37</v>
      </c>
      <c r="D226" s="4" t="str">
        <f>VLOOKUP($E226,[1]Message!$C:$I,3,FALSE)</f>
        <v>0x081BEE41</v>
      </c>
      <c r="E226" s="4" t="str">
        <f>VLOOKUP($B226,[1]Message!$B:$C,2,FALSE)</f>
        <v>U2P_SUMDATA26</v>
      </c>
      <c r="F226" s="4">
        <f>VLOOKUP($E226,[1]Message!$C:$I,4,FALSE)</f>
        <v>8</v>
      </c>
      <c r="G226" s="4" t="str">
        <f>VLOOKUP($E226,[1]Message!$C:$I,5,FALSE)</f>
        <v>BMU</v>
      </c>
      <c r="H226" s="4" t="str">
        <f>VLOOKUP($E226,[1]Message!$C:$I,6,FALSE)</f>
        <v>Event</v>
      </c>
      <c r="I226" s="4">
        <f>VLOOKUP($E226,[1]Message!$C:$I,7,FALSE)</f>
        <v>0</v>
      </c>
      <c r="J226" s="4"/>
      <c r="K226" s="4" t="s">
        <v>625</v>
      </c>
      <c r="L226" s="4">
        <v>12</v>
      </c>
      <c r="M226" s="4">
        <v>6</v>
      </c>
      <c r="N226" s="4">
        <v>1</v>
      </c>
      <c r="O226" s="4">
        <v>0</v>
      </c>
      <c r="P226" s="4">
        <v>0</v>
      </c>
      <c r="Q226" s="4"/>
      <c r="R226" s="4">
        <f t="shared" si="11"/>
        <v>0</v>
      </c>
      <c r="S226" s="4">
        <f t="shared" ref="S226:S261" si="12">(2^(M226)-1)*N226+O226</f>
        <v>63</v>
      </c>
      <c r="T226" s="4" t="s">
        <v>298</v>
      </c>
      <c r="U226" s="4" t="s">
        <v>626</v>
      </c>
      <c r="V226" s="4" t="s">
        <v>601</v>
      </c>
      <c r="W226" s="3" t="s">
        <v>849</v>
      </c>
      <c r="X226" s="3"/>
      <c r="Y226" s="3"/>
    </row>
    <row r="227" spans="1:25">
      <c r="A227" s="3">
        <v>226</v>
      </c>
      <c r="B227" s="4" t="s">
        <v>620</v>
      </c>
      <c r="C227" s="4">
        <f>MATCH($E227,[1]Message!$C:$C,0)</f>
        <v>37</v>
      </c>
      <c r="D227" s="4" t="str">
        <f>VLOOKUP($E227,[1]Message!$C:$I,3,FALSE)</f>
        <v>0x081BEE41</v>
      </c>
      <c r="E227" s="4" t="str">
        <f>VLOOKUP($B227,[1]Message!$B:$C,2,FALSE)</f>
        <v>U2P_SUMDATA26</v>
      </c>
      <c r="F227" s="4">
        <f>VLOOKUP($E227,[1]Message!$C:$I,4,FALSE)</f>
        <v>8</v>
      </c>
      <c r="G227" s="4" t="str">
        <f>VLOOKUP($E227,[1]Message!$C:$I,5,FALSE)</f>
        <v>BMU</v>
      </c>
      <c r="H227" s="4" t="str">
        <f>VLOOKUP($E227,[1]Message!$C:$I,6,FALSE)</f>
        <v>Event</v>
      </c>
      <c r="I227" s="4">
        <f>VLOOKUP($E227,[1]Message!$C:$I,7,FALSE)</f>
        <v>0</v>
      </c>
      <c r="J227" s="4"/>
      <c r="K227" s="4" t="s">
        <v>627</v>
      </c>
      <c r="L227" s="4">
        <v>18</v>
      </c>
      <c r="M227" s="4">
        <v>6</v>
      </c>
      <c r="N227" s="4">
        <v>1</v>
      </c>
      <c r="O227" s="4">
        <v>0</v>
      </c>
      <c r="P227" s="4">
        <v>0</v>
      </c>
      <c r="Q227" s="4"/>
      <c r="R227" s="4">
        <f t="shared" si="11"/>
        <v>0</v>
      </c>
      <c r="S227" s="4">
        <f t="shared" si="12"/>
        <v>63</v>
      </c>
      <c r="T227" s="4" t="s">
        <v>298</v>
      </c>
      <c r="U227" s="4" t="s">
        <v>628</v>
      </c>
      <c r="V227" s="4" t="s">
        <v>601</v>
      </c>
      <c r="W227" s="3" t="s">
        <v>849</v>
      </c>
      <c r="X227" s="3"/>
      <c r="Y227" s="3"/>
    </row>
    <row r="228" spans="1:25">
      <c r="A228" s="3">
        <v>227</v>
      </c>
      <c r="B228" s="4" t="s">
        <v>620</v>
      </c>
      <c r="C228" s="4">
        <f>MATCH($E228,[1]Message!$C:$C,0)</f>
        <v>37</v>
      </c>
      <c r="D228" s="4" t="str">
        <f>VLOOKUP($E228,[1]Message!$C:$I,3,FALSE)</f>
        <v>0x081BEE41</v>
      </c>
      <c r="E228" s="4" t="str">
        <f>VLOOKUP($B228,[1]Message!$B:$C,2,FALSE)</f>
        <v>U2P_SUMDATA26</v>
      </c>
      <c r="F228" s="4">
        <f>VLOOKUP($E228,[1]Message!$C:$I,4,FALSE)</f>
        <v>8</v>
      </c>
      <c r="G228" s="4" t="str">
        <f>VLOOKUP($E228,[1]Message!$C:$I,5,FALSE)</f>
        <v>BMU</v>
      </c>
      <c r="H228" s="4" t="str">
        <f>VLOOKUP($E228,[1]Message!$C:$I,6,FALSE)</f>
        <v>Event</v>
      </c>
      <c r="I228" s="4">
        <f>VLOOKUP($E228,[1]Message!$C:$I,7,FALSE)</f>
        <v>0</v>
      </c>
      <c r="J228" s="4"/>
      <c r="K228" s="4" t="s">
        <v>629</v>
      </c>
      <c r="L228" s="4">
        <v>24</v>
      </c>
      <c r="M228" s="4">
        <v>6</v>
      </c>
      <c r="N228" s="4">
        <v>1</v>
      </c>
      <c r="O228" s="4">
        <v>0</v>
      </c>
      <c r="P228" s="4">
        <v>0</v>
      </c>
      <c r="Q228" s="4"/>
      <c r="R228" s="4">
        <f t="shared" si="11"/>
        <v>0</v>
      </c>
      <c r="S228" s="4">
        <f t="shared" si="12"/>
        <v>63</v>
      </c>
      <c r="T228" s="4" t="s">
        <v>298</v>
      </c>
      <c r="U228" s="4" t="s">
        <v>630</v>
      </c>
      <c r="V228" s="4" t="s">
        <v>601</v>
      </c>
      <c r="W228" s="3" t="s">
        <v>849</v>
      </c>
      <c r="X228" s="3"/>
      <c r="Y228" s="3"/>
    </row>
    <row r="229" spans="1:25">
      <c r="A229" s="3">
        <v>228</v>
      </c>
      <c r="B229" s="4" t="s">
        <v>620</v>
      </c>
      <c r="C229" s="4">
        <f>MATCH($E229,[1]Message!$C:$C,0)</f>
        <v>37</v>
      </c>
      <c r="D229" s="4" t="str">
        <f>VLOOKUP($E229,[1]Message!$C:$I,3,FALSE)</f>
        <v>0x081BEE41</v>
      </c>
      <c r="E229" s="4" t="str">
        <f>VLOOKUP($B229,[1]Message!$B:$C,2,FALSE)</f>
        <v>U2P_SUMDATA26</v>
      </c>
      <c r="F229" s="4">
        <f>VLOOKUP($E229,[1]Message!$C:$I,4,FALSE)</f>
        <v>8</v>
      </c>
      <c r="G229" s="4" t="str">
        <f>VLOOKUP($E229,[1]Message!$C:$I,5,FALSE)</f>
        <v>BMU</v>
      </c>
      <c r="H229" s="4" t="str">
        <f>VLOOKUP($E229,[1]Message!$C:$I,6,FALSE)</f>
        <v>Event</v>
      </c>
      <c r="I229" s="4">
        <f>VLOOKUP($E229,[1]Message!$C:$I,7,FALSE)</f>
        <v>0</v>
      </c>
      <c r="J229" s="4"/>
      <c r="K229" s="4" t="s">
        <v>631</v>
      </c>
      <c r="L229" s="4">
        <v>30</v>
      </c>
      <c r="M229" s="4">
        <v>6</v>
      </c>
      <c r="N229" s="4">
        <v>1</v>
      </c>
      <c r="O229" s="4">
        <v>0</v>
      </c>
      <c r="P229" s="4">
        <v>0</v>
      </c>
      <c r="Q229" s="4"/>
      <c r="R229" s="4">
        <f t="shared" si="11"/>
        <v>0</v>
      </c>
      <c r="S229" s="4">
        <f t="shared" si="12"/>
        <v>63</v>
      </c>
      <c r="T229" s="4" t="s">
        <v>298</v>
      </c>
      <c r="U229" s="4" t="s">
        <v>632</v>
      </c>
      <c r="V229" s="4" t="s">
        <v>601</v>
      </c>
      <c r="W229" s="3" t="s">
        <v>849</v>
      </c>
      <c r="X229" s="3"/>
      <c r="Y229" s="3"/>
    </row>
    <row r="230" spans="1:25">
      <c r="A230" s="3">
        <v>229</v>
      </c>
      <c r="B230" s="4" t="s">
        <v>620</v>
      </c>
      <c r="C230" s="4">
        <f>MATCH($E230,[1]Message!$C:$C,0)</f>
        <v>37</v>
      </c>
      <c r="D230" s="4" t="str">
        <f>VLOOKUP($E230,[1]Message!$C:$I,3,FALSE)</f>
        <v>0x081BEE41</v>
      </c>
      <c r="E230" s="4" t="str">
        <f>VLOOKUP($B230,[1]Message!$B:$C,2,FALSE)</f>
        <v>U2P_SUMDATA26</v>
      </c>
      <c r="F230" s="4">
        <f>VLOOKUP($E230,[1]Message!$C:$I,4,FALSE)</f>
        <v>8</v>
      </c>
      <c r="G230" s="4" t="str">
        <f>VLOOKUP($E230,[1]Message!$C:$I,5,FALSE)</f>
        <v>BMU</v>
      </c>
      <c r="H230" s="4" t="str">
        <f>VLOOKUP($E230,[1]Message!$C:$I,6,FALSE)</f>
        <v>Event</v>
      </c>
      <c r="I230" s="4">
        <f>VLOOKUP($E230,[1]Message!$C:$I,7,FALSE)</f>
        <v>0</v>
      </c>
      <c r="J230" s="4"/>
      <c r="K230" s="4" t="s">
        <v>633</v>
      </c>
      <c r="L230" s="4">
        <v>36</v>
      </c>
      <c r="M230" s="4">
        <v>6</v>
      </c>
      <c r="N230" s="4">
        <v>1</v>
      </c>
      <c r="O230" s="4">
        <v>0</v>
      </c>
      <c r="P230" s="4">
        <v>0</v>
      </c>
      <c r="Q230" s="4"/>
      <c r="R230" s="4">
        <f t="shared" si="11"/>
        <v>0</v>
      </c>
      <c r="S230" s="4">
        <f t="shared" si="12"/>
        <v>63</v>
      </c>
      <c r="T230" s="4" t="s">
        <v>298</v>
      </c>
      <c r="U230" s="4" t="s">
        <v>634</v>
      </c>
      <c r="V230" s="4" t="s">
        <v>601</v>
      </c>
      <c r="W230" s="3" t="s">
        <v>849</v>
      </c>
      <c r="X230" s="3"/>
      <c r="Y230" s="3"/>
    </row>
    <row r="231" spans="1:25">
      <c r="A231" s="3">
        <v>230</v>
      </c>
      <c r="B231" s="4" t="s">
        <v>620</v>
      </c>
      <c r="C231" s="4">
        <f>MATCH($E231,[1]Message!$C:$C,0)</f>
        <v>37</v>
      </c>
      <c r="D231" s="4" t="str">
        <f>VLOOKUP($E231,[1]Message!$C:$I,3,FALSE)</f>
        <v>0x081BEE41</v>
      </c>
      <c r="E231" s="4" t="str">
        <f>VLOOKUP($B231,[1]Message!$B:$C,2,FALSE)</f>
        <v>U2P_SUMDATA26</v>
      </c>
      <c r="F231" s="4">
        <f>VLOOKUP($E231,[1]Message!$C:$I,4,FALSE)</f>
        <v>8</v>
      </c>
      <c r="G231" s="4" t="str">
        <f>VLOOKUP($E231,[1]Message!$C:$I,5,FALSE)</f>
        <v>BMU</v>
      </c>
      <c r="H231" s="4" t="str">
        <f>VLOOKUP($E231,[1]Message!$C:$I,6,FALSE)</f>
        <v>Event</v>
      </c>
      <c r="I231" s="4">
        <f>VLOOKUP($E231,[1]Message!$C:$I,7,FALSE)</f>
        <v>0</v>
      </c>
      <c r="J231" s="4"/>
      <c r="K231" s="4" t="s">
        <v>635</v>
      </c>
      <c r="L231" s="4">
        <v>42</v>
      </c>
      <c r="M231" s="4">
        <v>6</v>
      </c>
      <c r="N231" s="4">
        <v>1</v>
      </c>
      <c r="O231" s="4">
        <v>0</v>
      </c>
      <c r="P231" s="4">
        <v>0</v>
      </c>
      <c r="Q231" s="4"/>
      <c r="R231" s="4">
        <f t="shared" ref="R231:R261" si="13">0*N231+O231</f>
        <v>0</v>
      </c>
      <c r="S231" s="4">
        <f t="shared" si="12"/>
        <v>63</v>
      </c>
      <c r="T231" s="4" t="s">
        <v>298</v>
      </c>
      <c r="U231" s="4" t="s">
        <v>636</v>
      </c>
      <c r="V231" s="4" t="s">
        <v>601</v>
      </c>
      <c r="W231" s="3" t="s">
        <v>849</v>
      </c>
      <c r="X231" s="3"/>
      <c r="Y231" s="3"/>
    </row>
    <row r="232" spans="1:25">
      <c r="A232" s="3">
        <v>231</v>
      </c>
      <c r="B232" s="4" t="s">
        <v>620</v>
      </c>
      <c r="C232" s="4">
        <f>MATCH($E232,[1]Message!$C:$C,0)</f>
        <v>37</v>
      </c>
      <c r="D232" s="4" t="str">
        <f>VLOOKUP($E232,[1]Message!$C:$I,3,FALSE)</f>
        <v>0x081BEE41</v>
      </c>
      <c r="E232" s="4" t="str">
        <f>VLOOKUP($B232,[1]Message!$B:$C,2,FALSE)</f>
        <v>U2P_SUMDATA26</v>
      </c>
      <c r="F232" s="4">
        <f>VLOOKUP($E232,[1]Message!$C:$I,4,FALSE)</f>
        <v>8</v>
      </c>
      <c r="G232" s="4" t="str">
        <f>VLOOKUP($E232,[1]Message!$C:$I,5,FALSE)</f>
        <v>BMU</v>
      </c>
      <c r="H232" s="4" t="str">
        <f>VLOOKUP($E232,[1]Message!$C:$I,6,FALSE)</f>
        <v>Event</v>
      </c>
      <c r="I232" s="4">
        <f>VLOOKUP($E232,[1]Message!$C:$I,7,FALSE)</f>
        <v>0</v>
      </c>
      <c r="J232" s="4"/>
      <c r="K232" s="4" t="s">
        <v>637</v>
      </c>
      <c r="L232" s="4">
        <v>48</v>
      </c>
      <c r="M232" s="4">
        <v>6</v>
      </c>
      <c r="N232" s="4">
        <v>1</v>
      </c>
      <c r="O232" s="4">
        <v>0</v>
      </c>
      <c r="P232" s="4">
        <v>0</v>
      </c>
      <c r="Q232" s="4"/>
      <c r="R232" s="4">
        <f t="shared" si="13"/>
        <v>0</v>
      </c>
      <c r="S232" s="4">
        <f t="shared" si="12"/>
        <v>63</v>
      </c>
      <c r="T232" s="4" t="s">
        <v>298</v>
      </c>
      <c r="U232" s="4" t="s">
        <v>638</v>
      </c>
      <c r="V232" s="4" t="s">
        <v>601</v>
      </c>
      <c r="W232" s="3" t="s">
        <v>849</v>
      </c>
      <c r="X232" s="3"/>
      <c r="Y232" s="3"/>
    </row>
    <row r="233" spans="1:25">
      <c r="A233" s="3">
        <v>232</v>
      </c>
      <c r="B233" s="4" t="s">
        <v>620</v>
      </c>
      <c r="C233" s="4">
        <f>MATCH($E233,[1]Message!$C:$C,0)</f>
        <v>37</v>
      </c>
      <c r="D233" s="4" t="str">
        <f>VLOOKUP($E233,[1]Message!$C:$I,3,FALSE)</f>
        <v>0x081BEE41</v>
      </c>
      <c r="E233" s="4" t="str">
        <f>VLOOKUP($B233,[1]Message!$B:$C,2,FALSE)</f>
        <v>U2P_SUMDATA26</v>
      </c>
      <c r="F233" s="4">
        <f>VLOOKUP($E233,[1]Message!$C:$I,4,FALSE)</f>
        <v>8</v>
      </c>
      <c r="G233" s="4" t="str">
        <f>VLOOKUP($E233,[1]Message!$C:$I,5,FALSE)</f>
        <v>BMU</v>
      </c>
      <c r="H233" s="4" t="str">
        <f>VLOOKUP($E233,[1]Message!$C:$I,6,FALSE)</f>
        <v>Event</v>
      </c>
      <c r="I233" s="4">
        <f>VLOOKUP($E233,[1]Message!$C:$I,7,FALSE)</f>
        <v>0</v>
      </c>
      <c r="J233" s="4"/>
      <c r="K233" s="4" t="s">
        <v>639</v>
      </c>
      <c r="L233" s="4">
        <v>54</v>
      </c>
      <c r="M233" s="4">
        <v>6</v>
      </c>
      <c r="N233" s="4">
        <v>1</v>
      </c>
      <c r="O233" s="4">
        <v>0</v>
      </c>
      <c r="P233" s="4">
        <v>0</v>
      </c>
      <c r="Q233" s="4"/>
      <c r="R233" s="4">
        <f t="shared" si="13"/>
        <v>0</v>
      </c>
      <c r="S233" s="4">
        <f t="shared" si="12"/>
        <v>63</v>
      </c>
      <c r="T233" s="4" t="s">
        <v>298</v>
      </c>
      <c r="U233" s="4" t="s">
        <v>640</v>
      </c>
      <c r="V233" s="4" t="s">
        <v>601</v>
      </c>
      <c r="W233" s="3" t="s">
        <v>849</v>
      </c>
      <c r="X233" s="3"/>
      <c r="Y233" s="3"/>
    </row>
    <row r="234" spans="1:25">
      <c r="A234" s="3">
        <v>233</v>
      </c>
      <c r="B234" s="4" t="s">
        <v>620</v>
      </c>
      <c r="C234" s="4">
        <f>MATCH($E234,[1]Message!$C:$C,0)</f>
        <v>37</v>
      </c>
      <c r="D234" s="4" t="str">
        <f>VLOOKUP($E234,[1]Message!$C:$I,3,FALSE)</f>
        <v>0x081BEE41</v>
      </c>
      <c r="E234" s="4" t="str">
        <f>VLOOKUP($B234,[1]Message!$B:$C,2,FALSE)</f>
        <v>U2P_SUMDATA26</v>
      </c>
      <c r="F234" s="4">
        <f>VLOOKUP($E234,[1]Message!$C:$I,4,FALSE)</f>
        <v>8</v>
      </c>
      <c r="G234" s="4" t="str">
        <f>VLOOKUP($E234,[1]Message!$C:$I,5,FALSE)</f>
        <v>BMU</v>
      </c>
      <c r="H234" s="4" t="str">
        <f>VLOOKUP($E234,[1]Message!$C:$I,6,FALSE)</f>
        <v>Event</v>
      </c>
      <c r="I234" s="4">
        <f>VLOOKUP($E234,[1]Message!$C:$I,7,FALSE)</f>
        <v>0</v>
      </c>
      <c r="J234" s="4"/>
      <c r="K234" s="4" t="s">
        <v>504</v>
      </c>
      <c r="L234" s="4">
        <v>60</v>
      </c>
      <c r="M234" s="4">
        <v>4</v>
      </c>
      <c r="N234" s="4">
        <v>1</v>
      </c>
      <c r="O234" s="4">
        <v>0</v>
      </c>
      <c r="P234" s="4">
        <v>0</v>
      </c>
      <c r="Q234" s="4"/>
      <c r="R234" s="4">
        <f t="shared" si="13"/>
        <v>0</v>
      </c>
      <c r="S234" s="4">
        <f t="shared" si="12"/>
        <v>15</v>
      </c>
      <c r="T234" s="4" t="s">
        <v>298</v>
      </c>
      <c r="U234" s="4" t="s">
        <v>361</v>
      </c>
      <c r="V234" s="4"/>
      <c r="W234" s="3" t="s">
        <v>849</v>
      </c>
      <c r="X234" s="3"/>
      <c r="Y234" s="3"/>
    </row>
    <row r="235" spans="1:25">
      <c r="A235" s="3">
        <v>234</v>
      </c>
      <c r="B235" s="4" t="s">
        <v>641</v>
      </c>
      <c r="C235" s="4">
        <f>MATCH($E235,[1]Message!$C:$C,0)</f>
        <v>38</v>
      </c>
      <c r="D235" s="4" t="str">
        <f>VLOOKUP($E235,[1]Message!$C:$I,3,FALSE)</f>
        <v>0x081CEE41</v>
      </c>
      <c r="E235" s="4" t="str">
        <f>VLOOKUP($B235,[1]Message!$B:$C,2,FALSE)</f>
        <v>U2P_SUMDATA27</v>
      </c>
      <c r="F235" s="4">
        <f>VLOOKUP($E235,[1]Message!$C:$I,4,FALSE)</f>
        <v>8</v>
      </c>
      <c r="G235" s="4" t="str">
        <f>VLOOKUP($E235,[1]Message!$C:$I,5,FALSE)</f>
        <v>BMU</v>
      </c>
      <c r="H235" s="4" t="str">
        <f>VLOOKUP($E235,[1]Message!$C:$I,6,FALSE)</f>
        <v>Event</v>
      </c>
      <c r="I235" s="4">
        <f>VLOOKUP($E235,[1]Message!$C:$I,7,FALSE)</f>
        <v>0</v>
      </c>
      <c r="J235" s="4"/>
      <c r="K235" s="4" t="s">
        <v>642</v>
      </c>
      <c r="L235" s="4">
        <v>0</v>
      </c>
      <c r="M235" s="4">
        <v>6</v>
      </c>
      <c r="N235" s="4">
        <v>1</v>
      </c>
      <c r="O235" s="4">
        <v>0</v>
      </c>
      <c r="P235" s="4">
        <v>0</v>
      </c>
      <c r="Q235" s="4"/>
      <c r="R235" s="4">
        <f t="shared" si="13"/>
        <v>0</v>
      </c>
      <c r="S235" s="4">
        <f t="shared" si="12"/>
        <v>63</v>
      </c>
      <c r="T235" s="4" t="s">
        <v>298</v>
      </c>
      <c r="U235" s="4" t="s">
        <v>643</v>
      </c>
      <c r="V235" s="4" t="s">
        <v>601</v>
      </c>
      <c r="W235" s="3" t="s">
        <v>849</v>
      </c>
      <c r="X235" s="3"/>
      <c r="Y235" s="3"/>
    </row>
    <row r="236" spans="1:25">
      <c r="A236" s="3">
        <v>235</v>
      </c>
      <c r="B236" s="4" t="s">
        <v>641</v>
      </c>
      <c r="C236" s="4">
        <f>MATCH($E236,[1]Message!$C:$C,0)</f>
        <v>38</v>
      </c>
      <c r="D236" s="4" t="str">
        <f>VLOOKUP($E236,[1]Message!$C:$I,3,FALSE)</f>
        <v>0x081CEE41</v>
      </c>
      <c r="E236" s="4" t="str">
        <f>VLOOKUP($B236,[1]Message!$B:$C,2,FALSE)</f>
        <v>U2P_SUMDATA27</v>
      </c>
      <c r="F236" s="4">
        <f>VLOOKUP($E236,[1]Message!$C:$I,4,FALSE)</f>
        <v>8</v>
      </c>
      <c r="G236" s="4" t="str">
        <f>VLOOKUP($E236,[1]Message!$C:$I,5,FALSE)</f>
        <v>BMU</v>
      </c>
      <c r="H236" s="4" t="str">
        <f>VLOOKUP($E236,[1]Message!$C:$I,6,FALSE)</f>
        <v>Event</v>
      </c>
      <c r="I236" s="4">
        <f>VLOOKUP($E236,[1]Message!$C:$I,7,FALSE)</f>
        <v>0</v>
      </c>
      <c r="J236" s="4"/>
      <c r="K236" s="4" t="s">
        <v>644</v>
      </c>
      <c r="L236" s="4">
        <v>6</v>
      </c>
      <c r="M236" s="4">
        <v>6</v>
      </c>
      <c r="N236" s="4">
        <v>1</v>
      </c>
      <c r="O236" s="4">
        <v>0</v>
      </c>
      <c r="P236" s="4">
        <v>0</v>
      </c>
      <c r="Q236" s="4"/>
      <c r="R236" s="4">
        <f t="shared" si="13"/>
        <v>0</v>
      </c>
      <c r="S236" s="4">
        <f t="shared" si="12"/>
        <v>63</v>
      </c>
      <c r="T236" s="4" t="s">
        <v>298</v>
      </c>
      <c r="U236" s="4" t="s">
        <v>645</v>
      </c>
      <c r="V236" s="4" t="s">
        <v>601</v>
      </c>
      <c r="W236" s="3" t="s">
        <v>849</v>
      </c>
      <c r="X236" s="3"/>
      <c r="Y236" s="3"/>
    </row>
    <row r="237" spans="1:25">
      <c r="A237" s="3">
        <v>236</v>
      </c>
      <c r="B237" s="4" t="s">
        <v>641</v>
      </c>
      <c r="C237" s="4">
        <f>MATCH($E237,[1]Message!$C:$C,0)</f>
        <v>38</v>
      </c>
      <c r="D237" s="4" t="str">
        <f>VLOOKUP($E237,[1]Message!$C:$I,3,FALSE)</f>
        <v>0x081CEE41</v>
      </c>
      <c r="E237" s="4" t="str">
        <f>VLOOKUP($B237,[1]Message!$B:$C,2,FALSE)</f>
        <v>U2P_SUMDATA27</v>
      </c>
      <c r="F237" s="4">
        <f>VLOOKUP($E237,[1]Message!$C:$I,4,FALSE)</f>
        <v>8</v>
      </c>
      <c r="G237" s="4" t="str">
        <f>VLOOKUP($E237,[1]Message!$C:$I,5,FALSE)</f>
        <v>BMU</v>
      </c>
      <c r="H237" s="4" t="str">
        <f>VLOOKUP($E237,[1]Message!$C:$I,6,FALSE)</f>
        <v>Event</v>
      </c>
      <c r="I237" s="4">
        <f>VLOOKUP($E237,[1]Message!$C:$I,7,FALSE)</f>
        <v>0</v>
      </c>
      <c r="J237" s="4"/>
      <c r="K237" s="4" t="s">
        <v>646</v>
      </c>
      <c r="L237" s="4">
        <v>12</v>
      </c>
      <c r="M237" s="4">
        <v>6</v>
      </c>
      <c r="N237" s="4">
        <v>1</v>
      </c>
      <c r="O237" s="4">
        <v>0</v>
      </c>
      <c r="P237" s="4">
        <v>0</v>
      </c>
      <c r="Q237" s="4"/>
      <c r="R237" s="4">
        <f t="shared" si="13"/>
        <v>0</v>
      </c>
      <c r="S237" s="4">
        <f t="shared" si="12"/>
        <v>63</v>
      </c>
      <c r="T237" s="4" t="s">
        <v>298</v>
      </c>
      <c r="U237" s="4" t="s">
        <v>647</v>
      </c>
      <c r="V237" s="4" t="s">
        <v>601</v>
      </c>
      <c r="W237" s="3" t="s">
        <v>849</v>
      </c>
      <c r="X237" s="3"/>
      <c r="Y237" s="3"/>
    </row>
    <row r="238" spans="1:25">
      <c r="A238" s="3">
        <v>237</v>
      </c>
      <c r="B238" s="4" t="s">
        <v>641</v>
      </c>
      <c r="C238" s="4">
        <f>MATCH($E238,[1]Message!$C:$C,0)</f>
        <v>38</v>
      </c>
      <c r="D238" s="4" t="str">
        <f>VLOOKUP($E238,[1]Message!$C:$I,3,FALSE)</f>
        <v>0x081CEE41</v>
      </c>
      <c r="E238" s="4" t="str">
        <f>VLOOKUP($B238,[1]Message!$B:$C,2,FALSE)</f>
        <v>U2P_SUMDATA27</v>
      </c>
      <c r="F238" s="4">
        <f>VLOOKUP($E238,[1]Message!$C:$I,4,FALSE)</f>
        <v>8</v>
      </c>
      <c r="G238" s="4" t="str">
        <f>VLOOKUP($E238,[1]Message!$C:$I,5,FALSE)</f>
        <v>BMU</v>
      </c>
      <c r="H238" s="4" t="str">
        <f>VLOOKUP($E238,[1]Message!$C:$I,6,FALSE)</f>
        <v>Event</v>
      </c>
      <c r="I238" s="4">
        <f>VLOOKUP($E238,[1]Message!$C:$I,7,FALSE)</f>
        <v>0</v>
      </c>
      <c r="J238" s="4"/>
      <c r="K238" s="4" t="s">
        <v>648</v>
      </c>
      <c r="L238" s="4">
        <v>18</v>
      </c>
      <c r="M238" s="4">
        <v>6</v>
      </c>
      <c r="N238" s="4">
        <v>1</v>
      </c>
      <c r="O238" s="4">
        <v>0</v>
      </c>
      <c r="P238" s="4">
        <v>0</v>
      </c>
      <c r="Q238" s="4"/>
      <c r="R238" s="4">
        <f t="shared" si="13"/>
        <v>0</v>
      </c>
      <c r="S238" s="4">
        <f t="shared" si="12"/>
        <v>63</v>
      </c>
      <c r="T238" s="4" t="s">
        <v>298</v>
      </c>
      <c r="U238" s="4" t="s">
        <v>649</v>
      </c>
      <c r="V238" s="4" t="s">
        <v>601</v>
      </c>
      <c r="W238" s="3" t="s">
        <v>849</v>
      </c>
      <c r="X238" s="3"/>
      <c r="Y238" s="3"/>
    </row>
    <row r="239" spans="1:25">
      <c r="A239" s="3">
        <v>238</v>
      </c>
      <c r="B239" s="4" t="s">
        <v>641</v>
      </c>
      <c r="C239" s="4">
        <f>MATCH($E239,[1]Message!$C:$C,0)</f>
        <v>38</v>
      </c>
      <c r="D239" s="4" t="str">
        <f>VLOOKUP($E239,[1]Message!$C:$I,3,FALSE)</f>
        <v>0x081CEE41</v>
      </c>
      <c r="E239" s="4" t="str">
        <f>VLOOKUP($B239,[1]Message!$B:$C,2,FALSE)</f>
        <v>U2P_SUMDATA27</v>
      </c>
      <c r="F239" s="4">
        <f>VLOOKUP($E239,[1]Message!$C:$I,4,FALSE)</f>
        <v>8</v>
      </c>
      <c r="G239" s="4" t="str">
        <f>VLOOKUP($E239,[1]Message!$C:$I,5,FALSE)</f>
        <v>BMU</v>
      </c>
      <c r="H239" s="4" t="str">
        <f>VLOOKUP($E239,[1]Message!$C:$I,6,FALSE)</f>
        <v>Event</v>
      </c>
      <c r="I239" s="4">
        <f>VLOOKUP($E239,[1]Message!$C:$I,7,FALSE)</f>
        <v>0</v>
      </c>
      <c r="J239" s="4"/>
      <c r="K239" s="4" t="s">
        <v>650</v>
      </c>
      <c r="L239" s="4">
        <v>24</v>
      </c>
      <c r="M239" s="4">
        <v>6</v>
      </c>
      <c r="N239" s="4">
        <v>1</v>
      </c>
      <c r="O239" s="4">
        <v>0</v>
      </c>
      <c r="P239" s="4">
        <v>0</v>
      </c>
      <c r="Q239" s="4"/>
      <c r="R239" s="4">
        <f t="shared" si="13"/>
        <v>0</v>
      </c>
      <c r="S239" s="4">
        <f t="shared" si="12"/>
        <v>63</v>
      </c>
      <c r="T239" s="4" t="s">
        <v>298</v>
      </c>
      <c r="U239" s="4" t="s">
        <v>651</v>
      </c>
      <c r="V239" s="4" t="s">
        <v>601</v>
      </c>
      <c r="W239" s="3" t="s">
        <v>849</v>
      </c>
      <c r="X239" s="3"/>
      <c r="Y239" s="3"/>
    </row>
    <row r="240" spans="1:25">
      <c r="A240" s="3">
        <v>239</v>
      </c>
      <c r="B240" s="4" t="s">
        <v>641</v>
      </c>
      <c r="C240" s="4">
        <f>MATCH($E240,[1]Message!$C:$C,0)</f>
        <v>38</v>
      </c>
      <c r="D240" s="4" t="str">
        <f>VLOOKUP($E240,[1]Message!$C:$I,3,FALSE)</f>
        <v>0x081CEE41</v>
      </c>
      <c r="E240" s="4" t="str">
        <f>VLOOKUP($B240,[1]Message!$B:$C,2,FALSE)</f>
        <v>U2P_SUMDATA27</v>
      </c>
      <c r="F240" s="4">
        <f>VLOOKUP($E240,[1]Message!$C:$I,4,FALSE)</f>
        <v>8</v>
      </c>
      <c r="G240" s="4" t="str">
        <f>VLOOKUP($E240,[1]Message!$C:$I,5,FALSE)</f>
        <v>BMU</v>
      </c>
      <c r="H240" s="4" t="str">
        <f>VLOOKUP($E240,[1]Message!$C:$I,6,FALSE)</f>
        <v>Event</v>
      </c>
      <c r="I240" s="4">
        <f>VLOOKUP($E240,[1]Message!$C:$I,7,FALSE)</f>
        <v>0</v>
      </c>
      <c r="J240" s="4"/>
      <c r="K240" s="4" t="s">
        <v>652</v>
      </c>
      <c r="L240" s="4">
        <v>30</v>
      </c>
      <c r="M240" s="4">
        <v>6</v>
      </c>
      <c r="N240" s="4">
        <v>1</v>
      </c>
      <c r="O240" s="4">
        <v>0</v>
      </c>
      <c r="P240" s="4">
        <v>0</v>
      </c>
      <c r="Q240" s="4"/>
      <c r="R240" s="4">
        <f t="shared" si="13"/>
        <v>0</v>
      </c>
      <c r="S240" s="4">
        <f t="shared" si="12"/>
        <v>63</v>
      </c>
      <c r="T240" s="4" t="s">
        <v>298</v>
      </c>
      <c r="U240" s="4" t="s">
        <v>653</v>
      </c>
      <c r="V240" s="4" t="s">
        <v>601</v>
      </c>
      <c r="W240" s="3" t="s">
        <v>849</v>
      </c>
      <c r="X240" s="3"/>
      <c r="Y240" s="3"/>
    </row>
    <row r="241" spans="1:25">
      <c r="A241" s="3">
        <v>240</v>
      </c>
      <c r="B241" s="4" t="s">
        <v>641</v>
      </c>
      <c r="C241" s="4">
        <f>MATCH($E241,[1]Message!$C:$C,0)</f>
        <v>38</v>
      </c>
      <c r="D241" s="4" t="str">
        <f>VLOOKUP($E241,[1]Message!$C:$I,3,FALSE)</f>
        <v>0x081CEE41</v>
      </c>
      <c r="E241" s="4" t="str">
        <f>VLOOKUP($B241,[1]Message!$B:$C,2,FALSE)</f>
        <v>U2P_SUMDATA27</v>
      </c>
      <c r="F241" s="4">
        <f>VLOOKUP($E241,[1]Message!$C:$I,4,FALSE)</f>
        <v>8</v>
      </c>
      <c r="G241" s="4" t="str">
        <f>VLOOKUP($E241,[1]Message!$C:$I,5,FALSE)</f>
        <v>BMU</v>
      </c>
      <c r="H241" s="4" t="str">
        <f>VLOOKUP($E241,[1]Message!$C:$I,6,FALSE)</f>
        <v>Event</v>
      </c>
      <c r="I241" s="4">
        <f>VLOOKUP($E241,[1]Message!$C:$I,7,FALSE)</f>
        <v>0</v>
      </c>
      <c r="J241" s="4"/>
      <c r="K241" s="4" t="s">
        <v>654</v>
      </c>
      <c r="L241" s="4">
        <v>36</v>
      </c>
      <c r="M241" s="4">
        <v>6</v>
      </c>
      <c r="N241" s="4">
        <v>1</v>
      </c>
      <c r="O241" s="4">
        <v>0</v>
      </c>
      <c r="P241" s="4">
        <v>0</v>
      </c>
      <c r="Q241" s="4"/>
      <c r="R241" s="4">
        <f t="shared" si="13"/>
        <v>0</v>
      </c>
      <c r="S241" s="4">
        <f t="shared" si="12"/>
        <v>63</v>
      </c>
      <c r="T241" s="4" t="s">
        <v>298</v>
      </c>
      <c r="U241" s="4" t="s">
        <v>655</v>
      </c>
      <c r="V241" s="4" t="s">
        <v>601</v>
      </c>
      <c r="W241" s="3" t="s">
        <v>849</v>
      </c>
      <c r="X241" s="3"/>
      <c r="Y241" s="3"/>
    </row>
    <row r="242" spans="1:25">
      <c r="A242" s="3">
        <v>241</v>
      </c>
      <c r="B242" s="4" t="s">
        <v>641</v>
      </c>
      <c r="C242" s="4">
        <f>MATCH($E242,[1]Message!$C:$C,0)</f>
        <v>38</v>
      </c>
      <c r="D242" s="4" t="str">
        <f>VLOOKUP($E242,[1]Message!$C:$I,3,FALSE)</f>
        <v>0x081CEE41</v>
      </c>
      <c r="E242" s="4" t="str">
        <f>VLOOKUP($B242,[1]Message!$B:$C,2,FALSE)</f>
        <v>U2P_SUMDATA27</v>
      </c>
      <c r="F242" s="4">
        <f>VLOOKUP($E242,[1]Message!$C:$I,4,FALSE)</f>
        <v>8</v>
      </c>
      <c r="G242" s="4" t="str">
        <f>VLOOKUP($E242,[1]Message!$C:$I,5,FALSE)</f>
        <v>BMU</v>
      </c>
      <c r="H242" s="4" t="str">
        <f>VLOOKUP($E242,[1]Message!$C:$I,6,FALSE)</f>
        <v>Event</v>
      </c>
      <c r="I242" s="4">
        <f>VLOOKUP($E242,[1]Message!$C:$I,7,FALSE)</f>
        <v>0</v>
      </c>
      <c r="J242" s="4"/>
      <c r="K242" s="4" t="s">
        <v>656</v>
      </c>
      <c r="L242" s="4">
        <v>42</v>
      </c>
      <c r="M242" s="4">
        <v>6</v>
      </c>
      <c r="N242" s="4">
        <v>1</v>
      </c>
      <c r="O242" s="4">
        <v>0</v>
      </c>
      <c r="P242" s="4">
        <v>0</v>
      </c>
      <c r="Q242" s="4"/>
      <c r="R242" s="4">
        <f t="shared" si="13"/>
        <v>0</v>
      </c>
      <c r="S242" s="4">
        <f t="shared" si="12"/>
        <v>63</v>
      </c>
      <c r="T242" s="4" t="s">
        <v>298</v>
      </c>
      <c r="U242" s="4" t="s">
        <v>657</v>
      </c>
      <c r="V242" s="4" t="s">
        <v>601</v>
      </c>
      <c r="W242" s="3" t="s">
        <v>849</v>
      </c>
      <c r="X242" s="3"/>
      <c r="Y242" s="3"/>
    </row>
    <row r="243" spans="1:25">
      <c r="A243" s="3">
        <v>242</v>
      </c>
      <c r="B243" s="4" t="s">
        <v>641</v>
      </c>
      <c r="C243" s="4">
        <f>MATCH($E243,[1]Message!$C:$C,0)</f>
        <v>38</v>
      </c>
      <c r="D243" s="4" t="str">
        <f>VLOOKUP($E243,[1]Message!$C:$I,3,FALSE)</f>
        <v>0x081CEE41</v>
      </c>
      <c r="E243" s="4" t="str">
        <f>VLOOKUP($B243,[1]Message!$B:$C,2,FALSE)</f>
        <v>U2P_SUMDATA27</v>
      </c>
      <c r="F243" s="4">
        <f>VLOOKUP($E243,[1]Message!$C:$I,4,FALSE)</f>
        <v>8</v>
      </c>
      <c r="G243" s="4" t="str">
        <f>VLOOKUP($E243,[1]Message!$C:$I,5,FALSE)</f>
        <v>BMU</v>
      </c>
      <c r="H243" s="4" t="str">
        <f>VLOOKUP($E243,[1]Message!$C:$I,6,FALSE)</f>
        <v>Event</v>
      </c>
      <c r="I243" s="4">
        <f>VLOOKUP($E243,[1]Message!$C:$I,7,FALSE)</f>
        <v>0</v>
      </c>
      <c r="J243" s="4"/>
      <c r="K243" s="4" t="s">
        <v>658</v>
      </c>
      <c r="L243" s="4">
        <v>48</v>
      </c>
      <c r="M243" s="4">
        <v>6</v>
      </c>
      <c r="N243" s="4">
        <v>1</v>
      </c>
      <c r="O243" s="4">
        <v>0</v>
      </c>
      <c r="P243" s="4">
        <v>0</v>
      </c>
      <c r="Q243" s="4"/>
      <c r="R243" s="4">
        <f t="shared" si="13"/>
        <v>0</v>
      </c>
      <c r="S243" s="4">
        <f t="shared" si="12"/>
        <v>63</v>
      </c>
      <c r="T243" s="4" t="s">
        <v>298</v>
      </c>
      <c r="U243" s="4" t="s">
        <v>659</v>
      </c>
      <c r="V243" s="4" t="s">
        <v>601</v>
      </c>
      <c r="W243" s="3" t="s">
        <v>849</v>
      </c>
      <c r="X243" s="3"/>
      <c r="Y243" s="3"/>
    </row>
    <row r="244" spans="1:25">
      <c r="A244" s="3">
        <v>243</v>
      </c>
      <c r="B244" s="4" t="s">
        <v>641</v>
      </c>
      <c r="C244" s="4">
        <f>MATCH($E244,[1]Message!$C:$C,0)</f>
        <v>38</v>
      </c>
      <c r="D244" s="4" t="str">
        <f>VLOOKUP($E244,[1]Message!$C:$I,3,FALSE)</f>
        <v>0x081CEE41</v>
      </c>
      <c r="E244" s="4" t="str">
        <f>VLOOKUP($B244,[1]Message!$B:$C,2,FALSE)</f>
        <v>U2P_SUMDATA27</v>
      </c>
      <c r="F244" s="4">
        <f>VLOOKUP($E244,[1]Message!$C:$I,4,FALSE)</f>
        <v>8</v>
      </c>
      <c r="G244" s="4" t="str">
        <f>VLOOKUP($E244,[1]Message!$C:$I,5,FALSE)</f>
        <v>BMU</v>
      </c>
      <c r="H244" s="4" t="str">
        <f>VLOOKUP($E244,[1]Message!$C:$I,6,FALSE)</f>
        <v>Event</v>
      </c>
      <c r="I244" s="4">
        <f>VLOOKUP($E244,[1]Message!$C:$I,7,FALSE)</f>
        <v>0</v>
      </c>
      <c r="J244" s="4"/>
      <c r="K244" s="4" t="s">
        <v>660</v>
      </c>
      <c r="L244" s="4">
        <v>54</v>
      </c>
      <c r="M244" s="4">
        <v>6</v>
      </c>
      <c r="N244" s="4">
        <v>1</v>
      </c>
      <c r="O244" s="4">
        <v>0</v>
      </c>
      <c r="P244" s="4">
        <v>0</v>
      </c>
      <c r="Q244" s="4"/>
      <c r="R244" s="4">
        <f t="shared" si="13"/>
        <v>0</v>
      </c>
      <c r="S244" s="4">
        <f t="shared" si="12"/>
        <v>63</v>
      </c>
      <c r="T244" s="4" t="s">
        <v>298</v>
      </c>
      <c r="U244" s="4" t="s">
        <v>661</v>
      </c>
      <c r="V244" s="4" t="s">
        <v>601</v>
      </c>
      <c r="W244" s="3" t="s">
        <v>849</v>
      </c>
      <c r="X244" s="3"/>
      <c r="Y244" s="3"/>
    </row>
    <row r="245" spans="1:25">
      <c r="A245" s="3">
        <v>244</v>
      </c>
      <c r="B245" s="4" t="s">
        <v>641</v>
      </c>
      <c r="C245" s="4">
        <f>MATCH($E245,[1]Message!$C:$C,0)</f>
        <v>38</v>
      </c>
      <c r="D245" s="4" t="str">
        <f>VLOOKUP($E245,[1]Message!$C:$I,3,FALSE)</f>
        <v>0x081CEE41</v>
      </c>
      <c r="E245" s="4" t="str">
        <f>VLOOKUP($B245,[1]Message!$B:$C,2,FALSE)</f>
        <v>U2P_SUMDATA27</v>
      </c>
      <c r="F245" s="4">
        <f>VLOOKUP($E245,[1]Message!$C:$I,4,FALSE)</f>
        <v>8</v>
      </c>
      <c r="G245" s="4" t="str">
        <f>VLOOKUP($E245,[1]Message!$C:$I,5,FALSE)</f>
        <v>BMU</v>
      </c>
      <c r="H245" s="4" t="str">
        <f>VLOOKUP($E245,[1]Message!$C:$I,6,FALSE)</f>
        <v>Event</v>
      </c>
      <c r="I245" s="4">
        <f>VLOOKUP($E245,[1]Message!$C:$I,7,FALSE)</f>
        <v>0</v>
      </c>
      <c r="J245" s="4"/>
      <c r="K245" s="4" t="s">
        <v>504</v>
      </c>
      <c r="L245" s="4">
        <v>60</v>
      </c>
      <c r="M245" s="4">
        <v>4</v>
      </c>
      <c r="N245" s="4">
        <v>1</v>
      </c>
      <c r="O245" s="4">
        <v>0</v>
      </c>
      <c r="P245" s="4">
        <v>0</v>
      </c>
      <c r="Q245" s="4"/>
      <c r="R245" s="4">
        <f t="shared" si="13"/>
        <v>0</v>
      </c>
      <c r="S245" s="4">
        <f t="shared" si="12"/>
        <v>15</v>
      </c>
      <c r="T245" s="4" t="s">
        <v>298</v>
      </c>
      <c r="U245" s="4" t="s">
        <v>361</v>
      </c>
      <c r="V245" s="4"/>
      <c r="W245" s="3" t="s">
        <v>849</v>
      </c>
      <c r="X245" s="3"/>
      <c r="Y245" s="3"/>
    </row>
    <row r="246" spans="1:25">
      <c r="A246" s="3">
        <v>245</v>
      </c>
      <c r="B246" s="4" t="s">
        <v>662</v>
      </c>
      <c r="C246" s="4">
        <f>MATCH($E246,[1]Message!$C:$C,0)</f>
        <v>39</v>
      </c>
      <c r="D246" s="4" t="str">
        <f>VLOOKUP($E246,[1]Message!$C:$I,3,FALSE)</f>
        <v>0x081DEE41</v>
      </c>
      <c r="E246" s="4" t="str">
        <f>VLOOKUP($B246,[1]Message!$B:$C,2,FALSE)</f>
        <v>U2P_SUMDATA28</v>
      </c>
      <c r="F246" s="4">
        <f>VLOOKUP($E246,[1]Message!$C:$I,4,FALSE)</f>
        <v>8</v>
      </c>
      <c r="G246" s="4" t="str">
        <f>VLOOKUP($E246,[1]Message!$C:$I,5,FALSE)</f>
        <v>BMU</v>
      </c>
      <c r="H246" s="4" t="str">
        <f>VLOOKUP($E246,[1]Message!$C:$I,6,FALSE)</f>
        <v>Event</v>
      </c>
      <c r="I246" s="4">
        <f>VLOOKUP($E246,[1]Message!$C:$I,7,FALSE)</f>
        <v>0</v>
      </c>
      <c r="J246" s="4"/>
      <c r="K246" s="4" t="s">
        <v>663</v>
      </c>
      <c r="L246" s="4">
        <v>0</v>
      </c>
      <c r="M246" s="4">
        <v>6</v>
      </c>
      <c r="N246" s="4">
        <v>1</v>
      </c>
      <c r="O246" s="4">
        <v>0</v>
      </c>
      <c r="P246" s="4">
        <v>0</v>
      </c>
      <c r="Q246" s="4"/>
      <c r="R246" s="4">
        <f t="shared" si="13"/>
        <v>0</v>
      </c>
      <c r="S246" s="4">
        <f t="shared" si="12"/>
        <v>63</v>
      </c>
      <c r="T246" s="4" t="s">
        <v>298</v>
      </c>
      <c r="U246" s="4" t="s">
        <v>664</v>
      </c>
      <c r="V246" s="4" t="s">
        <v>601</v>
      </c>
      <c r="W246" s="3" t="s">
        <v>849</v>
      </c>
      <c r="X246" s="3"/>
      <c r="Y246" s="3"/>
    </row>
    <row r="247" spans="1:25">
      <c r="A247" s="3">
        <v>246</v>
      </c>
      <c r="B247" s="4" t="s">
        <v>662</v>
      </c>
      <c r="C247" s="4">
        <f>MATCH($E247,[1]Message!$C:$C,0)</f>
        <v>39</v>
      </c>
      <c r="D247" s="4" t="str">
        <f>VLOOKUP($E247,[1]Message!$C:$I,3,FALSE)</f>
        <v>0x081DEE41</v>
      </c>
      <c r="E247" s="4" t="str">
        <f>VLOOKUP($B247,[1]Message!$B:$C,2,FALSE)</f>
        <v>U2P_SUMDATA28</v>
      </c>
      <c r="F247" s="4">
        <f>VLOOKUP($E247,[1]Message!$C:$I,4,FALSE)</f>
        <v>8</v>
      </c>
      <c r="G247" s="4" t="str">
        <f>VLOOKUP($E247,[1]Message!$C:$I,5,FALSE)</f>
        <v>BMU</v>
      </c>
      <c r="H247" s="4" t="str">
        <f>VLOOKUP($E247,[1]Message!$C:$I,6,FALSE)</f>
        <v>Event</v>
      </c>
      <c r="I247" s="4">
        <f>VLOOKUP($E247,[1]Message!$C:$I,7,FALSE)</f>
        <v>0</v>
      </c>
      <c r="J247" s="4"/>
      <c r="K247" s="4" t="s">
        <v>665</v>
      </c>
      <c r="L247" s="4">
        <v>6</v>
      </c>
      <c r="M247" s="4">
        <v>6</v>
      </c>
      <c r="N247" s="4">
        <v>1</v>
      </c>
      <c r="O247" s="4">
        <v>0</v>
      </c>
      <c r="P247" s="4">
        <v>0</v>
      </c>
      <c r="Q247" s="4"/>
      <c r="R247" s="4">
        <f t="shared" si="13"/>
        <v>0</v>
      </c>
      <c r="S247" s="4">
        <f t="shared" si="12"/>
        <v>63</v>
      </c>
      <c r="T247" s="4" t="s">
        <v>298</v>
      </c>
      <c r="U247" s="4" t="s">
        <v>666</v>
      </c>
      <c r="V247" s="4" t="s">
        <v>601</v>
      </c>
      <c r="W247" s="3" t="s">
        <v>849</v>
      </c>
      <c r="X247" s="3"/>
      <c r="Y247" s="3"/>
    </row>
    <row r="248" spans="1:25">
      <c r="A248" s="3">
        <v>247</v>
      </c>
      <c r="B248" s="4" t="s">
        <v>662</v>
      </c>
      <c r="C248" s="4">
        <f>MATCH($E248,[1]Message!$C:$C,0)</f>
        <v>39</v>
      </c>
      <c r="D248" s="4" t="str">
        <f>VLOOKUP($E248,[1]Message!$C:$I,3,FALSE)</f>
        <v>0x081DEE41</v>
      </c>
      <c r="E248" s="4" t="str">
        <f>VLOOKUP($B248,[1]Message!$B:$C,2,FALSE)</f>
        <v>U2P_SUMDATA28</v>
      </c>
      <c r="F248" s="4">
        <f>VLOOKUP($E248,[1]Message!$C:$I,4,FALSE)</f>
        <v>8</v>
      </c>
      <c r="G248" s="4" t="str">
        <f>VLOOKUP($E248,[1]Message!$C:$I,5,FALSE)</f>
        <v>BMU</v>
      </c>
      <c r="H248" s="4" t="str">
        <f>VLOOKUP($E248,[1]Message!$C:$I,6,FALSE)</f>
        <v>Event</v>
      </c>
      <c r="I248" s="4">
        <f>VLOOKUP($E248,[1]Message!$C:$I,7,FALSE)</f>
        <v>0</v>
      </c>
      <c r="J248" s="4"/>
      <c r="K248" s="4" t="s">
        <v>667</v>
      </c>
      <c r="L248" s="4">
        <v>12</v>
      </c>
      <c r="M248" s="4">
        <v>6</v>
      </c>
      <c r="N248" s="4">
        <v>1</v>
      </c>
      <c r="O248" s="4">
        <v>0</v>
      </c>
      <c r="P248" s="4">
        <v>0</v>
      </c>
      <c r="Q248" s="4"/>
      <c r="R248" s="4">
        <f t="shared" si="13"/>
        <v>0</v>
      </c>
      <c r="S248" s="4">
        <f t="shared" si="12"/>
        <v>63</v>
      </c>
      <c r="T248" s="4" t="s">
        <v>298</v>
      </c>
      <c r="U248" s="4" t="s">
        <v>668</v>
      </c>
      <c r="V248" s="4" t="s">
        <v>601</v>
      </c>
      <c r="W248" s="3" t="s">
        <v>849</v>
      </c>
      <c r="X248" s="3"/>
      <c r="Y248" s="3"/>
    </row>
    <row r="249" spans="1:25">
      <c r="A249" s="3">
        <v>248</v>
      </c>
      <c r="B249" s="4" t="s">
        <v>662</v>
      </c>
      <c r="C249" s="4">
        <f>MATCH($E249,[1]Message!$C:$C,0)</f>
        <v>39</v>
      </c>
      <c r="D249" s="4" t="str">
        <f>VLOOKUP($E249,[1]Message!$C:$I,3,FALSE)</f>
        <v>0x081DEE41</v>
      </c>
      <c r="E249" s="4" t="str">
        <f>VLOOKUP($B249,[1]Message!$B:$C,2,FALSE)</f>
        <v>U2P_SUMDATA28</v>
      </c>
      <c r="F249" s="4">
        <f>VLOOKUP($E249,[1]Message!$C:$I,4,FALSE)</f>
        <v>8</v>
      </c>
      <c r="G249" s="4" t="str">
        <f>VLOOKUP($E249,[1]Message!$C:$I,5,FALSE)</f>
        <v>BMU</v>
      </c>
      <c r="H249" s="4" t="str">
        <f>VLOOKUP($E249,[1]Message!$C:$I,6,FALSE)</f>
        <v>Event</v>
      </c>
      <c r="I249" s="4">
        <f>VLOOKUP($E249,[1]Message!$C:$I,7,FALSE)</f>
        <v>0</v>
      </c>
      <c r="J249" s="4"/>
      <c r="K249" s="4" t="s">
        <v>669</v>
      </c>
      <c r="L249" s="4">
        <v>18</v>
      </c>
      <c r="M249" s="4">
        <v>6</v>
      </c>
      <c r="N249" s="4">
        <v>1</v>
      </c>
      <c r="O249" s="4">
        <v>0</v>
      </c>
      <c r="P249" s="4">
        <v>0</v>
      </c>
      <c r="Q249" s="4"/>
      <c r="R249" s="4">
        <f t="shared" si="13"/>
        <v>0</v>
      </c>
      <c r="S249" s="4">
        <f t="shared" si="12"/>
        <v>63</v>
      </c>
      <c r="T249" s="4" t="s">
        <v>298</v>
      </c>
      <c r="U249" s="4" t="s">
        <v>670</v>
      </c>
      <c r="V249" s="4" t="s">
        <v>601</v>
      </c>
      <c r="W249" s="3" t="s">
        <v>849</v>
      </c>
      <c r="X249" s="3"/>
      <c r="Y249" s="3"/>
    </row>
    <row r="250" spans="1:25">
      <c r="A250" s="3">
        <v>249</v>
      </c>
      <c r="B250" s="4" t="s">
        <v>662</v>
      </c>
      <c r="C250" s="4">
        <f>MATCH($E250,[1]Message!$C:$C,0)</f>
        <v>39</v>
      </c>
      <c r="D250" s="4" t="str">
        <f>VLOOKUP($E250,[1]Message!$C:$I,3,FALSE)</f>
        <v>0x081DEE41</v>
      </c>
      <c r="E250" s="4" t="str">
        <f>VLOOKUP($B250,[1]Message!$B:$C,2,FALSE)</f>
        <v>U2P_SUMDATA28</v>
      </c>
      <c r="F250" s="4">
        <f>VLOOKUP($E250,[1]Message!$C:$I,4,FALSE)</f>
        <v>8</v>
      </c>
      <c r="G250" s="4" t="str">
        <f>VLOOKUP($E250,[1]Message!$C:$I,5,FALSE)</f>
        <v>BMU</v>
      </c>
      <c r="H250" s="4" t="str">
        <f>VLOOKUP($E250,[1]Message!$C:$I,6,FALSE)</f>
        <v>Event</v>
      </c>
      <c r="I250" s="4">
        <f>VLOOKUP($E250,[1]Message!$C:$I,7,FALSE)</f>
        <v>0</v>
      </c>
      <c r="J250" s="4"/>
      <c r="K250" s="4" t="s">
        <v>671</v>
      </c>
      <c r="L250" s="4">
        <v>24</v>
      </c>
      <c r="M250" s="4">
        <v>6</v>
      </c>
      <c r="N250" s="4">
        <v>1</v>
      </c>
      <c r="O250" s="4">
        <v>0</v>
      </c>
      <c r="P250" s="4">
        <v>0</v>
      </c>
      <c r="Q250" s="4"/>
      <c r="R250" s="4">
        <f t="shared" si="13"/>
        <v>0</v>
      </c>
      <c r="S250" s="4">
        <f t="shared" si="12"/>
        <v>63</v>
      </c>
      <c r="T250" s="4" t="s">
        <v>298</v>
      </c>
      <c r="U250" s="4" t="s">
        <v>672</v>
      </c>
      <c r="V250" s="4" t="s">
        <v>601</v>
      </c>
      <c r="W250" s="3" t="s">
        <v>849</v>
      </c>
      <c r="X250" s="3"/>
      <c r="Y250" s="3"/>
    </row>
    <row r="251" spans="1:25">
      <c r="A251" s="3">
        <v>250</v>
      </c>
      <c r="B251" s="4" t="s">
        <v>662</v>
      </c>
      <c r="C251" s="4">
        <f>MATCH($E251,[1]Message!$C:$C,0)</f>
        <v>39</v>
      </c>
      <c r="D251" s="4" t="str">
        <f>VLOOKUP($E251,[1]Message!$C:$I,3,FALSE)</f>
        <v>0x081DEE41</v>
      </c>
      <c r="E251" s="4" t="str">
        <f>VLOOKUP($B251,[1]Message!$B:$C,2,FALSE)</f>
        <v>U2P_SUMDATA28</v>
      </c>
      <c r="F251" s="4">
        <f>VLOOKUP($E251,[1]Message!$C:$I,4,FALSE)</f>
        <v>8</v>
      </c>
      <c r="G251" s="4" t="str">
        <f>VLOOKUP($E251,[1]Message!$C:$I,5,FALSE)</f>
        <v>BMU</v>
      </c>
      <c r="H251" s="4" t="str">
        <f>VLOOKUP($E251,[1]Message!$C:$I,6,FALSE)</f>
        <v>Event</v>
      </c>
      <c r="I251" s="4">
        <f>VLOOKUP($E251,[1]Message!$C:$I,7,FALSE)</f>
        <v>0</v>
      </c>
      <c r="J251" s="4"/>
      <c r="K251" s="4" t="s">
        <v>673</v>
      </c>
      <c r="L251" s="4">
        <v>30</v>
      </c>
      <c r="M251" s="4">
        <v>6</v>
      </c>
      <c r="N251" s="4">
        <v>1</v>
      </c>
      <c r="O251" s="4">
        <v>0</v>
      </c>
      <c r="P251" s="4">
        <v>0</v>
      </c>
      <c r="Q251" s="4"/>
      <c r="R251" s="4">
        <f t="shared" si="13"/>
        <v>0</v>
      </c>
      <c r="S251" s="4">
        <f t="shared" si="12"/>
        <v>63</v>
      </c>
      <c r="T251" s="4" t="s">
        <v>298</v>
      </c>
      <c r="U251" s="4" t="s">
        <v>674</v>
      </c>
      <c r="V251" s="4" t="s">
        <v>601</v>
      </c>
      <c r="W251" s="3" t="s">
        <v>849</v>
      </c>
      <c r="X251" s="3"/>
      <c r="Y251" s="3"/>
    </row>
    <row r="252" spans="1:25">
      <c r="A252" s="3">
        <v>251</v>
      </c>
      <c r="B252" s="4" t="s">
        <v>662</v>
      </c>
      <c r="C252" s="4">
        <f>MATCH($E252,[1]Message!$C:$C,0)</f>
        <v>39</v>
      </c>
      <c r="D252" s="4" t="str">
        <f>VLOOKUP($E252,[1]Message!$C:$I,3,FALSE)</f>
        <v>0x081DEE41</v>
      </c>
      <c r="E252" s="4" t="str">
        <f>VLOOKUP($B252,[1]Message!$B:$C,2,FALSE)</f>
        <v>U2P_SUMDATA28</v>
      </c>
      <c r="F252" s="4">
        <f>VLOOKUP($E252,[1]Message!$C:$I,4,FALSE)</f>
        <v>8</v>
      </c>
      <c r="G252" s="4" t="str">
        <f>VLOOKUP($E252,[1]Message!$C:$I,5,FALSE)</f>
        <v>BMU</v>
      </c>
      <c r="H252" s="4" t="str">
        <f>VLOOKUP($E252,[1]Message!$C:$I,6,FALSE)</f>
        <v>Event</v>
      </c>
      <c r="I252" s="4">
        <f>VLOOKUP($E252,[1]Message!$C:$I,7,FALSE)</f>
        <v>0</v>
      </c>
      <c r="J252" s="4"/>
      <c r="K252" s="4" t="s">
        <v>675</v>
      </c>
      <c r="L252" s="4">
        <v>36</v>
      </c>
      <c r="M252" s="4">
        <v>6</v>
      </c>
      <c r="N252" s="4">
        <v>1</v>
      </c>
      <c r="O252" s="4">
        <v>0</v>
      </c>
      <c r="P252" s="4">
        <v>0</v>
      </c>
      <c r="Q252" s="4"/>
      <c r="R252" s="4">
        <f t="shared" si="13"/>
        <v>0</v>
      </c>
      <c r="S252" s="4">
        <f t="shared" si="12"/>
        <v>63</v>
      </c>
      <c r="T252" s="4" t="s">
        <v>298</v>
      </c>
      <c r="U252" s="4" t="s">
        <v>676</v>
      </c>
      <c r="V252" s="4" t="s">
        <v>601</v>
      </c>
      <c r="W252" s="3" t="s">
        <v>849</v>
      </c>
      <c r="X252" s="3"/>
      <c r="Y252" s="3"/>
    </row>
    <row r="253" spans="1:25">
      <c r="A253" s="3">
        <v>252</v>
      </c>
      <c r="B253" s="4" t="s">
        <v>662</v>
      </c>
      <c r="C253" s="4">
        <f>MATCH($E253,[1]Message!$C:$C,0)</f>
        <v>39</v>
      </c>
      <c r="D253" s="4" t="str">
        <f>VLOOKUP($E253,[1]Message!$C:$I,3,FALSE)</f>
        <v>0x081DEE41</v>
      </c>
      <c r="E253" s="4" t="str">
        <f>VLOOKUP($B253,[1]Message!$B:$C,2,FALSE)</f>
        <v>U2P_SUMDATA28</v>
      </c>
      <c r="F253" s="4">
        <f>VLOOKUP($E253,[1]Message!$C:$I,4,FALSE)</f>
        <v>8</v>
      </c>
      <c r="G253" s="4" t="str">
        <f>VLOOKUP($E253,[1]Message!$C:$I,5,FALSE)</f>
        <v>BMU</v>
      </c>
      <c r="H253" s="4" t="str">
        <f>VLOOKUP($E253,[1]Message!$C:$I,6,FALSE)</f>
        <v>Event</v>
      </c>
      <c r="I253" s="4">
        <f>VLOOKUP($E253,[1]Message!$C:$I,7,FALSE)</f>
        <v>0</v>
      </c>
      <c r="J253" s="4"/>
      <c r="K253" s="4" t="s">
        <v>677</v>
      </c>
      <c r="L253" s="4">
        <v>42</v>
      </c>
      <c r="M253" s="4">
        <v>6</v>
      </c>
      <c r="N253" s="4">
        <v>1</v>
      </c>
      <c r="O253" s="4">
        <v>0</v>
      </c>
      <c r="P253" s="4">
        <v>0</v>
      </c>
      <c r="Q253" s="4"/>
      <c r="R253" s="4">
        <f t="shared" si="13"/>
        <v>0</v>
      </c>
      <c r="S253" s="4">
        <f t="shared" si="12"/>
        <v>63</v>
      </c>
      <c r="T253" s="4" t="s">
        <v>298</v>
      </c>
      <c r="U253" s="4" t="s">
        <v>678</v>
      </c>
      <c r="V253" s="4" t="s">
        <v>601</v>
      </c>
      <c r="W253" s="3" t="s">
        <v>849</v>
      </c>
      <c r="X253" s="3"/>
      <c r="Y253" s="3"/>
    </row>
    <row r="254" spans="1:25">
      <c r="A254" s="3">
        <v>253</v>
      </c>
      <c r="B254" s="4" t="s">
        <v>662</v>
      </c>
      <c r="C254" s="4">
        <f>MATCH($E254,[1]Message!$C:$C,0)</f>
        <v>39</v>
      </c>
      <c r="D254" s="4" t="str">
        <f>VLOOKUP($E254,[1]Message!$C:$I,3,FALSE)</f>
        <v>0x081DEE41</v>
      </c>
      <c r="E254" s="4" t="str">
        <f>VLOOKUP($B254,[1]Message!$B:$C,2,FALSE)</f>
        <v>U2P_SUMDATA28</v>
      </c>
      <c r="F254" s="4">
        <f>VLOOKUP($E254,[1]Message!$C:$I,4,FALSE)</f>
        <v>8</v>
      </c>
      <c r="G254" s="4" t="str">
        <f>VLOOKUP($E254,[1]Message!$C:$I,5,FALSE)</f>
        <v>BMU</v>
      </c>
      <c r="H254" s="4" t="str">
        <f>VLOOKUP($E254,[1]Message!$C:$I,6,FALSE)</f>
        <v>Event</v>
      </c>
      <c r="I254" s="4">
        <f>VLOOKUP($E254,[1]Message!$C:$I,7,FALSE)</f>
        <v>0</v>
      </c>
      <c r="J254" s="4"/>
      <c r="K254" s="4" t="s">
        <v>679</v>
      </c>
      <c r="L254" s="4">
        <v>48</v>
      </c>
      <c r="M254" s="4">
        <v>6</v>
      </c>
      <c r="N254" s="4">
        <v>1</v>
      </c>
      <c r="O254" s="4">
        <v>0</v>
      </c>
      <c r="P254" s="4">
        <v>0</v>
      </c>
      <c r="Q254" s="4"/>
      <c r="R254" s="4">
        <f t="shared" si="13"/>
        <v>0</v>
      </c>
      <c r="S254" s="4">
        <f t="shared" si="12"/>
        <v>63</v>
      </c>
      <c r="T254" s="4" t="s">
        <v>298</v>
      </c>
      <c r="U254" s="4" t="s">
        <v>680</v>
      </c>
      <c r="V254" s="4" t="s">
        <v>601</v>
      </c>
      <c r="W254" s="3" t="s">
        <v>849</v>
      </c>
      <c r="X254" s="3"/>
      <c r="Y254" s="3"/>
    </row>
    <row r="255" spans="1:25">
      <c r="A255" s="3">
        <v>254</v>
      </c>
      <c r="B255" s="4" t="s">
        <v>662</v>
      </c>
      <c r="C255" s="4">
        <f>MATCH($E255,[1]Message!$C:$C,0)</f>
        <v>39</v>
      </c>
      <c r="D255" s="4" t="str">
        <f>VLOOKUP($E255,[1]Message!$C:$I,3,FALSE)</f>
        <v>0x081DEE41</v>
      </c>
      <c r="E255" s="4" t="str">
        <f>VLOOKUP($B255,[1]Message!$B:$C,2,FALSE)</f>
        <v>U2P_SUMDATA28</v>
      </c>
      <c r="F255" s="4">
        <f>VLOOKUP($E255,[1]Message!$C:$I,4,FALSE)</f>
        <v>8</v>
      </c>
      <c r="G255" s="4" t="str">
        <f>VLOOKUP($E255,[1]Message!$C:$I,5,FALSE)</f>
        <v>BMU</v>
      </c>
      <c r="H255" s="4" t="str">
        <f>VLOOKUP($E255,[1]Message!$C:$I,6,FALSE)</f>
        <v>Event</v>
      </c>
      <c r="I255" s="4">
        <f>VLOOKUP($E255,[1]Message!$C:$I,7,FALSE)</f>
        <v>0</v>
      </c>
      <c r="J255" s="4"/>
      <c r="K255" s="4" t="s">
        <v>681</v>
      </c>
      <c r="L255" s="4">
        <v>54</v>
      </c>
      <c r="M255" s="4">
        <v>6</v>
      </c>
      <c r="N255" s="4">
        <v>1</v>
      </c>
      <c r="O255" s="4">
        <v>0</v>
      </c>
      <c r="P255" s="4">
        <v>0</v>
      </c>
      <c r="Q255" s="4"/>
      <c r="R255" s="4">
        <f t="shared" si="13"/>
        <v>0</v>
      </c>
      <c r="S255" s="4">
        <f t="shared" si="12"/>
        <v>63</v>
      </c>
      <c r="T255" s="4" t="s">
        <v>298</v>
      </c>
      <c r="U255" s="4" t="s">
        <v>682</v>
      </c>
      <c r="V255" s="4" t="s">
        <v>601</v>
      </c>
      <c r="W255" s="3" t="s">
        <v>849</v>
      </c>
      <c r="X255" s="3"/>
      <c r="Y255" s="3"/>
    </row>
    <row r="256" spans="1:25">
      <c r="A256" s="3">
        <v>255</v>
      </c>
      <c r="B256" s="4" t="s">
        <v>662</v>
      </c>
      <c r="C256" s="4">
        <f>MATCH($E256,[1]Message!$C:$C,0)</f>
        <v>39</v>
      </c>
      <c r="D256" s="4" t="str">
        <f>VLOOKUP($E256,[1]Message!$C:$I,3,FALSE)</f>
        <v>0x081DEE41</v>
      </c>
      <c r="E256" s="4" t="str">
        <f>VLOOKUP($B256,[1]Message!$B:$C,2,FALSE)</f>
        <v>U2P_SUMDATA28</v>
      </c>
      <c r="F256" s="4">
        <f>VLOOKUP($E256,[1]Message!$C:$I,4,FALSE)</f>
        <v>8</v>
      </c>
      <c r="G256" s="4" t="str">
        <f>VLOOKUP($E256,[1]Message!$C:$I,5,FALSE)</f>
        <v>BMU</v>
      </c>
      <c r="H256" s="4" t="str">
        <f>VLOOKUP($E256,[1]Message!$C:$I,6,FALSE)</f>
        <v>Event</v>
      </c>
      <c r="I256" s="4">
        <f>VLOOKUP($E256,[1]Message!$C:$I,7,FALSE)</f>
        <v>0</v>
      </c>
      <c r="J256" s="4"/>
      <c r="K256" s="4" t="s">
        <v>683</v>
      </c>
      <c r="L256" s="4">
        <v>60</v>
      </c>
      <c r="M256" s="4">
        <v>4</v>
      </c>
      <c r="N256" s="4">
        <v>1</v>
      </c>
      <c r="O256" s="4">
        <v>0</v>
      </c>
      <c r="P256" s="4">
        <v>0</v>
      </c>
      <c r="Q256" s="4"/>
      <c r="R256" s="4">
        <f t="shared" si="13"/>
        <v>0</v>
      </c>
      <c r="S256" s="4">
        <f t="shared" si="12"/>
        <v>15</v>
      </c>
      <c r="T256" s="4" t="s">
        <v>563</v>
      </c>
      <c r="U256" s="4" t="s">
        <v>684</v>
      </c>
      <c r="V256" s="4"/>
      <c r="W256" s="3" t="s">
        <v>849</v>
      </c>
      <c r="X256" s="3"/>
      <c r="Y256" s="3"/>
    </row>
    <row r="257" spans="1:25">
      <c r="A257" s="3">
        <v>256</v>
      </c>
      <c r="B257" s="4" t="s">
        <v>685</v>
      </c>
      <c r="C257" s="4">
        <f>MATCH($E257,[1]Message!$C:$C,0)</f>
        <v>40</v>
      </c>
      <c r="D257" s="4" t="str">
        <f>VLOOKUP($E257,[1]Message!$C:$I,3,FALSE)</f>
        <v>0x081EEE41</v>
      </c>
      <c r="E257" s="4" t="str">
        <f>VLOOKUP($B257,[1]Message!$B:$C,2,FALSE)</f>
        <v>U2P_SUMDATA29</v>
      </c>
      <c r="F257" s="4">
        <f>VLOOKUP($E257,[1]Message!$C:$I,4,FALSE)</f>
        <v>8</v>
      </c>
      <c r="G257" s="4" t="str">
        <f>VLOOKUP($E257,[1]Message!$C:$I,5,FALSE)</f>
        <v>BMU</v>
      </c>
      <c r="H257" s="4" t="str">
        <f>VLOOKUP($E257,[1]Message!$C:$I,6,FALSE)</f>
        <v>Event</v>
      </c>
      <c r="I257" s="4">
        <f>VLOOKUP($E257,[1]Message!$C:$I,7,FALSE)</f>
        <v>0</v>
      </c>
      <c r="J257" s="4"/>
      <c r="K257" s="4" t="s">
        <v>686</v>
      </c>
      <c r="L257" s="4">
        <v>0</v>
      </c>
      <c r="M257" s="4">
        <v>8</v>
      </c>
      <c r="N257" s="4">
        <v>1</v>
      </c>
      <c r="O257" s="4">
        <v>0</v>
      </c>
      <c r="P257" s="4">
        <v>0</v>
      </c>
      <c r="Q257" s="4"/>
      <c r="R257" s="4">
        <f t="shared" si="13"/>
        <v>0</v>
      </c>
      <c r="S257" s="4">
        <f t="shared" si="12"/>
        <v>255</v>
      </c>
      <c r="T257" s="4" t="s">
        <v>563</v>
      </c>
      <c r="U257" s="4" t="s">
        <v>687</v>
      </c>
      <c r="V257" s="4" t="s">
        <v>688</v>
      </c>
      <c r="W257" s="3" t="s">
        <v>849</v>
      </c>
      <c r="X257" s="3"/>
      <c r="Y257" s="3"/>
    </row>
    <row r="258" spans="1:25" s="32" customFormat="1">
      <c r="A258" s="3">
        <v>257</v>
      </c>
      <c r="B258" s="4" t="s">
        <v>685</v>
      </c>
      <c r="C258" s="4">
        <f>MATCH($E258,[1]Message!$C:$C,0)</f>
        <v>40</v>
      </c>
      <c r="D258" s="4" t="str">
        <f>VLOOKUP($E258,[1]Message!$C:$I,3,FALSE)</f>
        <v>0x081EEE41</v>
      </c>
      <c r="E258" s="4" t="str">
        <f>VLOOKUP($B258,[1]Message!$B:$C,2,FALSE)</f>
        <v>U2P_SUMDATA29</v>
      </c>
      <c r="F258" s="4">
        <f>VLOOKUP($E258,[1]Message!$C:$I,4,FALSE)</f>
        <v>8</v>
      </c>
      <c r="G258" s="4" t="str">
        <f>VLOOKUP($E258,[1]Message!$C:$I,5,FALSE)</f>
        <v>BMU</v>
      </c>
      <c r="H258" s="4" t="str">
        <f>VLOOKUP($E258,[1]Message!$C:$I,6,FALSE)</f>
        <v>Event</v>
      </c>
      <c r="I258" s="4">
        <f>VLOOKUP($E258,[1]Message!$C:$I,7,FALSE)</f>
        <v>0</v>
      </c>
      <c r="J258" s="4"/>
      <c r="K258" s="4" t="s">
        <v>689</v>
      </c>
      <c r="L258" s="4">
        <v>8</v>
      </c>
      <c r="M258" s="4">
        <v>8</v>
      </c>
      <c r="N258" s="4">
        <v>1</v>
      </c>
      <c r="O258" s="4">
        <v>0</v>
      </c>
      <c r="P258" s="4">
        <v>0</v>
      </c>
      <c r="Q258" s="4"/>
      <c r="R258" s="4">
        <f t="shared" si="13"/>
        <v>0</v>
      </c>
      <c r="S258" s="4">
        <f t="shared" si="12"/>
        <v>255</v>
      </c>
      <c r="T258" s="4" t="s">
        <v>563</v>
      </c>
      <c r="U258" s="4" t="s">
        <v>946</v>
      </c>
      <c r="V258" s="4" t="s">
        <v>690</v>
      </c>
      <c r="W258" s="3" t="s">
        <v>905</v>
      </c>
      <c r="X258" s="3"/>
      <c r="Y258" s="3"/>
    </row>
    <row r="259" spans="1:25" s="32" customFormat="1">
      <c r="A259" s="3">
        <v>258</v>
      </c>
      <c r="B259" s="4" t="s">
        <v>685</v>
      </c>
      <c r="C259" s="4">
        <f>MATCH($E259,[1]Message!$C:$C,0)</f>
        <v>40</v>
      </c>
      <c r="D259" s="4" t="str">
        <f>VLOOKUP($E259,[1]Message!$C:$I,3,FALSE)</f>
        <v>0x081EEE41</v>
      </c>
      <c r="E259" s="4" t="str">
        <f>VLOOKUP($B259,[1]Message!$B:$C,2,FALSE)</f>
        <v>U2P_SUMDATA29</v>
      </c>
      <c r="F259" s="4">
        <f>VLOOKUP($E259,[1]Message!$C:$I,4,FALSE)</f>
        <v>8</v>
      </c>
      <c r="G259" s="4" t="str">
        <f>VLOOKUP($E259,[1]Message!$C:$I,5,FALSE)</f>
        <v>BMU</v>
      </c>
      <c r="H259" s="4" t="str">
        <f>VLOOKUP($E259,[1]Message!$C:$I,6,FALSE)</f>
        <v>Event</v>
      </c>
      <c r="I259" s="4">
        <f>VLOOKUP($E259,[1]Message!$C:$I,7,FALSE)</f>
        <v>0</v>
      </c>
      <c r="J259" s="4"/>
      <c r="K259" s="4" t="s">
        <v>691</v>
      </c>
      <c r="L259" s="4">
        <v>16</v>
      </c>
      <c r="M259" s="4">
        <v>8</v>
      </c>
      <c r="N259" s="4">
        <v>1</v>
      </c>
      <c r="O259" s="4">
        <v>0</v>
      </c>
      <c r="P259" s="4">
        <v>0</v>
      </c>
      <c r="Q259" s="4"/>
      <c r="R259" s="4">
        <f t="shared" si="13"/>
        <v>0</v>
      </c>
      <c r="S259" s="4">
        <f t="shared" si="12"/>
        <v>255</v>
      </c>
      <c r="T259" s="4" t="s">
        <v>563</v>
      </c>
      <c r="U259" s="4" t="s">
        <v>947</v>
      </c>
      <c r="V259" s="4" t="s">
        <v>690</v>
      </c>
      <c r="W259" s="3" t="s">
        <v>905</v>
      </c>
      <c r="X259" s="3"/>
      <c r="Y259" s="3"/>
    </row>
    <row r="260" spans="1:25" s="32" customFormat="1">
      <c r="A260" s="3">
        <v>259</v>
      </c>
      <c r="B260" s="4" t="s">
        <v>685</v>
      </c>
      <c r="C260" s="4">
        <f>MATCH($E260,[1]Message!$C:$C,0)</f>
        <v>40</v>
      </c>
      <c r="D260" s="4" t="str">
        <f>VLOOKUP($E260,[1]Message!$C:$I,3,FALSE)</f>
        <v>0x081EEE41</v>
      </c>
      <c r="E260" s="4" t="str">
        <f>VLOOKUP($B260,[1]Message!$B:$C,2,FALSE)</f>
        <v>U2P_SUMDATA29</v>
      </c>
      <c r="F260" s="4">
        <f>VLOOKUP($E260,[1]Message!$C:$I,4,FALSE)</f>
        <v>8</v>
      </c>
      <c r="G260" s="4" t="str">
        <f>VLOOKUP($E260,[1]Message!$C:$I,5,FALSE)</f>
        <v>BMU</v>
      </c>
      <c r="H260" s="4" t="str">
        <f>VLOOKUP($E260,[1]Message!$C:$I,6,FALSE)</f>
        <v>Event</v>
      </c>
      <c r="I260" s="4">
        <f>VLOOKUP($E260,[1]Message!$C:$I,7,FALSE)</f>
        <v>0</v>
      </c>
      <c r="J260" s="4"/>
      <c r="K260" s="4" t="s">
        <v>692</v>
      </c>
      <c r="L260" s="4">
        <v>24</v>
      </c>
      <c r="M260" s="4">
        <v>8</v>
      </c>
      <c r="N260" s="4">
        <v>1</v>
      </c>
      <c r="O260" s="4">
        <v>0</v>
      </c>
      <c r="P260" s="4">
        <v>0</v>
      </c>
      <c r="Q260" s="4"/>
      <c r="R260" s="4">
        <f t="shared" si="13"/>
        <v>0</v>
      </c>
      <c r="S260" s="4">
        <f t="shared" si="12"/>
        <v>255</v>
      </c>
      <c r="T260" s="4" t="s">
        <v>563</v>
      </c>
      <c r="U260" s="4" t="s">
        <v>693</v>
      </c>
      <c r="V260" s="4" t="s">
        <v>690</v>
      </c>
      <c r="W260" s="3" t="s">
        <v>905</v>
      </c>
      <c r="X260" s="3"/>
      <c r="Y260" s="3"/>
    </row>
    <row r="261" spans="1:25" s="32" customFormat="1">
      <c r="A261" s="3">
        <v>260</v>
      </c>
      <c r="B261" s="4" t="s">
        <v>685</v>
      </c>
      <c r="C261" s="4">
        <f>MATCH($E261,[1]Message!$C:$C,0)</f>
        <v>40</v>
      </c>
      <c r="D261" s="4" t="str">
        <f>VLOOKUP($E261,[1]Message!$C:$I,3,FALSE)</f>
        <v>0x081EEE41</v>
      </c>
      <c r="E261" s="4" t="str">
        <f>VLOOKUP($B261,[1]Message!$B:$C,2,FALSE)</f>
        <v>U2P_SUMDATA29</v>
      </c>
      <c r="F261" s="4">
        <f>VLOOKUP($E261,[1]Message!$C:$I,4,FALSE)</f>
        <v>8</v>
      </c>
      <c r="G261" s="4" t="str">
        <f>VLOOKUP($E261,[1]Message!$C:$I,5,FALSE)</f>
        <v>BMU</v>
      </c>
      <c r="H261" s="4" t="str">
        <f>VLOOKUP($E261,[1]Message!$C:$I,6,FALSE)</f>
        <v>Event</v>
      </c>
      <c r="I261" s="4">
        <f>VLOOKUP($E261,[1]Message!$C:$I,7,FALSE)</f>
        <v>0</v>
      </c>
      <c r="J261" s="4"/>
      <c r="K261" s="4" t="s">
        <v>694</v>
      </c>
      <c r="L261" s="4">
        <v>32</v>
      </c>
      <c r="M261" s="4">
        <v>8</v>
      </c>
      <c r="N261" s="4">
        <v>1</v>
      </c>
      <c r="O261" s="4">
        <v>0</v>
      </c>
      <c r="P261" s="4">
        <v>0</v>
      </c>
      <c r="Q261" s="4"/>
      <c r="R261" s="4">
        <f t="shared" si="13"/>
        <v>0</v>
      </c>
      <c r="S261" s="4">
        <f t="shared" si="12"/>
        <v>255</v>
      </c>
      <c r="T261" s="4" t="s">
        <v>563</v>
      </c>
      <c r="U261" s="4" t="s">
        <v>695</v>
      </c>
      <c r="V261" s="4" t="s">
        <v>690</v>
      </c>
      <c r="W261" s="3" t="s">
        <v>905</v>
      </c>
      <c r="X261" s="3"/>
      <c r="Y261" s="3"/>
    </row>
    <row r="262" spans="1:25" s="32" customFormat="1">
      <c r="A262" s="3">
        <v>261</v>
      </c>
      <c r="B262" s="4" t="s">
        <v>685</v>
      </c>
      <c r="C262" s="4">
        <f>MATCH($E262,[1]Message!$C:$C,0)</f>
        <v>40</v>
      </c>
      <c r="D262" s="4" t="str">
        <f>VLOOKUP($E262,[1]Message!$C:$I,3,FALSE)</f>
        <v>0x081EEE41</v>
      </c>
      <c r="E262" s="4" t="str">
        <f>VLOOKUP($B262,[1]Message!$B:$C,2,FALSE)</f>
        <v>U2P_SUMDATA29</v>
      </c>
      <c r="F262" s="4">
        <f>VLOOKUP($E262,[1]Message!$C:$I,4,FALSE)</f>
        <v>8</v>
      </c>
      <c r="G262" s="4" t="str">
        <f>VLOOKUP($E262,[1]Message!$C:$I,5,FALSE)</f>
        <v>BMU</v>
      </c>
      <c r="H262" s="4" t="str">
        <f>VLOOKUP($E262,[1]Message!$C:$I,6,FALSE)</f>
        <v>Event</v>
      </c>
      <c r="I262" s="4">
        <f>VLOOKUP($E262,[1]Message!$C:$I,7,FALSE)</f>
        <v>0</v>
      </c>
      <c r="J262" s="4"/>
      <c r="K262" s="4" t="s">
        <v>696</v>
      </c>
      <c r="L262" s="4">
        <v>40</v>
      </c>
      <c r="M262" s="4">
        <v>8</v>
      </c>
      <c r="N262" s="4">
        <v>1</v>
      </c>
      <c r="O262" s="4">
        <v>0</v>
      </c>
      <c r="P262" s="4">
        <v>0</v>
      </c>
      <c r="Q262" s="4"/>
      <c r="R262" s="4">
        <f>0*N262+O262</f>
        <v>0</v>
      </c>
      <c r="S262" s="4">
        <f>(2^(M262)-1)*N262+O262</f>
        <v>255</v>
      </c>
      <c r="T262" s="4" t="s">
        <v>298</v>
      </c>
      <c r="U262" s="4" t="s">
        <v>697</v>
      </c>
      <c r="V262" s="4" t="s">
        <v>410</v>
      </c>
      <c r="W262" s="3" t="s">
        <v>905</v>
      </c>
      <c r="X262" s="3"/>
      <c r="Y262" s="3"/>
    </row>
    <row r="263" spans="1:25" s="32" customFormat="1">
      <c r="A263" s="3">
        <v>262</v>
      </c>
      <c r="B263" s="4" t="s">
        <v>685</v>
      </c>
      <c r="C263" s="4">
        <f>MATCH($E263,[1]Message!$C:$C,0)</f>
        <v>40</v>
      </c>
      <c r="D263" s="4" t="str">
        <f>VLOOKUP($E263,[1]Message!$C:$I,3,FALSE)</f>
        <v>0x081EEE41</v>
      </c>
      <c r="E263" s="4" t="str">
        <f>VLOOKUP($B263,[1]Message!$B:$C,2,FALSE)</f>
        <v>U2P_SUMDATA29</v>
      </c>
      <c r="F263" s="4">
        <f>VLOOKUP($E263,[1]Message!$C:$I,4,FALSE)</f>
        <v>8</v>
      </c>
      <c r="G263" s="4" t="str">
        <f>VLOOKUP($E263,[1]Message!$C:$I,5,FALSE)</f>
        <v>BMU</v>
      </c>
      <c r="H263" s="4" t="str">
        <f>VLOOKUP($E263,[1]Message!$C:$I,6,FALSE)</f>
        <v>Event</v>
      </c>
      <c r="I263" s="4">
        <f>VLOOKUP($E263,[1]Message!$C:$I,7,FALSE)</f>
        <v>0</v>
      </c>
      <c r="J263" s="4"/>
      <c r="K263" s="4" t="s">
        <v>698</v>
      </c>
      <c r="L263" s="4">
        <v>48</v>
      </c>
      <c r="M263" s="4">
        <v>8</v>
      </c>
      <c r="N263" s="4">
        <v>1</v>
      </c>
      <c r="O263" s="4">
        <v>0</v>
      </c>
      <c r="P263" s="4">
        <v>0</v>
      </c>
      <c r="Q263" s="4"/>
      <c r="R263" s="4">
        <f>0*N263+O263</f>
        <v>0</v>
      </c>
      <c r="S263" s="4">
        <f>(2^(M263)-1)*N263+O263</f>
        <v>255</v>
      </c>
      <c r="T263" s="4" t="s">
        <v>298</v>
      </c>
      <c r="U263" s="4" t="s">
        <v>699</v>
      </c>
      <c r="V263" s="4" t="s">
        <v>410</v>
      </c>
      <c r="W263" s="3" t="s">
        <v>905</v>
      </c>
      <c r="X263" s="3"/>
      <c r="Y263" s="3"/>
    </row>
    <row r="264" spans="1:25" s="32" customFormat="1">
      <c r="A264" s="3">
        <v>263</v>
      </c>
      <c r="B264" s="4" t="s">
        <v>685</v>
      </c>
      <c r="C264" s="4">
        <f>MATCH($E264,[1]Message!$C:$C,0)</f>
        <v>40</v>
      </c>
      <c r="D264" s="4" t="str">
        <f>VLOOKUP($E264,[1]Message!$C:$I,3,FALSE)</f>
        <v>0x081EEE41</v>
      </c>
      <c r="E264" s="4" t="str">
        <f>VLOOKUP($B264,[1]Message!$B:$C,2,FALSE)</f>
        <v>U2P_SUMDATA29</v>
      </c>
      <c r="F264" s="4">
        <f>VLOOKUP($E264,[1]Message!$C:$I,4,FALSE)</f>
        <v>8</v>
      </c>
      <c r="G264" s="4" t="str">
        <f>VLOOKUP($E264,[1]Message!$C:$I,5,FALSE)</f>
        <v>BMU</v>
      </c>
      <c r="H264" s="4" t="str">
        <f>VLOOKUP($E264,[1]Message!$C:$I,6,FALSE)</f>
        <v>Event</v>
      </c>
      <c r="I264" s="4">
        <f>VLOOKUP($E264,[1]Message!$C:$I,7,FALSE)</f>
        <v>0</v>
      </c>
      <c r="J264" s="4"/>
      <c r="K264" s="4" t="s">
        <v>700</v>
      </c>
      <c r="L264" s="4">
        <v>56</v>
      </c>
      <c r="M264" s="4">
        <v>8</v>
      </c>
      <c r="N264" s="4">
        <v>1</v>
      </c>
      <c r="O264" s="4">
        <v>0</v>
      </c>
      <c r="P264" s="4">
        <v>0</v>
      </c>
      <c r="Q264" s="4"/>
      <c r="R264" s="4">
        <f>0*N264+O264</f>
        <v>0</v>
      </c>
      <c r="S264" s="4">
        <f>(2^(M264)-1)*N264+O264</f>
        <v>255</v>
      </c>
      <c r="T264" s="4" t="s">
        <v>563</v>
      </c>
      <c r="U264" s="4" t="s">
        <v>701</v>
      </c>
      <c r="V264" s="4" t="s">
        <v>690</v>
      </c>
      <c r="W264" s="3" t="s">
        <v>905</v>
      </c>
      <c r="X264" s="3"/>
      <c r="Y264" s="3"/>
    </row>
  </sheetData>
  <phoneticPr fontId="5" type="noConversion"/>
  <conditionalFormatting sqref="K212">
    <cfRule type="cellIs" dxfId="63" priority="51" operator="equal">
      <formula>"Reserved"</formula>
    </cfRule>
  </conditionalFormatting>
  <conditionalFormatting sqref="K2:K3">
    <cfRule type="cellIs" dxfId="62" priority="50" operator="equal">
      <formula>"Reserved"</formula>
    </cfRule>
  </conditionalFormatting>
  <conditionalFormatting sqref="K4">
    <cfRule type="cellIs" dxfId="61" priority="49" operator="equal">
      <formula>"Reserved"</formula>
    </cfRule>
  </conditionalFormatting>
  <conditionalFormatting sqref="K5:K7 K9 K11:K20">
    <cfRule type="cellIs" dxfId="60" priority="48" operator="equal">
      <formula>"Reserved"</formula>
    </cfRule>
  </conditionalFormatting>
  <conditionalFormatting sqref="K24:K36">
    <cfRule type="cellIs" dxfId="59" priority="47" operator="equal">
      <formula>"Reserved"</formula>
    </cfRule>
  </conditionalFormatting>
  <conditionalFormatting sqref="K37">
    <cfRule type="cellIs" dxfId="58" priority="46" operator="equal">
      <formula>"Reserved"</formula>
    </cfRule>
  </conditionalFormatting>
  <conditionalFormatting sqref="K38:K44 K46:K57">
    <cfRule type="cellIs" dxfId="57" priority="45" operator="equal">
      <formula>"Reserved"</formula>
    </cfRule>
  </conditionalFormatting>
  <conditionalFormatting sqref="K58">
    <cfRule type="cellIs" dxfId="56" priority="44" operator="equal">
      <formula>"Reserved"</formula>
    </cfRule>
  </conditionalFormatting>
  <conditionalFormatting sqref="K59:K76">
    <cfRule type="cellIs" dxfId="55" priority="43" operator="equal">
      <formula>"Reserved"</formula>
    </cfRule>
  </conditionalFormatting>
  <conditionalFormatting sqref="K77">
    <cfRule type="cellIs" dxfId="54" priority="42" operator="equal">
      <formula>"Reserved"</formula>
    </cfRule>
  </conditionalFormatting>
  <conditionalFormatting sqref="K78:K91">
    <cfRule type="cellIs" dxfId="53" priority="41" operator="equal">
      <formula>"Reserved"</formula>
    </cfRule>
  </conditionalFormatting>
  <conditionalFormatting sqref="K92">
    <cfRule type="cellIs" dxfId="52" priority="40" operator="equal">
      <formula>"Reserved"</formula>
    </cfRule>
  </conditionalFormatting>
  <conditionalFormatting sqref="K93:K98 K100:K107">
    <cfRule type="cellIs" dxfId="51" priority="39" operator="equal">
      <formula>"Reserved"</formula>
    </cfRule>
  </conditionalFormatting>
  <conditionalFormatting sqref="K108">
    <cfRule type="cellIs" dxfId="50" priority="38" operator="equal">
      <formula>"Reserved"</formula>
    </cfRule>
  </conditionalFormatting>
  <conditionalFormatting sqref="K109:K122">
    <cfRule type="cellIs" dxfId="49" priority="37" operator="equal">
      <formula>"Reserved"</formula>
    </cfRule>
  </conditionalFormatting>
  <conditionalFormatting sqref="K123">
    <cfRule type="cellIs" dxfId="48" priority="36" operator="equal">
      <formula>"Reserved"</formula>
    </cfRule>
  </conditionalFormatting>
  <conditionalFormatting sqref="K124:K129 K133:K140">
    <cfRule type="cellIs" dxfId="47" priority="35" operator="equal">
      <formula>"Reserved"</formula>
    </cfRule>
  </conditionalFormatting>
  <conditionalFormatting sqref="K141">
    <cfRule type="cellIs" dxfId="46" priority="34" operator="equal">
      <formula>"Reserved"</formula>
    </cfRule>
  </conditionalFormatting>
  <conditionalFormatting sqref="K142:K155">
    <cfRule type="cellIs" dxfId="45" priority="33" operator="equal">
      <formula>"Reserved"</formula>
    </cfRule>
  </conditionalFormatting>
  <conditionalFormatting sqref="K156">
    <cfRule type="cellIs" dxfId="44" priority="32" operator="equal">
      <formula>"Reserved"</formula>
    </cfRule>
  </conditionalFormatting>
  <conditionalFormatting sqref="K157 K159:K172">
    <cfRule type="cellIs" dxfId="43" priority="31" operator="equal">
      <formula>"Reserved"</formula>
    </cfRule>
  </conditionalFormatting>
  <conditionalFormatting sqref="K173">
    <cfRule type="cellIs" dxfId="42" priority="30" operator="equal">
      <formula>"Reserved"</formula>
    </cfRule>
  </conditionalFormatting>
  <conditionalFormatting sqref="K174:K185 K190:K191">
    <cfRule type="cellIs" dxfId="41" priority="29" operator="equal">
      <formula>"Reserved"</formula>
    </cfRule>
  </conditionalFormatting>
  <conditionalFormatting sqref="K192">
    <cfRule type="cellIs" dxfId="40" priority="28" operator="equal">
      <formula>"Reserved"</formula>
    </cfRule>
  </conditionalFormatting>
  <conditionalFormatting sqref="K193:K203">
    <cfRule type="cellIs" dxfId="39" priority="27" operator="equal">
      <formula>"Reserved"</formula>
    </cfRule>
  </conditionalFormatting>
  <conditionalFormatting sqref="K204:K205">
    <cfRule type="cellIs" dxfId="38" priority="26" operator="equal">
      <formula>"Reserved"</formula>
    </cfRule>
  </conditionalFormatting>
  <conditionalFormatting sqref="K206:K207">
    <cfRule type="cellIs" dxfId="37" priority="25" operator="equal">
      <formula>"Reserved"</formula>
    </cfRule>
  </conditionalFormatting>
  <conditionalFormatting sqref="K208:K209">
    <cfRule type="cellIs" dxfId="36" priority="24" operator="equal">
      <formula>"Reserved"</formula>
    </cfRule>
  </conditionalFormatting>
  <conditionalFormatting sqref="K210:K211">
    <cfRule type="cellIs" dxfId="35" priority="23" operator="equal">
      <formula>"Reserved"</formula>
    </cfRule>
  </conditionalFormatting>
  <conditionalFormatting sqref="K223">
    <cfRule type="cellIs" dxfId="34" priority="21" operator="equal">
      <formula>"Reserved"</formula>
    </cfRule>
  </conditionalFormatting>
  <conditionalFormatting sqref="K234">
    <cfRule type="cellIs" dxfId="33" priority="19" operator="equal">
      <formula>"Reserved"</formula>
    </cfRule>
  </conditionalFormatting>
  <conditionalFormatting sqref="K213:K222">
    <cfRule type="cellIs" dxfId="32" priority="22" operator="equal">
      <formula>"Reserved"</formula>
    </cfRule>
  </conditionalFormatting>
  <conditionalFormatting sqref="K245">
    <cfRule type="cellIs" dxfId="31" priority="17" operator="equal">
      <formula>"Reserved"</formula>
    </cfRule>
  </conditionalFormatting>
  <conditionalFormatting sqref="K224:K233">
    <cfRule type="cellIs" dxfId="30" priority="20" operator="equal">
      <formula>"Reserved"</formula>
    </cfRule>
  </conditionalFormatting>
  <conditionalFormatting sqref="K235:K244">
    <cfRule type="cellIs" dxfId="29" priority="18" operator="equal">
      <formula>"Reserved"</formula>
    </cfRule>
  </conditionalFormatting>
  <conditionalFormatting sqref="K256">
    <cfRule type="cellIs" dxfId="28" priority="15" operator="equal">
      <formula>"Reserved"</formula>
    </cfRule>
  </conditionalFormatting>
  <conditionalFormatting sqref="K246:K255">
    <cfRule type="cellIs" dxfId="27" priority="16" operator="equal">
      <formula>"Reserved"</formula>
    </cfRule>
  </conditionalFormatting>
  <conditionalFormatting sqref="K257:K264">
    <cfRule type="cellIs" dxfId="26" priority="14" operator="equal">
      <formula>"Reserved"</formula>
    </cfRule>
  </conditionalFormatting>
  <conditionalFormatting sqref="K186">
    <cfRule type="cellIs" dxfId="25" priority="13" operator="equal">
      <formula>"Reserved"</formula>
    </cfRule>
  </conditionalFormatting>
  <conditionalFormatting sqref="K187">
    <cfRule type="cellIs" dxfId="24" priority="12" operator="equal">
      <formula>"Reserved"</formula>
    </cfRule>
  </conditionalFormatting>
  <conditionalFormatting sqref="K188">
    <cfRule type="cellIs" dxfId="23" priority="11" operator="equal">
      <formula>"Reserved"</formula>
    </cfRule>
  </conditionalFormatting>
  <conditionalFormatting sqref="K189">
    <cfRule type="cellIs" dxfId="22" priority="10" operator="equal">
      <formula>"Reserved"</formula>
    </cfRule>
  </conditionalFormatting>
  <conditionalFormatting sqref="K8">
    <cfRule type="cellIs" dxfId="21" priority="8" operator="equal">
      <formula>"Reserved"</formula>
    </cfRule>
  </conditionalFormatting>
  <conditionalFormatting sqref="K158">
    <cfRule type="cellIs" dxfId="20" priority="9" operator="equal">
      <formula>"Reserved"</formula>
    </cfRule>
  </conditionalFormatting>
  <conditionalFormatting sqref="K10">
    <cfRule type="cellIs" dxfId="19" priority="7" operator="equal">
      <formula>"Reserved"</formula>
    </cfRule>
  </conditionalFormatting>
  <conditionalFormatting sqref="K21:K23">
    <cfRule type="cellIs" dxfId="18" priority="6" operator="equal">
      <formula>"Reserved"</formula>
    </cfRule>
  </conditionalFormatting>
  <conditionalFormatting sqref="K45">
    <cfRule type="cellIs" dxfId="17" priority="5" operator="equal">
      <formula>"Reserved"</formula>
    </cfRule>
  </conditionalFormatting>
  <conditionalFormatting sqref="K99">
    <cfRule type="cellIs" dxfId="16" priority="4" operator="equal">
      <formula>"Reserved"</formula>
    </cfRule>
  </conditionalFormatting>
  <conditionalFormatting sqref="K132">
    <cfRule type="cellIs" dxfId="15" priority="3" operator="equal">
      <formula>"Reserved"</formula>
    </cfRule>
  </conditionalFormatting>
  <conditionalFormatting sqref="K131">
    <cfRule type="cellIs" dxfId="14" priority="2" operator="equal">
      <formula>"Reserved"</formula>
    </cfRule>
  </conditionalFormatting>
  <conditionalFormatting sqref="K130">
    <cfRule type="cellIs" dxfId="13" priority="1" operator="equal">
      <formula>"Reserved"</formula>
    </cfRule>
  </conditionalFormatting>
  <conditionalFormatting sqref="T99:V129 O29:O33 M2:U21 Q22:Q36 O22:P28 O34:P36 O37:Q44 R22:U44 M22:N44 M46:R99 T46:U98 O100:R104 S46:S104 O105:S129 M100:N129 M45:U45 M130:V264 A2:L264 V2:V98">
    <cfRule type="expression" dxfId="12" priority="52">
      <formula>#REF!=1</formula>
    </cfRule>
  </conditionalFormatting>
  <conditionalFormatting sqref="P30:P33">
    <cfRule type="expression" dxfId="11" priority="53">
      <formula>#REF!=1</formula>
    </cfRule>
  </conditionalFormatting>
  <pageMargins left="0.23622047244094491" right="0.23622047244094491" top="0.74803149606299213" bottom="0.74803149606299213" header="0.31496062992125984" footer="0.31496062992125984"/>
  <pageSetup paperSize="9" scale="75" fitToHeight="0" orientation="landscape" r:id="rId1"/>
  <headerFooter>
    <oddHeader>&amp;L&amp;K03+039ND CATL Technology Co., Ltd&amp;R&amp;KFF0000CATL Confidential</oddHeader>
    <oddFooter>&amp;L&amp;K03+039宁德时代新能源科技有限公司&amp;K01+000
福建省宁德市蕉城区漳湾镇新港路1号&amp;CTel: 0593-2583888
FAX: 0593-2583999&amp;R&amp;P/&amp;N</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E539"/>
  <sheetViews>
    <sheetView showGridLines="0" zoomScaleNormal="100" workbookViewId="0">
      <pane ySplit="1" topLeftCell="A389" activePane="bottomLeft" state="frozen"/>
      <selection pane="bottomLeft" activeCell="B28" sqref="B28"/>
    </sheetView>
  </sheetViews>
  <sheetFormatPr defaultColWidth="7.875" defaultRowHeight="13.5"/>
  <cols>
    <col min="1" max="1" width="11.75" style="28" bestFit="1" customWidth="1"/>
    <col min="2" max="2" width="43.25" style="29" customWidth="1"/>
    <col min="3" max="3" width="16.875" style="28" customWidth="1"/>
    <col min="4" max="4" width="12" style="28" customWidth="1"/>
    <col min="5" max="5" width="11.375" style="28" customWidth="1"/>
    <col min="6" max="16384" width="7.875" style="12"/>
  </cols>
  <sheetData>
    <row r="1" spans="1:5" ht="15">
      <c r="A1" s="9" t="s">
        <v>702</v>
      </c>
      <c r="B1" s="10" t="s">
        <v>703</v>
      </c>
      <c r="C1" s="11" t="s">
        <v>704</v>
      </c>
      <c r="D1" s="11" t="s">
        <v>705</v>
      </c>
      <c r="E1" s="11" t="s">
        <v>1019</v>
      </c>
    </row>
    <row r="2" spans="1:5" ht="15" hidden="1">
      <c r="A2" s="13">
        <v>0</v>
      </c>
      <c r="B2" s="14" t="s">
        <v>0</v>
      </c>
      <c r="C2" s="15"/>
      <c r="D2" s="15"/>
      <c r="E2" s="16"/>
    </row>
    <row r="3" spans="1:5" ht="15" hidden="1">
      <c r="A3" s="13">
        <v>1</v>
      </c>
      <c r="B3" s="14" t="s">
        <v>823</v>
      </c>
      <c r="C3" s="15"/>
      <c r="D3" s="15"/>
      <c r="E3" s="16"/>
    </row>
    <row r="4" spans="1:5" ht="15" hidden="1">
      <c r="A4" s="13">
        <v>2</v>
      </c>
      <c r="B4" s="14" t="s">
        <v>708</v>
      </c>
      <c r="C4" s="15"/>
      <c r="D4" s="15"/>
      <c r="E4" s="16"/>
    </row>
    <row r="5" spans="1:5" ht="15" hidden="1">
      <c r="A5" s="13">
        <v>3</v>
      </c>
      <c r="B5" s="14" t="s">
        <v>709</v>
      </c>
      <c r="C5" s="15"/>
      <c r="D5" s="15"/>
      <c r="E5" s="16"/>
    </row>
    <row r="6" spans="1:5" ht="15" hidden="1">
      <c r="A6" s="13">
        <v>4</v>
      </c>
      <c r="B6" s="14" t="s">
        <v>710</v>
      </c>
      <c r="C6" s="15"/>
      <c r="D6" s="15"/>
      <c r="E6" s="16"/>
    </row>
    <row r="7" spans="1:5" ht="15" hidden="1">
      <c r="A7" s="13">
        <v>5</v>
      </c>
      <c r="B7" s="14" t="s">
        <v>711</v>
      </c>
      <c r="C7" s="15"/>
      <c r="D7" s="15"/>
      <c r="E7" s="16"/>
    </row>
    <row r="8" spans="1:5" ht="15" hidden="1">
      <c r="A8" s="13">
        <v>6</v>
      </c>
      <c r="B8" s="14" t="s">
        <v>712</v>
      </c>
      <c r="C8" s="15"/>
      <c r="D8" s="15"/>
      <c r="E8" s="16"/>
    </row>
    <row r="9" spans="1:5" ht="15" customHeight="1">
      <c r="A9" s="13">
        <v>7</v>
      </c>
      <c r="B9" s="14" t="s">
        <v>1</v>
      </c>
      <c r="C9" s="15" t="s">
        <v>706</v>
      </c>
      <c r="D9" s="15">
        <v>1</v>
      </c>
      <c r="E9" s="15"/>
    </row>
    <row r="10" spans="1:5" ht="15">
      <c r="A10" s="13">
        <v>8</v>
      </c>
      <c r="B10" s="14" t="s">
        <v>828</v>
      </c>
      <c r="C10" s="15" t="s">
        <v>707</v>
      </c>
      <c r="D10" s="15">
        <v>2</v>
      </c>
      <c r="E10" s="15"/>
    </row>
    <row r="11" spans="1:5" ht="15">
      <c r="A11" s="13">
        <v>9</v>
      </c>
      <c r="B11" s="14" t="s">
        <v>829</v>
      </c>
      <c r="C11" s="15" t="s">
        <v>707</v>
      </c>
      <c r="D11" s="15">
        <v>2</v>
      </c>
      <c r="E11" s="15"/>
    </row>
    <row r="12" spans="1:5" ht="15">
      <c r="A12" s="13">
        <v>10</v>
      </c>
      <c r="B12" s="14" t="s">
        <v>830</v>
      </c>
      <c r="C12" s="15" t="s">
        <v>707</v>
      </c>
      <c r="D12" s="15">
        <v>2</v>
      </c>
      <c r="E12" s="15"/>
    </row>
    <row r="13" spans="1:5" ht="15">
      <c r="A13" s="13">
        <v>11</v>
      </c>
      <c r="B13" s="14" t="s">
        <v>831</v>
      </c>
      <c r="C13" s="15" t="s">
        <v>707</v>
      </c>
      <c r="D13" s="15">
        <v>2</v>
      </c>
      <c r="E13" s="15"/>
    </row>
    <row r="14" spans="1:5" ht="15" hidden="1">
      <c r="A14" s="13">
        <v>12</v>
      </c>
      <c r="B14" s="14" t="s">
        <v>2</v>
      </c>
      <c r="C14" s="15"/>
      <c r="D14" s="15"/>
      <c r="E14" s="16"/>
    </row>
    <row r="15" spans="1:5" ht="15" hidden="1">
      <c r="A15" s="13">
        <v>13</v>
      </c>
      <c r="B15" s="14" t="s">
        <v>46</v>
      </c>
      <c r="C15" s="15"/>
      <c r="D15" s="15"/>
      <c r="E15" s="16"/>
    </row>
    <row r="16" spans="1:5" ht="15" hidden="1">
      <c r="A16" s="13">
        <v>14</v>
      </c>
      <c r="B16" s="14" t="s">
        <v>47</v>
      </c>
      <c r="C16" s="15"/>
      <c r="D16" s="15"/>
      <c r="E16" s="16"/>
    </row>
    <row r="17" spans="1:5" ht="15">
      <c r="A17" s="13">
        <v>15</v>
      </c>
      <c r="B17" s="14" t="s">
        <v>832</v>
      </c>
      <c r="C17" s="15" t="s">
        <v>706</v>
      </c>
      <c r="D17" s="15">
        <v>1</v>
      </c>
      <c r="E17" s="15" t="s">
        <v>1020</v>
      </c>
    </row>
    <row r="18" spans="1:5" ht="15" hidden="1">
      <c r="A18" s="13">
        <v>16</v>
      </c>
      <c r="B18" s="14" t="s">
        <v>48</v>
      </c>
      <c r="C18" s="15"/>
      <c r="D18" s="15"/>
      <c r="E18" s="16"/>
    </row>
    <row r="19" spans="1:5" ht="15" hidden="1">
      <c r="A19" s="13">
        <v>17</v>
      </c>
      <c r="B19" s="14" t="s">
        <v>49</v>
      </c>
      <c r="C19" s="15"/>
      <c r="D19" s="15"/>
      <c r="E19" s="16"/>
    </row>
    <row r="20" spans="1:5" ht="15">
      <c r="A20" s="13">
        <v>18</v>
      </c>
      <c r="B20" s="14" t="s">
        <v>833</v>
      </c>
      <c r="C20" s="15" t="s">
        <v>707</v>
      </c>
      <c r="D20" s="15">
        <v>2</v>
      </c>
      <c r="E20" s="15" t="s">
        <v>1020</v>
      </c>
    </row>
    <row r="21" spans="1:5" ht="15">
      <c r="A21" s="13">
        <v>19</v>
      </c>
      <c r="B21" s="14" t="s">
        <v>834</v>
      </c>
      <c r="C21" s="15" t="s">
        <v>707</v>
      </c>
      <c r="D21" s="15">
        <v>3</v>
      </c>
      <c r="E21" s="15"/>
    </row>
    <row r="22" spans="1:5" ht="15">
      <c r="A22" s="13">
        <v>20</v>
      </c>
      <c r="B22" s="14" t="s">
        <v>835</v>
      </c>
      <c r="C22" s="15" t="s">
        <v>707</v>
      </c>
      <c r="D22" s="15">
        <v>2</v>
      </c>
      <c r="E22" s="15"/>
    </row>
    <row r="23" spans="1:5" ht="15" hidden="1">
      <c r="A23" s="13">
        <v>21</v>
      </c>
      <c r="B23" s="14" t="s">
        <v>50</v>
      </c>
      <c r="C23" s="15"/>
      <c r="D23" s="15"/>
      <c r="E23" s="16"/>
    </row>
    <row r="24" spans="1:5" ht="15">
      <c r="A24" s="13">
        <v>22</v>
      </c>
      <c r="B24" s="14" t="s">
        <v>836</v>
      </c>
      <c r="C24" s="15" t="s">
        <v>707</v>
      </c>
      <c r="D24" s="15">
        <v>3</v>
      </c>
      <c r="E24" s="15"/>
    </row>
    <row r="25" spans="1:5" ht="15" hidden="1">
      <c r="A25" s="13">
        <v>23</v>
      </c>
      <c r="B25" s="14" t="s">
        <v>51</v>
      </c>
      <c r="C25" s="15"/>
      <c r="D25" s="15"/>
      <c r="E25" s="16"/>
    </row>
    <row r="26" spans="1:5" ht="15" hidden="1">
      <c r="A26" s="13">
        <v>24</v>
      </c>
      <c r="B26" s="14" t="s">
        <v>713</v>
      </c>
      <c r="C26" s="15"/>
      <c r="D26" s="15"/>
      <c r="E26" s="16"/>
    </row>
    <row r="27" spans="1:5" ht="15" hidden="1">
      <c r="A27" s="13">
        <v>25</v>
      </c>
      <c r="B27" s="14" t="s">
        <v>714</v>
      </c>
      <c r="C27" s="15"/>
      <c r="D27" s="15"/>
      <c r="E27" s="16"/>
    </row>
    <row r="28" spans="1:5" ht="15">
      <c r="A28" s="13">
        <v>26</v>
      </c>
      <c r="B28" s="14" t="s">
        <v>837</v>
      </c>
      <c r="C28" s="15" t="s">
        <v>706</v>
      </c>
      <c r="D28" s="15">
        <v>1</v>
      </c>
      <c r="E28" s="15"/>
    </row>
    <row r="29" spans="1:5" ht="15" hidden="1">
      <c r="A29" s="13">
        <v>27</v>
      </c>
      <c r="B29" s="14" t="s">
        <v>715</v>
      </c>
      <c r="C29" s="15"/>
      <c r="D29" s="15"/>
      <c r="E29" s="16"/>
    </row>
    <row r="30" spans="1:5" ht="15" hidden="1">
      <c r="A30" s="13">
        <v>28</v>
      </c>
      <c r="B30" s="14" t="s">
        <v>716</v>
      </c>
      <c r="C30" s="15"/>
      <c r="D30" s="15"/>
      <c r="E30" s="16"/>
    </row>
    <row r="31" spans="1:5" ht="15">
      <c r="A31" s="13">
        <v>29</v>
      </c>
      <c r="B31" s="14" t="s">
        <v>838</v>
      </c>
      <c r="C31" s="15" t="s">
        <v>707</v>
      </c>
      <c r="D31" s="15">
        <v>2</v>
      </c>
      <c r="E31" s="15"/>
    </row>
    <row r="32" spans="1:5" ht="15" hidden="1">
      <c r="A32" s="13">
        <v>30</v>
      </c>
      <c r="B32" s="14" t="s">
        <v>717</v>
      </c>
      <c r="C32" s="15"/>
      <c r="D32" s="15"/>
      <c r="E32" s="16"/>
    </row>
    <row r="33" spans="1:5" ht="15">
      <c r="A33" s="13">
        <v>31</v>
      </c>
      <c r="B33" s="14" t="s">
        <v>839</v>
      </c>
      <c r="C33" s="15" t="s">
        <v>707</v>
      </c>
      <c r="D33" s="15">
        <v>3</v>
      </c>
      <c r="E33" s="15"/>
    </row>
    <row r="34" spans="1:5" ht="15">
      <c r="A34" s="13">
        <v>32</v>
      </c>
      <c r="B34" s="14" t="s">
        <v>840</v>
      </c>
      <c r="C34" s="15" t="s">
        <v>707</v>
      </c>
      <c r="D34" s="15">
        <v>2</v>
      </c>
      <c r="E34" s="15"/>
    </row>
    <row r="35" spans="1:5" ht="15">
      <c r="A35" s="13">
        <v>33</v>
      </c>
      <c r="B35" s="14" t="s">
        <v>841</v>
      </c>
      <c r="C35" s="15" t="s">
        <v>707</v>
      </c>
      <c r="D35" s="15">
        <v>3</v>
      </c>
      <c r="E35" s="15" t="s">
        <v>1021</v>
      </c>
    </row>
    <row r="36" spans="1:5" ht="15" hidden="1">
      <c r="A36" s="13">
        <v>34</v>
      </c>
      <c r="B36" s="14" t="s">
        <v>718</v>
      </c>
      <c r="C36" s="15"/>
      <c r="D36" s="15"/>
      <c r="E36" s="16"/>
    </row>
    <row r="37" spans="1:5" ht="15" hidden="1">
      <c r="A37" s="13">
        <v>35</v>
      </c>
      <c r="B37" s="14" t="s">
        <v>719</v>
      </c>
      <c r="C37" s="15"/>
      <c r="D37" s="15"/>
      <c r="E37" s="16"/>
    </row>
    <row r="38" spans="1:5" ht="15">
      <c r="A38" s="13">
        <v>36</v>
      </c>
      <c r="B38" s="14" t="s">
        <v>842</v>
      </c>
      <c r="C38" s="15" t="s">
        <v>707</v>
      </c>
      <c r="D38" s="15">
        <v>3</v>
      </c>
      <c r="E38" s="15" t="s">
        <v>1021</v>
      </c>
    </row>
    <row r="39" spans="1:5" ht="15" hidden="1">
      <c r="A39" s="13">
        <v>37</v>
      </c>
      <c r="B39" s="14" t="s">
        <v>720</v>
      </c>
      <c r="C39" s="15"/>
      <c r="D39" s="15"/>
      <c r="E39" s="16"/>
    </row>
    <row r="40" spans="1:5" ht="15" hidden="1">
      <c r="A40" s="13">
        <v>38</v>
      </c>
      <c r="B40" s="14" t="s">
        <v>721</v>
      </c>
      <c r="C40" s="15"/>
      <c r="D40" s="15"/>
      <c r="E40" s="16"/>
    </row>
    <row r="41" spans="1:5" ht="15">
      <c r="A41" s="13">
        <v>39</v>
      </c>
      <c r="B41" s="14" t="s">
        <v>843</v>
      </c>
      <c r="C41" s="15" t="s">
        <v>707</v>
      </c>
      <c r="D41" s="15">
        <v>3</v>
      </c>
      <c r="E41" s="15" t="s">
        <v>1021</v>
      </c>
    </row>
    <row r="42" spans="1:5" ht="15" hidden="1">
      <c r="A42" s="13">
        <v>40</v>
      </c>
      <c r="B42" s="14" t="s">
        <v>722</v>
      </c>
      <c r="C42" s="15"/>
      <c r="D42" s="15"/>
      <c r="E42" s="16"/>
    </row>
    <row r="43" spans="1:5" ht="15" hidden="1">
      <c r="A43" s="13">
        <v>41</v>
      </c>
      <c r="B43" s="14" t="s">
        <v>723</v>
      </c>
      <c r="C43" s="15"/>
      <c r="D43" s="15"/>
      <c r="E43" s="16"/>
    </row>
    <row r="44" spans="1:5" ht="15" hidden="1">
      <c r="A44" s="13">
        <v>42</v>
      </c>
      <c r="B44" s="14" t="s">
        <v>724</v>
      </c>
      <c r="C44" s="15"/>
      <c r="D44" s="15"/>
      <c r="E44" s="16"/>
    </row>
    <row r="45" spans="1:5" ht="15" hidden="1">
      <c r="A45" s="13">
        <v>43</v>
      </c>
      <c r="B45" s="14" t="s">
        <v>725</v>
      </c>
      <c r="C45" s="15"/>
      <c r="D45" s="15"/>
      <c r="E45" s="16"/>
    </row>
    <row r="46" spans="1:5" ht="15" hidden="1">
      <c r="A46" s="13">
        <v>44</v>
      </c>
      <c r="B46" s="14" t="s">
        <v>726</v>
      </c>
      <c r="C46" s="15"/>
      <c r="D46" s="15"/>
      <c r="E46" s="16"/>
    </row>
    <row r="47" spans="1:5" ht="15" hidden="1">
      <c r="A47" s="13">
        <v>45</v>
      </c>
      <c r="B47" s="14" t="s">
        <v>727</v>
      </c>
      <c r="C47" s="15"/>
      <c r="D47" s="15"/>
      <c r="E47" s="16"/>
    </row>
    <row r="48" spans="1:5" ht="15">
      <c r="A48" s="13">
        <v>46</v>
      </c>
      <c r="B48" s="14" t="s">
        <v>844</v>
      </c>
      <c r="C48" s="15" t="s">
        <v>707</v>
      </c>
      <c r="D48" s="15">
        <v>3</v>
      </c>
      <c r="E48" s="15"/>
    </row>
    <row r="49" spans="1:5" ht="15">
      <c r="A49" s="13">
        <v>47</v>
      </c>
      <c r="B49" s="14" t="s">
        <v>3</v>
      </c>
      <c r="C49" s="15" t="s">
        <v>706</v>
      </c>
      <c r="D49" s="15">
        <v>1</v>
      </c>
      <c r="E49" s="15"/>
    </row>
    <row r="50" spans="1:5" ht="15">
      <c r="A50" s="13">
        <v>48</v>
      </c>
      <c r="B50" s="14" t="s">
        <v>4</v>
      </c>
      <c r="C50" s="15" t="s">
        <v>707</v>
      </c>
      <c r="D50" s="15">
        <v>2</v>
      </c>
      <c r="E50" s="15"/>
    </row>
    <row r="51" spans="1:5" ht="15" hidden="1">
      <c r="A51" s="13">
        <v>49</v>
      </c>
      <c r="B51" s="14" t="s">
        <v>52</v>
      </c>
      <c r="C51" s="15"/>
      <c r="D51" s="15"/>
      <c r="E51" s="16"/>
    </row>
    <row r="52" spans="1:5" ht="15" hidden="1">
      <c r="A52" s="13">
        <v>50</v>
      </c>
      <c r="B52" s="14" t="s">
        <v>53</v>
      </c>
      <c r="C52" s="15"/>
      <c r="D52" s="15"/>
      <c r="E52" s="16"/>
    </row>
    <row r="53" spans="1:5" ht="15">
      <c r="A53" s="13">
        <v>51</v>
      </c>
      <c r="B53" s="14" t="s">
        <v>845</v>
      </c>
      <c r="C53" s="15" t="s">
        <v>706</v>
      </c>
      <c r="D53" s="15">
        <v>1</v>
      </c>
      <c r="E53" s="15" t="s">
        <v>1020</v>
      </c>
    </row>
    <row r="54" spans="1:5" ht="15" hidden="1">
      <c r="A54" s="13">
        <v>52</v>
      </c>
      <c r="B54" s="14" t="s">
        <v>5</v>
      </c>
      <c r="C54" s="15"/>
      <c r="D54" s="15"/>
      <c r="E54" s="16"/>
    </row>
    <row r="55" spans="1:5" ht="15">
      <c r="A55" s="13">
        <v>53</v>
      </c>
      <c r="B55" s="14" t="s">
        <v>846</v>
      </c>
      <c r="C55" s="15" t="s">
        <v>707</v>
      </c>
      <c r="D55" s="15">
        <v>2</v>
      </c>
      <c r="E55" s="15"/>
    </row>
    <row r="56" spans="1:5" ht="30" hidden="1">
      <c r="A56" s="13">
        <v>54</v>
      </c>
      <c r="B56" s="14" t="s">
        <v>728</v>
      </c>
      <c r="C56" s="15"/>
      <c r="D56" s="15"/>
      <c r="E56" s="16"/>
    </row>
    <row r="57" spans="1:5" ht="15">
      <c r="A57" s="13">
        <v>55</v>
      </c>
      <c r="B57" s="14" t="s">
        <v>6</v>
      </c>
      <c r="C57" s="15" t="s">
        <v>707</v>
      </c>
      <c r="D57" s="15">
        <v>3</v>
      </c>
      <c r="E57" s="15"/>
    </row>
    <row r="58" spans="1:5" ht="15">
      <c r="A58" s="13">
        <v>56</v>
      </c>
      <c r="B58" s="14" t="s">
        <v>847</v>
      </c>
      <c r="C58" s="15" t="s">
        <v>707</v>
      </c>
      <c r="D58" s="15">
        <v>3</v>
      </c>
      <c r="E58" s="15"/>
    </row>
    <row r="59" spans="1:5" ht="15" hidden="1">
      <c r="A59" s="13">
        <v>57</v>
      </c>
      <c r="B59" s="14" t="s">
        <v>729</v>
      </c>
      <c r="C59" s="15"/>
      <c r="D59" s="15"/>
      <c r="E59" s="16"/>
    </row>
    <row r="60" spans="1:5" ht="15" hidden="1">
      <c r="A60" s="13">
        <v>58</v>
      </c>
      <c r="B60" s="14" t="s">
        <v>730</v>
      </c>
      <c r="C60" s="15"/>
      <c r="D60" s="15"/>
      <c r="E60" s="16"/>
    </row>
    <row r="61" spans="1:5" ht="15" hidden="1">
      <c r="A61" s="13">
        <v>59</v>
      </c>
      <c r="B61" s="14" t="s">
        <v>1132</v>
      </c>
      <c r="C61" s="15"/>
      <c r="D61" s="15"/>
      <c r="E61" s="16"/>
    </row>
    <row r="62" spans="1:5" ht="15">
      <c r="A62" s="13">
        <v>60</v>
      </c>
      <c r="B62" s="14" t="s">
        <v>850</v>
      </c>
      <c r="C62" s="15" t="s">
        <v>707</v>
      </c>
      <c r="D62" s="15">
        <v>2</v>
      </c>
      <c r="E62" s="15"/>
    </row>
    <row r="63" spans="1:5" ht="15">
      <c r="A63" s="13">
        <v>61</v>
      </c>
      <c r="B63" s="14" t="s">
        <v>851</v>
      </c>
      <c r="C63" s="15" t="s">
        <v>707</v>
      </c>
      <c r="D63" s="15">
        <v>2</v>
      </c>
      <c r="E63" s="15"/>
    </row>
    <row r="64" spans="1:5" ht="15" hidden="1">
      <c r="A64" s="13">
        <v>62</v>
      </c>
      <c r="B64" s="14" t="s">
        <v>731</v>
      </c>
      <c r="C64" s="15"/>
      <c r="D64" s="15"/>
      <c r="E64" s="16"/>
    </row>
    <row r="65" spans="1:5" ht="15" hidden="1">
      <c r="A65" s="13">
        <v>63</v>
      </c>
      <c r="B65" s="14" t="s">
        <v>732</v>
      </c>
      <c r="C65" s="15"/>
      <c r="D65" s="15"/>
      <c r="E65" s="16"/>
    </row>
    <row r="66" spans="1:5" ht="15" hidden="1">
      <c r="A66" s="13">
        <v>64</v>
      </c>
      <c r="B66" s="14" t="s">
        <v>733</v>
      </c>
      <c r="C66" s="15"/>
      <c r="D66" s="15"/>
      <c r="E66" s="16"/>
    </row>
    <row r="67" spans="1:5" ht="15" hidden="1">
      <c r="A67" s="13">
        <v>65</v>
      </c>
      <c r="B67" s="14" t="s">
        <v>734</v>
      </c>
      <c r="C67" s="15"/>
      <c r="D67" s="15"/>
      <c r="E67" s="16"/>
    </row>
    <row r="68" spans="1:5" ht="15" hidden="1">
      <c r="A68" s="13">
        <v>66</v>
      </c>
      <c r="B68" s="14" t="s">
        <v>735</v>
      </c>
      <c r="C68" s="15"/>
      <c r="D68" s="15"/>
      <c r="E68" s="16"/>
    </row>
    <row r="69" spans="1:5" ht="15" hidden="1">
      <c r="A69" s="13">
        <v>67</v>
      </c>
      <c r="B69" s="14" t="s">
        <v>736</v>
      </c>
      <c r="C69" s="15"/>
      <c r="D69" s="15"/>
      <c r="E69" s="16"/>
    </row>
    <row r="70" spans="1:5" ht="15" hidden="1">
      <c r="A70" s="13">
        <v>68</v>
      </c>
      <c r="B70" s="14" t="s">
        <v>737</v>
      </c>
      <c r="C70" s="15"/>
      <c r="D70" s="15"/>
      <c r="E70" s="16"/>
    </row>
    <row r="71" spans="1:5" ht="15" hidden="1">
      <c r="A71" s="13">
        <v>69</v>
      </c>
      <c r="B71" s="14" t="s">
        <v>738</v>
      </c>
      <c r="C71" s="15"/>
      <c r="D71" s="15"/>
      <c r="E71" s="16"/>
    </row>
    <row r="72" spans="1:5" ht="15" hidden="1">
      <c r="A72" s="13">
        <v>70</v>
      </c>
      <c r="B72" s="14" t="s">
        <v>739</v>
      </c>
      <c r="C72" s="15"/>
      <c r="D72" s="15"/>
      <c r="E72" s="16"/>
    </row>
    <row r="73" spans="1:5" ht="15" hidden="1">
      <c r="A73" s="13">
        <v>71</v>
      </c>
      <c r="B73" s="14" t="s">
        <v>740</v>
      </c>
      <c r="C73" s="15"/>
      <c r="D73" s="15"/>
      <c r="E73" s="16"/>
    </row>
    <row r="74" spans="1:5" ht="15" hidden="1">
      <c r="A74" s="13">
        <v>72</v>
      </c>
      <c r="B74" s="14" t="s">
        <v>1085</v>
      </c>
      <c r="C74" s="15"/>
      <c r="D74" s="15"/>
      <c r="E74" s="16"/>
    </row>
    <row r="75" spans="1:5" ht="15" hidden="1">
      <c r="A75" s="13">
        <v>73</v>
      </c>
      <c r="B75" s="14" t="s">
        <v>1086</v>
      </c>
      <c r="C75" s="15"/>
      <c r="D75" s="15"/>
      <c r="E75" s="16"/>
    </row>
    <row r="76" spans="1:5" ht="15" hidden="1">
      <c r="A76" s="13">
        <v>74</v>
      </c>
      <c r="B76" s="14" t="s">
        <v>1087</v>
      </c>
      <c r="C76" s="15"/>
      <c r="D76" s="15"/>
      <c r="E76" s="16"/>
    </row>
    <row r="77" spans="1:5" ht="15" hidden="1">
      <c r="A77" s="13">
        <v>75</v>
      </c>
      <c r="B77" s="14" t="s">
        <v>1088</v>
      </c>
      <c r="C77" s="15"/>
      <c r="D77" s="15"/>
      <c r="E77" s="16"/>
    </row>
    <row r="78" spans="1:5" ht="15" hidden="1">
      <c r="A78" s="13">
        <v>76</v>
      </c>
      <c r="B78" s="14" t="s">
        <v>741</v>
      </c>
      <c r="C78" s="15"/>
      <c r="D78" s="15"/>
      <c r="E78" s="16"/>
    </row>
    <row r="79" spans="1:5" ht="15" hidden="1">
      <c r="A79" s="13">
        <v>77</v>
      </c>
      <c r="B79" s="14" t="s">
        <v>742</v>
      </c>
      <c r="C79" s="15"/>
      <c r="D79" s="15"/>
      <c r="E79" s="16"/>
    </row>
    <row r="80" spans="1:5" ht="15" hidden="1">
      <c r="A80" s="13">
        <v>78</v>
      </c>
      <c r="B80" s="14" t="s">
        <v>1089</v>
      </c>
      <c r="C80" s="15"/>
      <c r="D80" s="15"/>
      <c r="E80" s="16"/>
    </row>
    <row r="81" spans="1:5" ht="15" hidden="1">
      <c r="A81" s="13">
        <v>79</v>
      </c>
      <c r="B81" s="14" t="s">
        <v>743</v>
      </c>
      <c r="C81" s="15"/>
      <c r="D81" s="15"/>
      <c r="E81" s="16"/>
    </row>
    <row r="82" spans="1:5" ht="15" hidden="1">
      <c r="A82" s="13">
        <v>80</v>
      </c>
      <c r="B82" s="14" t="s">
        <v>1090</v>
      </c>
      <c r="C82" s="15"/>
      <c r="D82" s="15"/>
      <c r="E82" s="16"/>
    </row>
    <row r="83" spans="1:5" ht="15">
      <c r="A83" s="13">
        <v>81</v>
      </c>
      <c r="B83" s="14" t="s">
        <v>948</v>
      </c>
      <c r="C83" s="15" t="s">
        <v>707</v>
      </c>
      <c r="D83" s="15">
        <v>2</v>
      </c>
      <c r="E83" s="15"/>
    </row>
    <row r="84" spans="1:5" ht="15" hidden="1">
      <c r="A84" s="13">
        <v>82</v>
      </c>
      <c r="B84" s="14" t="s">
        <v>7</v>
      </c>
      <c r="C84" s="15"/>
      <c r="D84" s="15"/>
      <c r="E84" s="16"/>
    </row>
    <row r="85" spans="1:5" ht="15" hidden="1">
      <c r="A85" s="13">
        <v>83</v>
      </c>
      <c r="B85" s="14" t="s">
        <v>8</v>
      </c>
      <c r="C85" s="15"/>
      <c r="D85" s="15"/>
      <c r="E85" s="16"/>
    </row>
    <row r="86" spans="1:5" ht="15" hidden="1">
      <c r="A86" s="13">
        <v>84</v>
      </c>
      <c r="B86" s="14" t="s">
        <v>9</v>
      </c>
      <c r="C86" s="15"/>
      <c r="D86" s="15"/>
      <c r="E86" s="16"/>
    </row>
    <row r="87" spans="1:5" ht="15" hidden="1">
      <c r="A87" s="13">
        <v>85</v>
      </c>
      <c r="B87" s="14" t="s">
        <v>10</v>
      </c>
      <c r="C87" s="15"/>
      <c r="D87" s="15"/>
      <c r="E87" s="16"/>
    </row>
    <row r="88" spans="1:5" ht="15" hidden="1">
      <c r="A88" s="13">
        <v>86</v>
      </c>
      <c r="B88" s="14" t="s">
        <v>824</v>
      </c>
      <c r="C88" s="15"/>
      <c r="D88" s="15"/>
      <c r="E88" s="16"/>
    </row>
    <row r="89" spans="1:5" ht="15" hidden="1">
      <c r="A89" s="13">
        <v>87</v>
      </c>
      <c r="B89" s="14" t="s">
        <v>825</v>
      </c>
      <c r="C89" s="15"/>
      <c r="D89" s="15"/>
      <c r="E89" s="16"/>
    </row>
    <row r="90" spans="1:5" ht="15" hidden="1">
      <c r="A90" s="13">
        <v>88</v>
      </c>
      <c r="B90" s="14" t="s">
        <v>826</v>
      </c>
      <c r="C90" s="15"/>
      <c r="D90" s="15"/>
      <c r="E90" s="16"/>
    </row>
    <row r="91" spans="1:5" ht="15" hidden="1">
      <c r="A91" s="13">
        <v>89</v>
      </c>
      <c r="B91" s="14" t="s">
        <v>827</v>
      </c>
      <c r="C91" s="15"/>
      <c r="D91" s="15"/>
      <c r="E91" s="16"/>
    </row>
    <row r="92" spans="1:5" ht="15" hidden="1">
      <c r="A92" s="13">
        <v>90</v>
      </c>
      <c r="B92" s="14" t="s">
        <v>11</v>
      </c>
      <c r="C92" s="15"/>
      <c r="D92" s="15"/>
      <c r="E92" s="16"/>
    </row>
    <row r="93" spans="1:5" ht="15" hidden="1">
      <c r="A93" s="13">
        <v>91</v>
      </c>
      <c r="B93" s="14" t="s">
        <v>12</v>
      </c>
      <c r="C93" s="15"/>
      <c r="D93" s="15"/>
      <c r="E93" s="16"/>
    </row>
    <row r="94" spans="1:5" ht="15">
      <c r="A94" s="13">
        <v>92</v>
      </c>
      <c r="B94" s="14" t="s">
        <v>13</v>
      </c>
      <c r="C94" s="15" t="s">
        <v>707</v>
      </c>
      <c r="D94" s="15">
        <v>3</v>
      </c>
      <c r="E94" s="15"/>
    </row>
    <row r="95" spans="1:5" ht="15">
      <c r="A95" s="13">
        <v>93</v>
      </c>
      <c r="B95" s="14" t="s">
        <v>14</v>
      </c>
      <c r="C95" s="15" t="s">
        <v>707</v>
      </c>
      <c r="D95" s="15">
        <v>2</v>
      </c>
      <c r="E95" s="15"/>
    </row>
    <row r="96" spans="1:5" ht="15">
      <c r="A96" s="13">
        <v>94</v>
      </c>
      <c r="B96" s="14" t="s">
        <v>15</v>
      </c>
      <c r="C96" s="15" t="s">
        <v>707</v>
      </c>
      <c r="D96" s="15">
        <v>2</v>
      </c>
      <c r="E96" s="15"/>
    </row>
    <row r="97" spans="1:5" ht="15" hidden="1">
      <c r="A97" s="13">
        <v>95</v>
      </c>
      <c r="B97" s="14" t="s">
        <v>16</v>
      </c>
      <c r="C97" s="15"/>
      <c r="D97" s="15"/>
      <c r="E97" s="16"/>
    </row>
    <row r="98" spans="1:5" ht="15" hidden="1">
      <c r="A98" s="13">
        <v>96</v>
      </c>
      <c r="B98" s="14" t="s">
        <v>17</v>
      </c>
      <c r="C98" s="15"/>
      <c r="D98" s="15"/>
      <c r="E98" s="16"/>
    </row>
    <row r="99" spans="1:5" ht="15" hidden="1">
      <c r="A99" s="13">
        <v>97</v>
      </c>
      <c r="B99" s="14" t="s">
        <v>18</v>
      </c>
      <c r="C99" s="15"/>
      <c r="D99" s="15"/>
      <c r="E99" s="16"/>
    </row>
    <row r="100" spans="1:5" ht="15" hidden="1">
      <c r="A100" s="13">
        <v>98</v>
      </c>
      <c r="B100" s="14" t="s">
        <v>1091</v>
      </c>
      <c r="C100" s="15"/>
      <c r="D100" s="15"/>
      <c r="E100" s="16"/>
    </row>
    <row r="101" spans="1:5" ht="15" hidden="1">
      <c r="A101" s="13">
        <v>99</v>
      </c>
      <c r="B101" s="14" t="s">
        <v>1092</v>
      </c>
      <c r="C101" s="15"/>
      <c r="D101" s="15"/>
      <c r="E101" s="16"/>
    </row>
    <row r="102" spans="1:5" ht="15" hidden="1">
      <c r="A102" s="13">
        <v>100</v>
      </c>
      <c r="B102" s="14" t="s">
        <v>1093</v>
      </c>
      <c r="C102" s="15"/>
      <c r="D102" s="15"/>
      <c r="E102" s="16"/>
    </row>
    <row r="103" spans="1:5" ht="15">
      <c r="A103" s="13">
        <v>101</v>
      </c>
      <c r="B103" s="14" t="s">
        <v>19</v>
      </c>
      <c r="C103" s="15" t="s">
        <v>707</v>
      </c>
      <c r="D103" s="15">
        <v>2</v>
      </c>
      <c r="E103" s="15"/>
    </row>
    <row r="104" spans="1:5" ht="15">
      <c r="A104" s="13">
        <v>102</v>
      </c>
      <c r="B104" s="14" t="s">
        <v>949</v>
      </c>
      <c r="C104" s="15" t="s">
        <v>707</v>
      </c>
      <c r="D104" s="15">
        <v>2</v>
      </c>
      <c r="E104" s="15"/>
    </row>
    <row r="105" spans="1:5" ht="15" hidden="1">
      <c r="A105" s="13">
        <v>103</v>
      </c>
      <c r="B105" s="14" t="s">
        <v>20</v>
      </c>
      <c r="C105" s="15"/>
      <c r="D105" s="15"/>
      <c r="E105" s="16"/>
    </row>
    <row r="106" spans="1:5" ht="15" hidden="1">
      <c r="A106" s="13">
        <v>104</v>
      </c>
      <c r="B106" s="14" t="s">
        <v>21</v>
      </c>
      <c r="C106" s="15"/>
      <c r="D106" s="15"/>
      <c r="E106" s="16"/>
    </row>
    <row r="107" spans="1:5" ht="15" hidden="1">
      <c r="A107" s="13">
        <v>105</v>
      </c>
      <c r="B107" s="14" t="s">
        <v>744</v>
      </c>
      <c r="C107" s="15"/>
      <c r="D107" s="15"/>
      <c r="E107" s="16"/>
    </row>
    <row r="108" spans="1:5" ht="15" hidden="1">
      <c r="A108" s="13">
        <v>106</v>
      </c>
      <c r="B108" s="14" t="s">
        <v>745</v>
      </c>
      <c r="C108" s="15"/>
      <c r="D108" s="15"/>
      <c r="E108" s="16"/>
    </row>
    <row r="109" spans="1:5" ht="15">
      <c r="A109" s="13">
        <v>107</v>
      </c>
      <c r="B109" s="14" t="s">
        <v>22</v>
      </c>
      <c r="C109" s="15" t="s">
        <v>706</v>
      </c>
      <c r="D109" s="15">
        <v>1</v>
      </c>
      <c r="E109" s="15"/>
    </row>
    <row r="110" spans="1:5" ht="15">
      <c r="A110" s="13">
        <v>108</v>
      </c>
      <c r="B110" s="14" t="s">
        <v>950</v>
      </c>
      <c r="C110" s="15" t="s">
        <v>707</v>
      </c>
      <c r="D110" s="15">
        <v>2</v>
      </c>
      <c r="E110" s="15"/>
    </row>
    <row r="111" spans="1:5" ht="15" hidden="1">
      <c r="A111" s="13">
        <v>109</v>
      </c>
      <c r="B111" s="14" t="s">
        <v>1094</v>
      </c>
      <c r="C111" s="15"/>
      <c r="D111" s="15"/>
      <c r="E111" s="16"/>
    </row>
    <row r="112" spans="1:5" ht="15" hidden="1">
      <c r="A112" s="13">
        <v>110</v>
      </c>
      <c r="B112" s="14" t="s">
        <v>1095</v>
      </c>
      <c r="C112" s="15"/>
      <c r="D112" s="15"/>
      <c r="E112" s="16"/>
    </row>
    <row r="113" spans="1:5" ht="15" hidden="1">
      <c r="A113" s="13">
        <v>111</v>
      </c>
      <c r="B113" s="14" t="s">
        <v>1096</v>
      </c>
      <c r="C113" s="15"/>
      <c r="D113" s="15"/>
      <c r="E113" s="16"/>
    </row>
    <row r="114" spans="1:5" ht="15" hidden="1">
      <c r="A114" s="13">
        <v>112</v>
      </c>
      <c r="B114" s="14" t="s">
        <v>1097</v>
      </c>
      <c r="C114" s="15"/>
      <c r="D114" s="15"/>
      <c r="E114" s="16"/>
    </row>
    <row r="115" spans="1:5" ht="15" hidden="1">
      <c r="A115" s="13">
        <v>113</v>
      </c>
      <c r="B115" s="14" t="s">
        <v>23</v>
      </c>
      <c r="C115" s="15"/>
      <c r="D115" s="15"/>
      <c r="E115" s="16"/>
    </row>
    <row r="116" spans="1:5" ht="15" hidden="1">
      <c r="A116" s="13">
        <v>114</v>
      </c>
      <c r="B116" s="14" t="s">
        <v>746</v>
      </c>
      <c r="C116" s="15"/>
      <c r="D116" s="15"/>
      <c r="E116" s="16"/>
    </row>
    <row r="117" spans="1:5" ht="15" hidden="1">
      <c r="A117" s="13">
        <v>115</v>
      </c>
      <c r="B117" s="14" t="s">
        <v>747</v>
      </c>
      <c r="C117" s="15"/>
      <c r="D117" s="15"/>
      <c r="E117" s="16"/>
    </row>
    <row r="118" spans="1:5" ht="15" hidden="1">
      <c r="A118" s="13">
        <v>116</v>
      </c>
      <c r="B118" s="14" t="s">
        <v>748</v>
      </c>
      <c r="C118" s="15"/>
      <c r="D118" s="15"/>
      <c r="E118" s="16"/>
    </row>
    <row r="119" spans="1:5" ht="15" hidden="1">
      <c r="A119" s="13">
        <v>117</v>
      </c>
      <c r="B119" s="14" t="s">
        <v>749</v>
      </c>
      <c r="C119" s="15"/>
      <c r="D119" s="15"/>
      <c r="E119" s="16"/>
    </row>
    <row r="120" spans="1:5" ht="15" hidden="1">
      <c r="A120" s="13">
        <v>118</v>
      </c>
      <c r="B120" s="14" t="s">
        <v>750</v>
      </c>
      <c r="C120" s="15"/>
      <c r="D120" s="15"/>
      <c r="E120" s="16"/>
    </row>
    <row r="121" spans="1:5" ht="15" hidden="1">
      <c r="A121" s="13">
        <v>119</v>
      </c>
      <c r="B121" s="14" t="s">
        <v>751</v>
      </c>
      <c r="C121" s="15"/>
      <c r="D121" s="15"/>
      <c r="E121" s="16"/>
    </row>
    <row r="122" spans="1:5" ht="15" hidden="1">
      <c r="A122" s="13">
        <v>120</v>
      </c>
      <c r="B122" s="14" t="s">
        <v>752</v>
      </c>
      <c r="C122" s="15"/>
      <c r="D122" s="15"/>
      <c r="E122" s="16"/>
    </row>
    <row r="123" spans="1:5" ht="15" hidden="1">
      <c r="A123" s="13">
        <v>121</v>
      </c>
      <c r="B123" s="14" t="s">
        <v>24</v>
      </c>
      <c r="C123" s="15"/>
      <c r="D123" s="15"/>
      <c r="E123" s="16"/>
    </row>
    <row r="124" spans="1:5" ht="15" hidden="1">
      <c r="A124" s="13">
        <v>122</v>
      </c>
      <c r="B124" s="14" t="s">
        <v>25</v>
      </c>
      <c r="C124" s="15"/>
      <c r="D124" s="15"/>
      <c r="E124" s="16"/>
    </row>
    <row r="125" spans="1:5" ht="15" hidden="1">
      <c r="A125" s="13">
        <v>123</v>
      </c>
      <c r="B125" s="14" t="s">
        <v>753</v>
      </c>
      <c r="C125" s="15"/>
      <c r="D125" s="15"/>
      <c r="E125" s="16"/>
    </row>
    <row r="126" spans="1:5" ht="15" hidden="1">
      <c r="A126" s="13">
        <v>124</v>
      </c>
      <c r="B126" s="14" t="s">
        <v>754</v>
      </c>
      <c r="C126" s="15"/>
      <c r="D126" s="15"/>
      <c r="E126" s="16"/>
    </row>
    <row r="127" spans="1:5" ht="15" hidden="1">
      <c r="A127" s="13">
        <v>125</v>
      </c>
      <c r="B127" s="14" t="s">
        <v>755</v>
      </c>
      <c r="C127" s="15"/>
      <c r="D127" s="15"/>
      <c r="E127" s="16"/>
    </row>
    <row r="128" spans="1:5" ht="15" hidden="1">
      <c r="A128" s="13">
        <v>126</v>
      </c>
      <c r="B128" s="14" t="s">
        <v>756</v>
      </c>
      <c r="C128" s="15"/>
      <c r="D128" s="15"/>
      <c r="E128" s="16"/>
    </row>
    <row r="129" spans="1:5" ht="15" hidden="1">
      <c r="A129" s="13">
        <v>127</v>
      </c>
      <c r="B129" s="14" t="s">
        <v>757</v>
      </c>
      <c r="C129" s="15"/>
      <c r="D129" s="15"/>
      <c r="E129" s="16"/>
    </row>
    <row r="130" spans="1:5" ht="15" hidden="1">
      <c r="A130" s="13">
        <v>128</v>
      </c>
      <c r="B130" s="14" t="s">
        <v>758</v>
      </c>
      <c r="C130" s="15"/>
      <c r="D130" s="15"/>
      <c r="E130" s="16"/>
    </row>
    <row r="131" spans="1:5" ht="15" hidden="1">
      <c r="A131" s="13">
        <v>129</v>
      </c>
      <c r="B131" s="14" t="s">
        <v>759</v>
      </c>
      <c r="C131" s="15"/>
      <c r="D131" s="15"/>
      <c r="E131" s="16"/>
    </row>
    <row r="132" spans="1:5" ht="15" hidden="1">
      <c r="A132" s="13">
        <v>130</v>
      </c>
      <c r="B132" s="14" t="s">
        <v>760</v>
      </c>
      <c r="C132" s="15"/>
      <c r="D132" s="15"/>
      <c r="E132" s="16"/>
    </row>
    <row r="133" spans="1:5" ht="15" hidden="1">
      <c r="A133" s="13">
        <v>131</v>
      </c>
      <c r="B133" s="14" t="s">
        <v>761</v>
      </c>
      <c r="C133" s="15"/>
      <c r="D133" s="15"/>
      <c r="E133" s="16"/>
    </row>
    <row r="134" spans="1:5" ht="15" hidden="1">
      <c r="A134" s="13">
        <v>132</v>
      </c>
      <c r="B134" s="14" t="s">
        <v>762</v>
      </c>
      <c r="C134" s="15"/>
      <c r="D134" s="15"/>
      <c r="E134" s="16"/>
    </row>
    <row r="135" spans="1:5" ht="15" hidden="1">
      <c r="A135" s="13">
        <v>133</v>
      </c>
      <c r="B135" s="14" t="s">
        <v>763</v>
      </c>
      <c r="C135" s="15"/>
      <c r="D135" s="15"/>
      <c r="E135" s="16"/>
    </row>
    <row r="136" spans="1:5" ht="15" hidden="1">
      <c r="A136" s="13">
        <v>134</v>
      </c>
      <c r="B136" s="14" t="s">
        <v>764</v>
      </c>
      <c r="C136" s="15"/>
      <c r="D136" s="15"/>
      <c r="E136" s="16"/>
    </row>
    <row r="137" spans="1:5" ht="15" hidden="1">
      <c r="A137" s="13">
        <v>135</v>
      </c>
      <c r="B137" s="14" t="s">
        <v>765</v>
      </c>
      <c r="C137" s="15"/>
      <c r="D137" s="15"/>
      <c r="E137" s="16"/>
    </row>
    <row r="138" spans="1:5" ht="15" hidden="1">
      <c r="A138" s="13">
        <v>136</v>
      </c>
      <c r="B138" s="14" t="s">
        <v>766</v>
      </c>
      <c r="C138" s="15"/>
      <c r="D138" s="15"/>
      <c r="E138" s="16"/>
    </row>
    <row r="139" spans="1:5" ht="15" hidden="1">
      <c r="A139" s="13">
        <v>137</v>
      </c>
      <c r="B139" s="14" t="s">
        <v>1098</v>
      </c>
      <c r="C139" s="15"/>
      <c r="D139" s="15"/>
      <c r="E139" s="16"/>
    </row>
    <row r="140" spans="1:5" ht="15" hidden="1">
      <c r="A140" s="13">
        <v>138</v>
      </c>
      <c r="B140" s="14" t="s">
        <v>1099</v>
      </c>
      <c r="C140" s="15"/>
      <c r="D140" s="15"/>
      <c r="E140" s="16"/>
    </row>
    <row r="141" spans="1:5" ht="15" hidden="1">
      <c r="A141" s="13">
        <v>139</v>
      </c>
      <c r="B141" s="14" t="s">
        <v>1100</v>
      </c>
      <c r="C141" s="15"/>
      <c r="D141" s="15"/>
      <c r="E141" s="16"/>
    </row>
    <row r="142" spans="1:5" ht="15" hidden="1">
      <c r="A142" s="13">
        <v>140</v>
      </c>
      <c r="B142" s="14" t="s">
        <v>1101</v>
      </c>
      <c r="C142" s="15"/>
      <c r="D142" s="15"/>
      <c r="E142" s="16"/>
    </row>
    <row r="143" spans="1:5" ht="15" hidden="1">
      <c r="A143" s="13">
        <v>141</v>
      </c>
      <c r="B143" s="14" t="s">
        <v>767</v>
      </c>
      <c r="C143" s="15"/>
      <c r="D143" s="15"/>
      <c r="E143" s="16"/>
    </row>
    <row r="144" spans="1:5" ht="15" hidden="1">
      <c r="A144" s="13">
        <v>142</v>
      </c>
      <c r="B144" s="14" t="s">
        <v>768</v>
      </c>
      <c r="C144" s="15"/>
      <c r="D144" s="15"/>
      <c r="E144" s="16"/>
    </row>
    <row r="145" spans="1:5" ht="15" hidden="1">
      <c r="A145" s="13">
        <v>143</v>
      </c>
      <c r="B145" s="14" t="s">
        <v>769</v>
      </c>
      <c r="C145" s="15"/>
      <c r="D145" s="15"/>
      <c r="E145" s="16"/>
    </row>
    <row r="146" spans="1:5" ht="15" hidden="1">
      <c r="A146" s="13">
        <v>144</v>
      </c>
      <c r="B146" s="14" t="s">
        <v>770</v>
      </c>
      <c r="C146" s="15"/>
      <c r="D146" s="15"/>
      <c r="E146" s="16"/>
    </row>
    <row r="147" spans="1:5" ht="30" hidden="1">
      <c r="A147" s="13">
        <v>145</v>
      </c>
      <c r="B147" s="14" t="s">
        <v>26</v>
      </c>
      <c r="C147" s="15"/>
      <c r="D147" s="15"/>
      <c r="E147" s="16"/>
    </row>
    <row r="148" spans="1:5" ht="15" hidden="1">
      <c r="A148" s="13">
        <v>146</v>
      </c>
      <c r="B148" s="14" t="s">
        <v>27</v>
      </c>
      <c r="C148" s="15"/>
      <c r="D148" s="15"/>
      <c r="E148" s="16"/>
    </row>
    <row r="149" spans="1:5" ht="15">
      <c r="A149" s="13">
        <v>147</v>
      </c>
      <c r="B149" s="14" t="s">
        <v>28</v>
      </c>
      <c r="C149" s="15" t="s">
        <v>706</v>
      </c>
      <c r="D149" s="15">
        <v>1</v>
      </c>
      <c r="E149" s="15"/>
    </row>
    <row r="150" spans="1:5" ht="15" hidden="1">
      <c r="A150" s="13">
        <v>148</v>
      </c>
      <c r="B150" s="14" t="s">
        <v>771</v>
      </c>
      <c r="C150" s="15"/>
      <c r="D150" s="15"/>
      <c r="E150" s="16"/>
    </row>
    <row r="151" spans="1:5" ht="15" hidden="1">
      <c r="A151" s="13">
        <v>149</v>
      </c>
      <c r="B151" s="14" t="s">
        <v>772</v>
      </c>
      <c r="C151" s="15"/>
      <c r="D151" s="15"/>
      <c r="E151" s="16"/>
    </row>
    <row r="152" spans="1:5" ht="15" hidden="1">
      <c r="A152" s="13">
        <v>150</v>
      </c>
      <c r="B152" s="14" t="s">
        <v>773</v>
      </c>
      <c r="C152" s="15"/>
      <c r="D152" s="15"/>
      <c r="E152" s="16"/>
    </row>
    <row r="153" spans="1:5" ht="15" hidden="1">
      <c r="A153" s="13">
        <v>151</v>
      </c>
      <c r="B153" s="14" t="s">
        <v>774</v>
      </c>
      <c r="C153" s="15"/>
      <c r="D153" s="15"/>
      <c r="E153" s="16"/>
    </row>
    <row r="154" spans="1:5" ht="15" hidden="1">
      <c r="A154" s="13">
        <v>152</v>
      </c>
      <c r="B154" s="14" t="s">
        <v>775</v>
      </c>
      <c r="C154" s="15"/>
      <c r="D154" s="15"/>
      <c r="E154" s="16"/>
    </row>
    <row r="155" spans="1:5" ht="15" hidden="1">
      <c r="A155" s="13">
        <v>153</v>
      </c>
      <c r="B155" s="14" t="s">
        <v>776</v>
      </c>
      <c r="C155" s="15"/>
      <c r="D155" s="15"/>
      <c r="E155" s="16"/>
    </row>
    <row r="156" spans="1:5" ht="15" hidden="1">
      <c r="A156" s="13">
        <v>154</v>
      </c>
      <c r="B156" s="14" t="s">
        <v>777</v>
      </c>
      <c r="C156" s="15"/>
      <c r="D156" s="15"/>
      <c r="E156" s="16"/>
    </row>
    <row r="157" spans="1:5" ht="15" hidden="1">
      <c r="A157" s="13">
        <v>155</v>
      </c>
      <c r="B157" s="14" t="s">
        <v>778</v>
      </c>
      <c r="C157" s="15"/>
      <c r="D157" s="15"/>
      <c r="E157" s="16"/>
    </row>
    <row r="158" spans="1:5" ht="15" hidden="1">
      <c r="A158" s="13">
        <v>156</v>
      </c>
      <c r="B158" s="14" t="s">
        <v>779</v>
      </c>
      <c r="C158" s="15"/>
      <c r="D158" s="15"/>
      <c r="E158" s="16"/>
    </row>
    <row r="159" spans="1:5" ht="15" hidden="1">
      <c r="A159" s="13">
        <v>157</v>
      </c>
      <c r="B159" s="14" t="s">
        <v>780</v>
      </c>
      <c r="C159" s="15"/>
      <c r="D159" s="15"/>
      <c r="E159" s="16"/>
    </row>
    <row r="160" spans="1:5" ht="15" hidden="1">
      <c r="A160" s="13">
        <v>158</v>
      </c>
      <c r="B160" s="14" t="s">
        <v>781</v>
      </c>
      <c r="C160" s="15"/>
      <c r="D160" s="15"/>
      <c r="E160" s="16"/>
    </row>
    <row r="161" spans="1:5" ht="15" hidden="1">
      <c r="A161" s="13">
        <v>159</v>
      </c>
      <c r="B161" s="14" t="s">
        <v>782</v>
      </c>
      <c r="C161" s="15"/>
      <c r="D161" s="15"/>
      <c r="E161" s="16"/>
    </row>
    <row r="162" spans="1:5" ht="15" hidden="1">
      <c r="A162" s="13">
        <v>160</v>
      </c>
      <c r="B162" s="14" t="s">
        <v>783</v>
      </c>
      <c r="C162" s="15"/>
      <c r="D162" s="15"/>
      <c r="E162" s="16"/>
    </row>
    <row r="163" spans="1:5" ht="15" hidden="1">
      <c r="A163" s="13">
        <v>161</v>
      </c>
      <c r="B163" s="14" t="s">
        <v>784</v>
      </c>
      <c r="C163" s="15"/>
      <c r="D163" s="15"/>
      <c r="E163" s="16"/>
    </row>
    <row r="164" spans="1:5" ht="15" hidden="1">
      <c r="A164" s="13">
        <v>162</v>
      </c>
      <c r="B164" s="14" t="s">
        <v>785</v>
      </c>
      <c r="C164" s="15"/>
      <c r="D164" s="15"/>
      <c r="E164" s="16"/>
    </row>
    <row r="165" spans="1:5" ht="15" hidden="1">
      <c r="A165" s="13">
        <v>163</v>
      </c>
      <c r="B165" s="14" t="s">
        <v>786</v>
      </c>
      <c r="C165" s="15"/>
      <c r="D165" s="15"/>
      <c r="E165" s="16"/>
    </row>
    <row r="166" spans="1:5" ht="15" hidden="1">
      <c r="A166" s="13">
        <v>164</v>
      </c>
      <c r="B166" s="14" t="s">
        <v>29</v>
      </c>
      <c r="C166" s="15"/>
      <c r="D166" s="15"/>
      <c r="E166" s="16"/>
    </row>
    <row r="167" spans="1:5" ht="15" hidden="1">
      <c r="A167" s="13">
        <v>165</v>
      </c>
      <c r="B167" s="14" t="s">
        <v>30</v>
      </c>
      <c r="C167" s="15"/>
      <c r="D167" s="15"/>
      <c r="E167" s="16"/>
    </row>
    <row r="168" spans="1:5" ht="15" hidden="1">
      <c r="A168" s="13">
        <v>166</v>
      </c>
      <c r="B168" s="14" t="s">
        <v>31</v>
      </c>
      <c r="C168" s="15"/>
      <c r="D168" s="15"/>
      <c r="E168" s="16"/>
    </row>
    <row r="169" spans="1:5" ht="15" hidden="1">
      <c r="A169" s="13">
        <v>167</v>
      </c>
      <c r="B169" s="14" t="s">
        <v>1102</v>
      </c>
      <c r="C169" s="15"/>
      <c r="D169" s="15"/>
      <c r="E169" s="16"/>
    </row>
    <row r="170" spans="1:5" ht="15" hidden="1">
      <c r="A170" s="13">
        <v>168</v>
      </c>
      <c r="B170" s="14" t="s">
        <v>1102</v>
      </c>
      <c r="C170" s="15"/>
      <c r="D170" s="15"/>
      <c r="E170" s="16"/>
    </row>
    <row r="171" spans="1:5" ht="15" hidden="1">
      <c r="A171" s="13">
        <v>169</v>
      </c>
      <c r="B171" s="14" t="s">
        <v>1102</v>
      </c>
      <c r="C171" s="15"/>
      <c r="D171" s="15"/>
      <c r="E171" s="16"/>
    </row>
    <row r="172" spans="1:5" ht="15" hidden="1">
      <c r="A172" s="13">
        <v>170</v>
      </c>
      <c r="B172" s="14" t="s">
        <v>1102</v>
      </c>
      <c r="C172" s="15"/>
      <c r="D172" s="15"/>
      <c r="E172" s="16"/>
    </row>
    <row r="173" spans="1:5" ht="30" hidden="1">
      <c r="A173" s="13">
        <v>171</v>
      </c>
      <c r="B173" s="14" t="s">
        <v>1103</v>
      </c>
      <c r="C173" s="15"/>
      <c r="D173" s="15"/>
      <c r="E173" s="16"/>
    </row>
    <row r="174" spans="1:5" ht="30" hidden="1">
      <c r="A174" s="13">
        <v>172</v>
      </c>
      <c r="B174" s="14" t="s">
        <v>1104</v>
      </c>
      <c r="C174" s="15"/>
      <c r="D174" s="15"/>
      <c r="E174" s="16"/>
    </row>
    <row r="175" spans="1:5" ht="30" hidden="1">
      <c r="A175" s="13">
        <v>173</v>
      </c>
      <c r="B175" s="14" t="s">
        <v>1105</v>
      </c>
      <c r="C175" s="15"/>
      <c r="D175" s="15"/>
      <c r="E175" s="16"/>
    </row>
    <row r="176" spans="1:5" ht="30" hidden="1">
      <c r="A176" s="13">
        <v>174</v>
      </c>
      <c r="B176" s="14" t="s">
        <v>1106</v>
      </c>
      <c r="C176" s="15"/>
      <c r="D176" s="15"/>
      <c r="E176" s="16"/>
    </row>
    <row r="177" spans="1:5" ht="15" hidden="1">
      <c r="A177" s="13">
        <v>175</v>
      </c>
      <c r="B177" s="14" t="s">
        <v>54</v>
      </c>
      <c r="C177" s="15"/>
      <c r="D177" s="15"/>
      <c r="E177" s="16"/>
    </row>
    <row r="178" spans="1:5" ht="15" hidden="1">
      <c r="A178" s="13">
        <v>176</v>
      </c>
      <c r="B178" s="14" t="s">
        <v>55</v>
      </c>
      <c r="C178" s="15"/>
      <c r="D178" s="15"/>
      <c r="E178" s="16"/>
    </row>
    <row r="179" spans="1:5" ht="15" hidden="1">
      <c r="A179" s="13">
        <v>177</v>
      </c>
      <c r="B179" s="14" t="s">
        <v>56</v>
      </c>
      <c r="C179" s="15"/>
      <c r="D179" s="15"/>
      <c r="E179" s="16"/>
    </row>
    <row r="180" spans="1:5" ht="15" hidden="1">
      <c r="A180" s="13">
        <v>178</v>
      </c>
      <c r="B180" s="14" t="s">
        <v>57</v>
      </c>
      <c r="C180" s="15"/>
      <c r="D180" s="15"/>
      <c r="E180" s="16"/>
    </row>
    <row r="181" spans="1:5" ht="15" hidden="1">
      <c r="A181" s="13">
        <v>179</v>
      </c>
      <c r="B181" s="14" t="s">
        <v>58</v>
      </c>
      <c r="C181" s="15"/>
      <c r="D181" s="15"/>
      <c r="E181" s="16"/>
    </row>
    <row r="182" spans="1:5" ht="15" hidden="1">
      <c r="A182" s="13">
        <v>180</v>
      </c>
      <c r="B182" s="14" t="s">
        <v>59</v>
      </c>
      <c r="C182" s="15"/>
      <c r="D182" s="15"/>
      <c r="E182" s="16"/>
    </row>
    <row r="183" spans="1:5" ht="30" hidden="1">
      <c r="A183" s="13">
        <v>181</v>
      </c>
      <c r="B183" s="14" t="s">
        <v>61</v>
      </c>
      <c r="C183" s="15"/>
      <c r="D183" s="15"/>
      <c r="E183" s="16"/>
    </row>
    <row r="184" spans="1:5" ht="30" hidden="1">
      <c r="A184" s="13">
        <v>182</v>
      </c>
      <c r="B184" s="14" t="s">
        <v>62</v>
      </c>
      <c r="C184" s="15"/>
      <c r="D184" s="15"/>
      <c r="E184" s="16"/>
    </row>
    <row r="185" spans="1:5" ht="30" hidden="1">
      <c r="A185" s="13">
        <v>183</v>
      </c>
      <c r="B185" s="14" t="s">
        <v>60</v>
      </c>
      <c r="C185" s="15"/>
      <c r="D185" s="15"/>
      <c r="E185" s="16"/>
    </row>
    <row r="186" spans="1:5" ht="15" hidden="1">
      <c r="A186" s="13">
        <v>184</v>
      </c>
      <c r="B186" s="14" t="s">
        <v>787</v>
      </c>
      <c r="C186" s="15"/>
      <c r="D186" s="15"/>
      <c r="E186" s="16"/>
    </row>
    <row r="187" spans="1:5" ht="15" hidden="1">
      <c r="A187" s="13">
        <v>185</v>
      </c>
      <c r="B187" s="14" t="s">
        <v>788</v>
      </c>
      <c r="C187" s="15"/>
      <c r="D187" s="15"/>
      <c r="E187" s="16"/>
    </row>
    <row r="188" spans="1:5" ht="15" hidden="1">
      <c r="A188" s="13">
        <v>186</v>
      </c>
      <c r="B188" s="14" t="s">
        <v>789</v>
      </c>
      <c r="C188" s="15"/>
      <c r="D188" s="15"/>
      <c r="E188" s="16"/>
    </row>
    <row r="189" spans="1:5" ht="15" hidden="1">
      <c r="A189" s="13">
        <v>187</v>
      </c>
      <c r="B189" s="14" t="s">
        <v>790</v>
      </c>
      <c r="C189" s="15"/>
      <c r="D189" s="15"/>
      <c r="E189" s="16"/>
    </row>
    <row r="190" spans="1:5" ht="15" hidden="1">
      <c r="A190" s="13">
        <v>188</v>
      </c>
      <c r="B190" s="14" t="s">
        <v>791</v>
      </c>
      <c r="C190" s="15"/>
      <c r="D190" s="15"/>
      <c r="E190" s="16"/>
    </row>
    <row r="191" spans="1:5" ht="15" hidden="1">
      <c r="A191" s="13">
        <v>189</v>
      </c>
      <c r="B191" s="14" t="s">
        <v>792</v>
      </c>
      <c r="C191" s="15"/>
      <c r="D191" s="15"/>
      <c r="E191" s="16"/>
    </row>
    <row r="192" spans="1:5" ht="15" hidden="1">
      <c r="A192" s="13">
        <v>190</v>
      </c>
      <c r="B192" s="14" t="s">
        <v>793</v>
      </c>
      <c r="C192" s="15"/>
      <c r="D192" s="15"/>
      <c r="E192" s="16"/>
    </row>
    <row r="193" spans="1:5" ht="15" hidden="1">
      <c r="A193" s="13">
        <v>191</v>
      </c>
      <c r="B193" s="14" t="s">
        <v>794</v>
      </c>
      <c r="C193" s="15"/>
      <c r="D193" s="15"/>
      <c r="E193" s="16"/>
    </row>
    <row r="194" spans="1:5" ht="15" hidden="1">
      <c r="A194" s="13">
        <v>192</v>
      </c>
      <c r="B194" s="14" t="s">
        <v>795</v>
      </c>
      <c r="C194" s="15"/>
      <c r="D194" s="15"/>
      <c r="E194" s="16"/>
    </row>
    <row r="195" spans="1:5" ht="15" hidden="1">
      <c r="A195" s="13">
        <v>193</v>
      </c>
      <c r="B195" s="14" t="s">
        <v>796</v>
      </c>
      <c r="C195" s="15"/>
      <c r="D195" s="15"/>
      <c r="E195" s="16"/>
    </row>
    <row r="196" spans="1:5" ht="15" hidden="1">
      <c r="A196" s="13">
        <v>194</v>
      </c>
      <c r="B196" s="14" t="s">
        <v>797</v>
      </c>
      <c r="C196" s="15"/>
      <c r="D196" s="15"/>
      <c r="E196" s="16"/>
    </row>
    <row r="197" spans="1:5" ht="15" hidden="1">
      <c r="A197" s="13">
        <v>195</v>
      </c>
      <c r="B197" s="14" t="s">
        <v>798</v>
      </c>
      <c r="C197" s="15"/>
      <c r="D197" s="15"/>
      <c r="E197" s="16"/>
    </row>
    <row r="198" spans="1:5" ht="15" hidden="1">
      <c r="A198" s="13">
        <v>196</v>
      </c>
      <c r="B198" s="14" t="s">
        <v>799</v>
      </c>
      <c r="C198" s="15"/>
      <c r="D198" s="15"/>
      <c r="E198" s="16"/>
    </row>
    <row r="199" spans="1:5" ht="15" hidden="1">
      <c r="A199" s="13">
        <v>197</v>
      </c>
      <c r="B199" s="14" t="s">
        <v>800</v>
      </c>
      <c r="C199" s="15"/>
      <c r="D199" s="15"/>
      <c r="E199" s="16"/>
    </row>
    <row r="200" spans="1:5" ht="15" hidden="1">
      <c r="A200" s="13">
        <v>198</v>
      </c>
      <c r="B200" s="14" t="s">
        <v>1133</v>
      </c>
      <c r="C200" s="15"/>
      <c r="D200" s="15"/>
      <c r="E200" s="16"/>
    </row>
    <row r="201" spans="1:5" ht="18.75" hidden="1" customHeight="1">
      <c r="A201" s="13">
        <v>199</v>
      </c>
      <c r="B201" s="14" t="s">
        <v>1134</v>
      </c>
      <c r="C201" s="15"/>
      <c r="D201" s="15"/>
      <c r="E201" s="16"/>
    </row>
    <row r="202" spans="1:5" ht="15" hidden="1">
      <c r="A202" s="13">
        <v>200</v>
      </c>
      <c r="B202" s="14" t="s">
        <v>1134</v>
      </c>
      <c r="C202" s="15"/>
      <c r="D202" s="15"/>
      <c r="E202" s="16"/>
    </row>
    <row r="203" spans="1:5" ht="15" hidden="1">
      <c r="A203" s="13">
        <v>201</v>
      </c>
      <c r="B203" s="14" t="s">
        <v>1134</v>
      </c>
      <c r="C203" s="15"/>
      <c r="D203" s="15"/>
      <c r="E203" s="16"/>
    </row>
    <row r="204" spans="1:5" ht="15" hidden="1">
      <c r="A204" s="13">
        <v>202</v>
      </c>
      <c r="B204" s="14" t="s">
        <v>1134</v>
      </c>
      <c r="C204" s="15"/>
      <c r="D204" s="15"/>
      <c r="E204" s="16"/>
    </row>
    <row r="205" spans="1:5" ht="15" hidden="1">
      <c r="A205" s="13">
        <v>203</v>
      </c>
      <c r="B205" s="14" t="s">
        <v>1134</v>
      </c>
      <c r="C205" s="15"/>
      <c r="D205" s="15"/>
      <c r="E205" s="16"/>
    </row>
    <row r="206" spans="1:5" ht="15" hidden="1">
      <c r="A206" s="13">
        <v>204</v>
      </c>
      <c r="B206" s="14" t="s">
        <v>1134</v>
      </c>
      <c r="C206" s="15"/>
      <c r="D206" s="15"/>
      <c r="E206" s="16"/>
    </row>
    <row r="207" spans="1:5" ht="15" hidden="1">
      <c r="A207" s="13">
        <v>205</v>
      </c>
      <c r="B207" s="14" t="s">
        <v>1134</v>
      </c>
      <c r="C207" s="15"/>
      <c r="D207" s="15"/>
      <c r="E207" s="16"/>
    </row>
    <row r="208" spans="1:5" ht="15" hidden="1">
      <c r="A208" s="13">
        <v>206</v>
      </c>
      <c r="B208" s="14" t="s">
        <v>1134</v>
      </c>
      <c r="C208" s="15"/>
      <c r="D208" s="15"/>
      <c r="E208" s="16"/>
    </row>
    <row r="209" spans="1:5" ht="15" hidden="1">
      <c r="A209" s="13">
        <v>207</v>
      </c>
      <c r="B209" s="14" t="s">
        <v>1134</v>
      </c>
      <c r="C209" s="15"/>
      <c r="D209" s="15"/>
      <c r="E209" s="16"/>
    </row>
    <row r="210" spans="1:5" ht="15" hidden="1">
      <c r="A210" s="13">
        <v>208</v>
      </c>
      <c r="B210" s="14" t="s">
        <v>1134</v>
      </c>
      <c r="C210" s="15"/>
      <c r="D210" s="15"/>
      <c r="E210" s="16"/>
    </row>
    <row r="211" spans="1:5" ht="15" hidden="1">
      <c r="A211" s="13">
        <v>209</v>
      </c>
      <c r="B211" s="14" t="s">
        <v>1134</v>
      </c>
      <c r="C211" s="15"/>
      <c r="D211" s="15"/>
      <c r="E211" s="16"/>
    </row>
    <row r="212" spans="1:5" ht="15" hidden="1">
      <c r="A212" s="13">
        <v>210</v>
      </c>
      <c r="B212" s="14" t="s">
        <v>1134</v>
      </c>
      <c r="C212" s="15"/>
      <c r="D212" s="15"/>
      <c r="E212" s="16"/>
    </row>
    <row r="213" spans="1:5" ht="15" hidden="1">
      <c r="A213" s="13">
        <v>211</v>
      </c>
      <c r="B213" s="14" t="s">
        <v>1134</v>
      </c>
      <c r="C213" s="15"/>
      <c r="D213" s="15"/>
      <c r="E213" s="16"/>
    </row>
    <row r="214" spans="1:5" ht="15" hidden="1">
      <c r="A214" s="13">
        <v>212</v>
      </c>
      <c r="B214" s="14" t="s">
        <v>1134</v>
      </c>
      <c r="C214" s="15"/>
      <c r="D214" s="15"/>
      <c r="E214" s="16"/>
    </row>
    <row r="215" spans="1:5" ht="15" hidden="1">
      <c r="A215" s="13">
        <v>213</v>
      </c>
      <c r="B215" s="14" t="s">
        <v>1134</v>
      </c>
      <c r="C215" s="15"/>
      <c r="D215" s="15"/>
      <c r="E215" s="16"/>
    </row>
    <row r="216" spans="1:5" s="18" customFormat="1" ht="15" hidden="1">
      <c r="A216" s="13">
        <v>214</v>
      </c>
      <c r="B216" s="14" t="s">
        <v>801</v>
      </c>
      <c r="C216" s="15"/>
      <c r="D216" s="15"/>
      <c r="E216" s="17"/>
    </row>
    <row r="217" spans="1:5" ht="15" hidden="1">
      <c r="A217" s="13">
        <v>215</v>
      </c>
      <c r="B217" s="14" t="s">
        <v>802</v>
      </c>
      <c r="C217" s="15"/>
      <c r="D217" s="15"/>
      <c r="E217" s="16"/>
    </row>
    <row r="218" spans="1:5" ht="15" hidden="1">
      <c r="A218" s="13">
        <v>216</v>
      </c>
      <c r="B218" s="14" t="s">
        <v>803</v>
      </c>
      <c r="C218" s="15"/>
      <c r="D218" s="15"/>
      <c r="E218" s="16"/>
    </row>
    <row r="219" spans="1:5" ht="15" hidden="1">
      <c r="A219" s="13">
        <v>217</v>
      </c>
      <c r="B219" s="14" t="s">
        <v>804</v>
      </c>
      <c r="C219" s="15"/>
      <c r="D219" s="15"/>
      <c r="E219" s="16"/>
    </row>
    <row r="220" spans="1:5" ht="15" hidden="1">
      <c r="A220" s="13">
        <v>218</v>
      </c>
      <c r="B220" s="14" t="s">
        <v>805</v>
      </c>
      <c r="C220" s="15"/>
      <c r="D220" s="15"/>
      <c r="E220" s="16"/>
    </row>
    <row r="221" spans="1:5" ht="15" hidden="1">
      <c r="A221" s="13">
        <v>219</v>
      </c>
      <c r="B221" s="14" t="s">
        <v>806</v>
      </c>
      <c r="C221" s="15"/>
      <c r="D221" s="15"/>
      <c r="E221" s="16"/>
    </row>
    <row r="222" spans="1:5" ht="15" hidden="1">
      <c r="A222" s="13">
        <v>220</v>
      </c>
      <c r="B222" s="14" t="s">
        <v>807</v>
      </c>
      <c r="C222" s="15"/>
      <c r="D222" s="15"/>
      <c r="E222" s="16"/>
    </row>
    <row r="223" spans="1:5" ht="15" hidden="1">
      <c r="A223" s="13">
        <v>221</v>
      </c>
      <c r="B223" s="14" t="s">
        <v>808</v>
      </c>
      <c r="C223" s="15"/>
      <c r="D223" s="15"/>
      <c r="E223" s="16"/>
    </row>
    <row r="224" spans="1:5" ht="15" hidden="1">
      <c r="A224" s="13">
        <v>222</v>
      </c>
      <c r="B224" s="14" t="s">
        <v>809</v>
      </c>
      <c r="C224" s="15"/>
      <c r="D224" s="15"/>
      <c r="E224" s="16"/>
    </row>
    <row r="225" spans="1:5" s="18" customFormat="1" ht="30" hidden="1">
      <c r="A225" s="13">
        <v>223</v>
      </c>
      <c r="B225" s="14" t="s">
        <v>810</v>
      </c>
      <c r="C225" s="15"/>
      <c r="D225" s="15"/>
      <c r="E225" s="17"/>
    </row>
    <row r="226" spans="1:5" ht="30" hidden="1">
      <c r="A226" s="13">
        <v>224</v>
      </c>
      <c r="B226" s="14" t="s">
        <v>811</v>
      </c>
      <c r="C226" s="15"/>
      <c r="D226" s="15"/>
      <c r="E226" s="16"/>
    </row>
    <row r="227" spans="1:5" ht="30" hidden="1">
      <c r="A227" s="13">
        <v>225</v>
      </c>
      <c r="B227" s="14" t="s">
        <v>812</v>
      </c>
      <c r="C227" s="15"/>
      <c r="D227" s="15"/>
      <c r="E227" s="16"/>
    </row>
    <row r="228" spans="1:5" ht="30" hidden="1">
      <c r="A228" s="13">
        <v>226</v>
      </c>
      <c r="B228" s="14" t="s">
        <v>813</v>
      </c>
      <c r="C228" s="15"/>
      <c r="D228" s="15"/>
      <c r="E228" s="16"/>
    </row>
    <row r="229" spans="1:5" ht="30" hidden="1">
      <c r="A229" s="13">
        <v>227</v>
      </c>
      <c r="B229" s="14" t="s">
        <v>814</v>
      </c>
      <c r="C229" s="15"/>
      <c r="D229" s="15"/>
      <c r="E229" s="16"/>
    </row>
    <row r="230" spans="1:5" s="18" customFormat="1" ht="30" hidden="1">
      <c r="A230" s="13">
        <v>228</v>
      </c>
      <c r="B230" s="14" t="s">
        <v>815</v>
      </c>
      <c r="C230" s="15"/>
      <c r="D230" s="15"/>
      <c r="E230" s="17"/>
    </row>
    <row r="231" spans="1:5" ht="30" hidden="1">
      <c r="A231" s="13">
        <v>229</v>
      </c>
      <c r="B231" s="14" t="s">
        <v>816</v>
      </c>
      <c r="C231" s="15"/>
      <c r="D231" s="15"/>
      <c r="E231" s="16"/>
    </row>
    <row r="232" spans="1:5" ht="30" hidden="1">
      <c r="A232" s="13">
        <v>230</v>
      </c>
      <c r="B232" s="14" t="s">
        <v>817</v>
      </c>
      <c r="C232" s="15"/>
      <c r="D232" s="15"/>
      <c r="E232" s="16"/>
    </row>
    <row r="233" spans="1:5" ht="30" hidden="1">
      <c r="A233" s="13">
        <v>231</v>
      </c>
      <c r="B233" s="14" t="s">
        <v>818</v>
      </c>
      <c r="C233" s="15"/>
      <c r="D233" s="15"/>
      <c r="E233" s="16"/>
    </row>
    <row r="234" spans="1:5" ht="15" hidden="1">
      <c r="A234" s="13">
        <v>232</v>
      </c>
      <c r="B234" s="14" t="s">
        <v>819</v>
      </c>
      <c r="C234" s="15"/>
      <c r="D234" s="15"/>
      <c r="E234" s="16"/>
    </row>
    <row r="235" spans="1:5" ht="15" hidden="1">
      <c r="A235" s="13">
        <v>233</v>
      </c>
      <c r="B235" s="14" t="s">
        <v>820</v>
      </c>
      <c r="C235" s="15"/>
      <c r="D235" s="15"/>
      <c r="E235" s="16"/>
    </row>
    <row r="236" spans="1:5" ht="15" hidden="1">
      <c r="A236" s="13">
        <v>234</v>
      </c>
      <c r="B236" s="14" t="s">
        <v>821</v>
      </c>
      <c r="C236" s="15"/>
      <c r="D236" s="15"/>
      <c r="E236" s="16"/>
    </row>
    <row r="237" spans="1:5" ht="15" hidden="1">
      <c r="A237" s="13">
        <v>235</v>
      </c>
      <c r="B237" s="14" t="s">
        <v>822</v>
      </c>
      <c r="C237" s="15"/>
      <c r="D237" s="15"/>
      <c r="E237" s="16"/>
    </row>
    <row r="238" spans="1:5" ht="15">
      <c r="A238" s="13">
        <v>236</v>
      </c>
      <c r="B238" s="14" t="s">
        <v>951</v>
      </c>
      <c r="C238" s="15" t="s">
        <v>706</v>
      </c>
      <c r="D238" s="15">
        <v>1</v>
      </c>
      <c r="E238" s="15"/>
    </row>
    <row r="239" spans="1:5" ht="15">
      <c r="A239" s="13">
        <v>237</v>
      </c>
      <c r="B239" s="14" t="s">
        <v>952</v>
      </c>
      <c r="C239" s="15" t="s">
        <v>707</v>
      </c>
      <c r="D239" s="15">
        <v>2</v>
      </c>
      <c r="E239" s="15"/>
    </row>
    <row r="240" spans="1:5" ht="15" hidden="1">
      <c r="A240" s="13">
        <v>238</v>
      </c>
      <c r="B240" s="14" t="s">
        <v>1107</v>
      </c>
      <c r="C240" s="15"/>
      <c r="D240" s="15"/>
      <c r="E240" s="16"/>
    </row>
    <row r="241" spans="1:5" ht="15">
      <c r="A241" s="13">
        <v>239</v>
      </c>
      <c r="B241" s="14" t="s">
        <v>953</v>
      </c>
      <c r="C241" s="15" t="s">
        <v>706</v>
      </c>
      <c r="D241" s="15">
        <v>1</v>
      </c>
      <c r="E241" s="15"/>
    </row>
    <row r="242" spans="1:5" s="18" customFormat="1" ht="15" hidden="1">
      <c r="A242" s="13">
        <v>240</v>
      </c>
      <c r="B242" s="19" t="s">
        <v>32</v>
      </c>
      <c r="C242" s="15"/>
      <c r="D242" s="15"/>
      <c r="E242" s="17"/>
    </row>
    <row r="243" spans="1:5" s="18" customFormat="1" ht="15" hidden="1">
      <c r="A243" s="13">
        <v>241</v>
      </c>
      <c r="B243" s="19" t="s">
        <v>33</v>
      </c>
      <c r="C243" s="15"/>
      <c r="D243" s="15"/>
      <c r="E243" s="17"/>
    </row>
    <row r="244" spans="1:5" s="18" customFormat="1" ht="15" hidden="1">
      <c r="A244" s="13">
        <v>242</v>
      </c>
      <c r="B244" s="19" t="s">
        <v>34</v>
      </c>
      <c r="C244" s="15"/>
      <c r="D244" s="15"/>
      <c r="E244" s="17"/>
    </row>
    <row r="245" spans="1:5" s="18" customFormat="1" ht="15" hidden="1">
      <c r="A245" s="13">
        <v>243</v>
      </c>
      <c r="B245" s="19" t="s">
        <v>35</v>
      </c>
      <c r="C245" s="15"/>
      <c r="D245" s="15"/>
      <c r="E245" s="17"/>
    </row>
    <row r="246" spans="1:5" s="18" customFormat="1" ht="15" hidden="1">
      <c r="A246" s="13">
        <v>244</v>
      </c>
      <c r="B246" s="19" t="s">
        <v>36</v>
      </c>
      <c r="C246" s="15"/>
      <c r="D246" s="15"/>
      <c r="E246" s="17"/>
    </row>
    <row r="247" spans="1:5" s="18" customFormat="1" ht="15" hidden="1">
      <c r="A247" s="13">
        <v>245</v>
      </c>
      <c r="B247" s="19" t="s">
        <v>37</v>
      </c>
      <c r="C247" s="15"/>
      <c r="D247" s="15"/>
      <c r="E247" s="17"/>
    </row>
    <row r="248" spans="1:5" s="18" customFormat="1" ht="15" hidden="1">
      <c r="A248" s="13">
        <v>246</v>
      </c>
      <c r="B248" s="19" t="s">
        <v>38</v>
      </c>
      <c r="C248" s="15"/>
      <c r="D248" s="15"/>
      <c r="E248" s="17"/>
    </row>
    <row r="249" spans="1:5" s="18" customFormat="1" ht="15" hidden="1">
      <c r="A249" s="13">
        <v>247</v>
      </c>
      <c r="B249" s="19" t="s">
        <v>39</v>
      </c>
      <c r="C249" s="15"/>
      <c r="D249" s="15"/>
      <c r="E249" s="17"/>
    </row>
    <row r="250" spans="1:5" s="18" customFormat="1" ht="15" hidden="1">
      <c r="A250" s="13">
        <v>248</v>
      </c>
      <c r="B250" s="19" t="s">
        <v>40</v>
      </c>
      <c r="C250" s="15"/>
      <c r="D250" s="15"/>
      <c r="E250" s="17"/>
    </row>
    <row r="251" spans="1:5" s="18" customFormat="1" ht="15" hidden="1">
      <c r="A251" s="13">
        <v>249</v>
      </c>
      <c r="B251" s="19" t="s">
        <v>41</v>
      </c>
      <c r="C251" s="15"/>
      <c r="D251" s="15"/>
      <c r="E251" s="17"/>
    </row>
    <row r="252" spans="1:5" s="18" customFormat="1" ht="15" hidden="1">
      <c r="A252" s="13">
        <v>250</v>
      </c>
      <c r="B252" s="19" t="s">
        <v>42</v>
      </c>
      <c r="C252" s="15"/>
      <c r="D252" s="15"/>
      <c r="E252" s="17"/>
    </row>
    <row r="253" spans="1:5" s="18" customFormat="1" ht="15" hidden="1">
      <c r="A253" s="13">
        <v>251</v>
      </c>
      <c r="B253" s="19" t="s">
        <v>43</v>
      </c>
      <c r="C253" s="15"/>
      <c r="D253" s="15"/>
      <c r="E253" s="17"/>
    </row>
    <row r="254" spans="1:5" s="18" customFormat="1" ht="15" hidden="1">
      <c r="A254" s="13">
        <v>252</v>
      </c>
      <c r="B254" s="19" t="s">
        <v>44</v>
      </c>
      <c r="C254" s="15"/>
      <c r="D254" s="15"/>
      <c r="E254" s="17"/>
    </row>
    <row r="255" spans="1:5" s="18" customFormat="1" ht="15" hidden="1">
      <c r="A255" s="13">
        <v>253</v>
      </c>
      <c r="B255" s="19" t="s">
        <v>45</v>
      </c>
      <c r="C255" s="15"/>
      <c r="D255" s="15"/>
      <c r="E255" s="17"/>
    </row>
    <row r="256" spans="1:5" ht="15" hidden="1">
      <c r="A256" s="13">
        <v>254</v>
      </c>
      <c r="B256" s="19" t="s">
        <v>136</v>
      </c>
      <c r="C256" s="15"/>
      <c r="D256" s="15"/>
      <c r="E256" s="16"/>
    </row>
    <row r="257" spans="1:5" ht="15" hidden="1">
      <c r="A257" s="13">
        <v>255</v>
      </c>
      <c r="B257" s="14" t="s">
        <v>1108</v>
      </c>
      <c r="C257" s="15"/>
      <c r="D257" s="15"/>
      <c r="E257" s="16"/>
    </row>
    <row r="258" spans="1:5" ht="15" hidden="1">
      <c r="A258" s="13">
        <v>256</v>
      </c>
      <c r="B258" s="14" t="s">
        <v>1109</v>
      </c>
      <c r="C258" s="15"/>
      <c r="D258" s="15"/>
      <c r="E258" s="16"/>
    </row>
    <row r="259" spans="1:5" ht="15" hidden="1">
      <c r="A259" s="13">
        <v>257</v>
      </c>
      <c r="B259" s="14" t="s">
        <v>1115</v>
      </c>
      <c r="C259" s="15"/>
      <c r="D259" s="15"/>
      <c r="E259" s="16"/>
    </row>
    <row r="260" spans="1:5" ht="15" hidden="1">
      <c r="A260" s="13">
        <v>258</v>
      </c>
      <c r="B260" s="14" t="s">
        <v>1110</v>
      </c>
      <c r="C260" s="15"/>
      <c r="D260" s="15"/>
      <c r="E260" s="16"/>
    </row>
    <row r="261" spans="1:5" ht="15" hidden="1">
      <c r="A261" s="13">
        <v>259</v>
      </c>
      <c r="B261" s="14" t="s">
        <v>1111</v>
      </c>
      <c r="C261" s="15"/>
      <c r="D261" s="15"/>
      <c r="E261" s="16"/>
    </row>
    <row r="262" spans="1:5" ht="15" hidden="1">
      <c r="A262" s="13">
        <v>260</v>
      </c>
      <c r="B262" s="14" t="s">
        <v>1112</v>
      </c>
      <c r="C262" s="15"/>
      <c r="D262" s="15"/>
      <c r="E262" s="16"/>
    </row>
    <row r="263" spans="1:5" ht="15" hidden="1">
      <c r="A263" s="13">
        <v>261</v>
      </c>
      <c r="B263" s="14" t="s">
        <v>1113</v>
      </c>
      <c r="C263" s="15"/>
      <c r="D263" s="15"/>
      <c r="E263" s="16"/>
    </row>
    <row r="264" spans="1:5" ht="15" hidden="1">
      <c r="A264" s="13">
        <v>262</v>
      </c>
      <c r="B264" s="14" t="s">
        <v>1114</v>
      </c>
      <c r="C264" s="15"/>
      <c r="D264" s="15"/>
      <c r="E264" s="16"/>
    </row>
    <row r="265" spans="1:5" ht="15" hidden="1">
      <c r="A265" s="13">
        <v>263</v>
      </c>
      <c r="B265" s="19" t="s">
        <v>63</v>
      </c>
      <c r="C265" s="15"/>
      <c r="D265" s="15"/>
      <c r="E265" s="16"/>
    </row>
    <row r="266" spans="1:5" ht="15" hidden="1">
      <c r="A266" s="13">
        <v>264</v>
      </c>
      <c r="B266" s="19" t="s">
        <v>64</v>
      </c>
      <c r="C266" s="15"/>
      <c r="D266" s="15"/>
      <c r="E266" s="16"/>
    </row>
    <row r="267" spans="1:5" ht="15" hidden="1">
      <c r="A267" s="13">
        <v>265</v>
      </c>
      <c r="B267" s="19" t="s">
        <v>65</v>
      </c>
      <c r="C267" s="15"/>
      <c r="D267" s="15"/>
      <c r="E267" s="16"/>
    </row>
    <row r="268" spans="1:5" ht="15" hidden="1">
      <c r="A268" s="13">
        <v>266</v>
      </c>
      <c r="B268" s="19" t="s">
        <v>66</v>
      </c>
      <c r="C268" s="15"/>
      <c r="D268" s="15"/>
      <c r="E268" s="16"/>
    </row>
    <row r="269" spans="1:5" ht="15" hidden="1">
      <c r="A269" s="13">
        <v>267</v>
      </c>
      <c r="B269" s="19" t="s">
        <v>67</v>
      </c>
      <c r="C269" s="15"/>
      <c r="D269" s="15"/>
      <c r="E269" s="16"/>
    </row>
    <row r="270" spans="1:5" ht="15" hidden="1">
      <c r="A270" s="13">
        <v>268</v>
      </c>
      <c r="B270" s="19" t="s">
        <v>68</v>
      </c>
      <c r="C270" s="15"/>
      <c r="D270" s="15"/>
      <c r="E270" s="16"/>
    </row>
    <row r="271" spans="1:5" ht="15" hidden="1">
      <c r="A271" s="13">
        <v>269</v>
      </c>
      <c r="B271" s="19" t="s">
        <v>69</v>
      </c>
      <c r="C271" s="15"/>
      <c r="D271" s="15"/>
      <c r="E271" s="16"/>
    </row>
    <row r="272" spans="1:5" ht="15" hidden="1">
      <c r="A272" s="13">
        <v>270</v>
      </c>
      <c r="B272" s="19" t="s">
        <v>70</v>
      </c>
      <c r="C272" s="15"/>
      <c r="D272" s="15"/>
      <c r="E272" s="16"/>
    </row>
    <row r="273" spans="1:5" ht="15" hidden="1">
      <c r="A273" s="13">
        <v>271</v>
      </c>
      <c r="B273" s="14" t="s">
        <v>1116</v>
      </c>
      <c r="C273" s="15"/>
      <c r="D273" s="15"/>
      <c r="E273" s="16"/>
    </row>
    <row r="274" spans="1:5" ht="15" hidden="1">
      <c r="A274" s="13">
        <v>272</v>
      </c>
      <c r="B274" s="19" t="s">
        <v>71</v>
      </c>
      <c r="C274" s="15"/>
      <c r="D274" s="15"/>
      <c r="E274" s="16"/>
    </row>
    <row r="275" spans="1:5" ht="15" hidden="1">
      <c r="A275" s="13">
        <v>273</v>
      </c>
      <c r="B275" s="19" t="s">
        <v>72</v>
      </c>
      <c r="C275" s="15"/>
      <c r="D275" s="15"/>
      <c r="E275" s="16"/>
    </row>
    <row r="276" spans="1:5" ht="15" hidden="1">
      <c r="A276" s="13">
        <v>274</v>
      </c>
      <c r="B276" s="19" t="s">
        <v>73</v>
      </c>
      <c r="C276" s="15"/>
      <c r="D276" s="15"/>
      <c r="E276" s="16"/>
    </row>
    <row r="277" spans="1:5" ht="15" hidden="1">
      <c r="A277" s="13">
        <v>275</v>
      </c>
      <c r="B277" s="19" t="s">
        <v>74</v>
      </c>
      <c r="C277" s="15"/>
      <c r="D277" s="15"/>
      <c r="E277" s="16"/>
    </row>
    <row r="278" spans="1:5" ht="15" hidden="1">
      <c r="A278" s="13">
        <v>276</v>
      </c>
      <c r="B278" s="14" t="s">
        <v>1117</v>
      </c>
      <c r="C278" s="15"/>
      <c r="D278" s="15"/>
      <c r="E278" s="16"/>
    </row>
    <row r="279" spans="1:5" ht="15" hidden="1">
      <c r="A279" s="13">
        <v>277</v>
      </c>
      <c r="B279" s="14" t="s">
        <v>1118</v>
      </c>
      <c r="C279" s="15"/>
      <c r="D279" s="15"/>
      <c r="E279" s="16"/>
    </row>
    <row r="280" spans="1:5" ht="15" hidden="1">
      <c r="A280" s="13">
        <v>278</v>
      </c>
      <c r="B280" s="14" t="s">
        <v>1119</v>
      </c>
      <c r="C280" s="15"/>
      <c r="D280" s="15"/>
      <c r="E280" s="16"/>
    </row>
    <row r="281" spans="1:5" ht="15" hidden="1">
      <c r="A281" s="13">
        <v>279</v>
      </c>
      <c r="B281" s="14" t="s">
        <v>1120</v>
      </c>
      <c r="C281" s="15"/>
      <c r="D281" s="15"/>
      <c r="E281" s="16"/>
    </row>
    <row r="282" spans="1:5" ht="15" hidden="1">
      <c r="A282" s="13">
        <v>280</v>
      </c>
      <c r="B282" s="14" t="s">
        <v>1121</v>
      </c>
      <c r="C282" s="15"/>
      <c r="D282" s="15"/>
      <c r="E282" s="16"/>
    </row>
    <row r="283" spans="1:5" ht="15" hidden="1">
      <c r="A283" s="13">
        <v>281</v>
      </c>
      <c r="B283" s="14" t="s">
        <v>1122</v>
      </c>
      <c r="C283" s="15"/>
      <c r="D283" s="15"/>
      <c r="E283" s="16"/>
    </row>
    <row r="284" spans="1:5" ht="15" hidden="1">
      <c r="A284" s="13">
        <v>282</v>
      </c>
      <c r="B284" s="19" t="s">
        <v>75</v>
      </c>
      <c r="C284" s="15"/>
      <c r="D284" s="15"/>
      <c r="E284" s="16"/>
    </row>
    <row r="285" spans="1:5" ht="15" hidden="1">
      <c r="A285" s="13">
        <v>283</v>
      </c>
      <c r="B285" s="19" t="s">
        <v>76</v>
      </c>
      <c r="C285" s="15"/>
      <c r="D285" s="15"/>
      <c r="E285" s="16"/>
    </row>
    <row r="286" spans="1:5" ht="15" hidden="1">
      <c r="A286" s="13">
        <v>284</v>
      </c>
      <c r="B286" s="19" t="s">
        <v>77</v>
      </c>
      <c r="C286" s="15"/>
      <c r="D286" s="15"/>
      <c r="E286" s="16"/>
    </row>
    <row r="287" spans="1:5" ht="15" hidden="1">
      <c r="A287" s="13">
        <v>285</v>
      </c>
      <c r="B287" s="19" t="s">
        <v>78</v>
      </c>
      <c r="C287" s="15"/>
      <c r="D287" s="15"/>
      <c r="E287" s="16"/>
    </row>
    <row r="288" spans="1:5" ht="15" hidden="1">
      <c r="A288" s="13">
        <v>286</v>
      </c>
      <c r="B288" s="19" t="s">
        <v>79</v>
      </c>
      <c r="C288" s="15"/>
      <c r="D288" s="15"/>
      <c r="E288" s="16"/>
    </row>
    <row r="289" spans="1:5" ht="15" hidden="1">
      <c r="A289" s="13">
        <v>287</v>
      </c>
      <c r="B289" s="19" t="s">
        <v>80</v>
      </c>
      <c r="C289" s="15"/>
      <c r="D289" s="15"/>
      <c r="E289" s="16"/>
    </row>
    <row r="290" spans="1:5" ht="15" hidden="1">
      <c r="A290" s="13">
        <v>288</v>
      </c>
      <c r="B290" s="19" t="s">
        <v>81</v>
      </c>
      <c r="C290" s="15"/>
      <c r="D290" s="15"/>
      <c r="E290" s="16"/>
    </row>
    <row r="291" spans="1:5" ht="15" hidden="1">
      <c r="A291" s="13">
        <v>289</v>
      </c>
      <c r="B291" s="19" t="s">
        <v>82</v>
      </c>
      <c r="C291" s="15"/>
      <c r="D291" s="15"/>
      <c r="E291" s="16"/>
    </row>
    <row r="292" spans="1:5" ht="15" hidden="1">
      <c r="A292" s="13">
        <v>290</v>
      </c>
      <c r="B292" s="19" t="s">
        <v>83</v>
      </c>
      <c r="C292" s="15"/>
      <c r="D292" s="15"/>
      <c r="E292" s="16"/>
    </row>
    <row r="293" spans="1:5" ht="15" hidden="1">
      <c r="A293" s="13">
        <v>291</v>
      </c>
      <c r="B293" s="19" t="s">
        <v>84</v>
      </c>
      <c r="C293" s="15"/>
      <c r="D293" s="15"/>
      <c r="E293" s="16"/>
    </row>
    <row r="294" spans="1:5" ht="15" hidden="1">
      <c r="A294" s="13">
        <v>292</v>
      </c>
      <c r="B294" s="19" t="s">
        <v>85</v>
      </c>
      <c r="C294" s="15"/>
      <c r="D294" s="15"/>
      <c r="E294" s="16"/>
    </row>
    <row r="295" spans="1:5" ht="15" hidden="1">
      <c r="A295" s="13">
        <v>293</v>
      </c>
      <c r="B295" s="19" t="s">
        <v>86</v>
      </c>
      <c r="C295" s="15"/>
      <c r="D295" s="15"/>
      <c r="E295" s="16"/>
    </row>
    <row r="296" spans="1:5" ht="15" hidden="1">
      <c r="A296" s="13">
        <v>294</v>
      </c>
      <c r="B296" s="19" t="s">
        <v>87</v>
      </c>
      <c r="C296" s="15"/>
      <c r="D296" s="15"/>
      <c r="E296" s="16"/>
    </row>
    <row r="297" spans="1:5" ht="15" hidden="1">
      <c r="A297" s="13">
        <v>295</v>
      </c>
      <c r="B297" s="19" t="s">
        <v>88</v>
      </c>
      <c r="C297" s="15"/>
      <c r="D297" s="15"/>
      <c r="E297" s="16"/>
    </row>
    <row r="298" spans="1:5" ht="15" hidden="1">
      <c r="A298" s="13">
        <v>296</v>
      </c>
      <c r="B298" s="19" t="s">
        <v>89</v>
      </c>
      <c r="C298" s="15"/>
      <c r="D298" s="15"/>
      <c r="E298" s="16"/>
    </row>
    <row r="299" spans="1:5" ht="15" hidden="1">
      <c r="A299" s="13">
        <v>297</v>
      </c>
      <c r="B299" s="19" t="s">
        <v>90</v>
      </c>
      <c r="C299" s="15"/>
      <c r="D299" s="15"/>
      <c r="E299" s="16"/>
    </row>
    <row r="300" spans="1:5" ht="15" hidden="1">
      <c r="A300" s="13">
        <v>298</v>
      </c>
      <c r="B300" s="19" t="s">
        <v>91</v>
      </c>
      <c r="C300" s="15"/>
      <c r="D300" s="15"/>
      <c r="E300" s="16"/>
    </row>
    <row r="301" spans="1:5" ht="15" hidden="1">
      <c r="A301" s="13">
        <v>299</v>
      </c>
      <c r="B301" s="19" t="s">
        <v>92</v>
      </c>
      <c r="C301" s="15"/>
      <c r="D301" s="15"/>
      <c r="E301" s="16"/>
    </row>
    <row r="302" spans="1:5" ht="15" hidden="1">
      <c r="A302" s="13">
        <v>300</v>
      </c>
      <c r="B302" s="19" t="s">
        <v>93</v>
      </c>
      <c r="C302" s="15"/>
      <c r="D302" s="15"/>
      <c r="E302" s="16"/>
    </row>
    <row r="303" spans="1:5" ht="15" hidden="1">
      <c r="A303" s="13">
        <v>301</v>
      </c>
      <c r="B303" s="19" t="s">
        <v>94</v>
      </c>
      <c r="C303" s="15"/>
      <c r="D303" s="15"/>
      <c r="E303" s="16"/>
    </row>
    <row r="304" spans="1:5" ht="15" hidden="1">
      <c r="A304" s="13">
        <v>302</v>
      </c>
      <c r="B304" s="19" t="s">
        <v>95</v>
      </c>
      <c r="C304" s="15"/>
      <c r="D304" s="15"/>
      <c r="E304" s="16"/>
    </row>
    <row r="305" spans="1:5" ht="15" hidden="1">
      <c r="A305" s="13">
        <v>303</v>
      </c>
      <c r="B305" s="19" t="s">
        <v>96</v>
      </c>
      <c r="C305" s="15"/>
      <c r="D305" s="15"/>
      <c r="E305" s="16"/>
    </row>
    <row r="306" spans="1:5" ht="15" hidden="1">
      <c r="A306" s="13">
        <v>304</v>
      </c>
      <c r="B306" s="19" t="s">
        <v>97</v>
      </c>
      <c r="C306" s="15"/>
      <c r="D306" s="15"/>
      <c r="E306" s="16"/>
    </row>
    <row r="307" spans="1:5" ht="15" hidden="1">
      <c r="A307" s="13">
        <v>305</v>
      </c>
      <c r="B307" s="19" t="s">
        <v>98</v>
      </c>
      <c r="C307" s="15"/>
      <c r="D307" s="15"/>
      <c r="E307" s="16"/>
    </row>
    <row r="308" spans="1:5" ht="15" hidden="1">
      <c r="A308" s="13">
        <v>306</v>
      </c>
      <c r="B308" s="14" t="s">
        <v>1123</v>
      </c>
      <c r="C308" s="15"/>
      <c r="D308" s="15"/>
      <c r="E308" s="16"/>
    </row>
    <row r="309" spans="1:5" ht="15" hidden="1">
      <c r="A309" s="13">
        <v>307</v>
      </c>
      <c r="B309" s="14" t="s">
        <v>1124</v>
      </c>
      <c r="C309" s="15"/>
      <c r="D309" s="15"/>
      <c r="E309" s="16"/>
    </row>
    <row r="310" spans="1:5" ht="15" hidden="1">
      <c r="A310" s="13">
        <v>308</v>
      </c>
      <c r="B310" s="14" t="s">
        <v>1125</v>
      </c>
      <c r="C310" s="15"/>
      <c r="D310" s="15"/>
      <c r="E310" s="16"/>
    </row>
    <row r="311" spans="1:5" ht="15">
      <c r="A311" s="13">
        <v>309</v>
      </c>
      <c r="B311" s="14" t="s">
        <v>954</v>
      </c>
      <c r="C311" s="15" t="s">
        <v>707</v>
      </c>
      <c r="D311" s="15">
        <v>2</v>
      </c>
      <c r="E311" s="15"/>
    </row>
    <row r="312" spans="1:5" ht="15" hidden="1">
      <c r="A312" s="13">
        <v>310</v>
      </c>
      <c r="B312" s="19" t="s">
        <v>99</v>
      </c>
      <c r="C312" s="15"/>
      <c r="D312" s="15"/>
      <c r="E312" s="16"/>
    </row>
    <row r="313" spans="1:5" ht="15" hidden="1">
      <c r="A313" s="13">
        <v>311</v>
      </c>
      <c r="B313" s="19" t="s">
        <v>100</v>
      </c>
      <c r="C313" s="15"/>
      <c r="D313" s="15"/>
      <c r="E313" s="16"/>
    </row>
    <row r="314" spans="1:5" ht="15" hidden="1">
      <c r="A314" s="13">
        <v>312</v>
      </c>
      <c r="B314" s="19" t="s">
        <v>101</v>
      </c>
      <c r="C314" s="15"/>
      <c r="D314" s="15"/>
      <c r="E314" s="16"/>
    </row>
    <row r="315" spans="1:5" ht="15" hidden="1">
      <c r="A315" s="13">
        <v>313</v>
      </c>
      <c r="B315" s="19" t="s">
        <v>102</v>
      </c>
      <c r="C315" s="15"/>
      <c r="D315" s="15"/>
      <c r="E315" s="16"/>
    </row>
    <row r="316" spans="1:5" ht="15" hidden="1">
      <c r="A316" s="13">
        <v>314</v>
      </c>
      <c r="B316" s="19" t="s">
        <v>103</v>
      </c>
      <c r="C316" s="15"/>
      <c r="D316" s="15"/>
      <c r="E316" s="16"/>
    </row>
    <row r="317" spans="1:5" ht="15" hidden="1">
      <c r="A317" s="13">
        <v>315</v>
      </c>
      <c r="B317" s="19" t="s">
        <v>104</v>
      </c>
      <c r="C317" s="15"/>
      <c r="D317" s="15"/>
      <c r="E317" s="16"/>
    </row>
    <row r="318" spans="1:5" ht="15" hidden="1">
      <c r="A318" s="13">
        <v>316</v>
      </c>
      <c r="B318" s="19" t="s">
        <v>105</v>
      </c>
      <c r="C318" s="15"/>
      <c r="D318" s="15"/>
      <c r="E318" s="16"/>
    </row>
    <row r="319" spans="1:5" ht="15" hidden="1">
      <c r="A319" s="13">
        <v>317</v>
      </c>
      <c r="B319" s="19" t="s">
        <v>106</v>
      </c>
      <c r="C319" s="15"/>
      <c r="D319" s="15"/>
      <c r="E319" s="16"/>
    </row>
    <row r="320" spans="1:5" ht="15" hidden="1">
      <c r="A320" s="13">
        <v>318</v>
      </c>
      <c r="B320" s="19" t="s">
        <v>107</v>
      </c>
      <c r="C320" s="15"/>
      <c r="D320" s="15"/>
      <c r="E320" s="16"/>
    </row>
    <row r="321" spans="1:5" ht="15" hidden="1">
      <c r="A321" s="13">
        <v>319</v>
      </c>
      <c r="B321" s="19" t="s">
        <v>108</v>
      </c>
      <c r="C321" s="15"/>
      <c r="D321" s="15"/>
      <c r="E321" s="16"/>
    </row>
    <row r="322" spans="1:5" ht="15" hidden="1">
      <c r="A322" s="13">
        <v>320</v>
      </c>
      <c r="B322" s="19" t="s">
        <v>109</v>
      </c>
      <c r="C322" s="15"/>
      <c r="D322" s="15"/>
      <c r="E322" s="16"/>
    </row>
    <row r="323" spans="1:5" ht="15" hidden="1">
      <c r="A323" s="13">
        <v>321</v>
      </c>
      <c r="B323" s="19" t="s">
        <v>110</v>
      </c>
      <c r="C323" s="15"/>
      <c r="D323" s="15"/>
      <c r="E323" s="16"/>
    </row>
    <row r="324" spans="1:5" ht="15" hidden="1">
      <c r="A324" s="13">
        <v>322</v>
      </c>
      <c r="B324" s="19" t="s">
        <v>111</v>
      </c>
      <c r="C324" s="15"/>
      <c r="D324" s="15"/>
      <c r="E324" s="16"/>
    </row>
    <row r="325" spans="1:5" ht="15" hidden="1">
      <c r="A325" s="13">
        <v>323</v>
      </c>
      <c r="B325" s="19" t="s">
        <v>112</v>
      </c>
      <c r="C325" s="15"/>
      <c r="D325" s="15"/>
      <c r="E325" s="16"/>
    </row>
    <row r="326" spans="1:5" ht="15" hidden="1">
      <c r="A326" s="13">
        <v>324</v>
      </c>
      <c r="B326" s="19" t="s">
        <v>113</v>
      </c>
      <c r="C326" s="15"/>
      <c r="D326" s="15"/>
      <c r="E326" s="16"/>
    </row>
    <row r="327" spans="1:5" ht="15" hidden="1">
      <c r="A327" s="13">
        <v>325</v>
      </c>
      <c r="B327" s="19" t="s">
        <v>114</v>
      </c>
      <c r="C327" s="15"/>
      <c r="D327" s="15"/>
      <c r="E327" s="16"/>
    </row>
    <row r="328" spans="1:5" ht="15" hidden="1">
      <c r="A328" s="13">
        <v>326</v>
      </c>
      <c r="B328" s="19" t="s">
        <v>115</v>
      </c>
      <c r="C328" s="15"/>
      <c r="D328" s="15"/>
      <c r="E328" s="16"/>
    </row>
    <row r="329" spans="1:5" ht="15" hidden="1">
      <c r="A329" s="13">
        <v>327</v>
      </c>
      <c r="B329" s="19" t="s">
        <v>116</v>
      </c>
      <c r="C329" s="15"/>
      <c r="D329" s="15"/>
      <c r="E329" s="16"/>
    </row>
    <row r="330" spans="1:5" ht="15" hidden="1">
      <c r="A330" s="13">
        <v>328</v>
      </c>
      <c r="B330" s="19" t="s">
        <v>117</v>
      </c>
      <c r="C330" s="15"/>
      <c r="D330" s="15"/>
      <c r="E330" s="16"/>
    </row>
    <row r="331" spans="1:5" ht="15" hidden="1">
      <c r="A331" s="13">
        <v>329</v>
      </c>
      <c r="B331" s="19" t="s">
        <v>118</v>
      </c>
      <c r="C331" s="15"/>
      <c r="D331" s="15"/>
      <c r="E331" s="16"/>
    </row>
    <row r="332" spans="1:5" ht="15" hidden="1">
      <c r="A332" s="13">
        <v>330</v>
      </c>
      <c r="B332" s="19" t="s">
        <v>119</v>
      </c>
      <c r="C332" s="15"/>
      <c r="D332" s="15"/>
      <c r="E332" s="16"/>
    </row>
    <row r="333" spans="1:5" ht="15" hidden="1">
      <c r="A333" s="13">
        <v>331</v>
      </c>
      <c r="B333" s="19" t="s">
        <v>120</v>
      </c>
      <c r="C333" s="15"/>
      <c r="D333" s="15"/>
      <c r="E333" s="16"/>
    </row>
    <row r="334" spans="1:5" ht="15" hidden="1">
      <c r="A334" s="13">
        <v>332</v>
      </c>
      <c r="B334" s="19" t="s">
        <v>121</v>
      </c>
      <c r="C334" s="15"/>
      <c r="D334" s="15"/>
      <c r="E334" s="16"/>
    </row>
    <row r="335" spans="1:5" ht="15" hidden="1">
      <c r="A335" s="13">
        <v>333</v>
      </c>
      <c r="B335" s="19" t="s">
        <v>122</v>
      </c>
      <c r="C335" s="15"/>
      <c r="D335" s="15"/>
      <c r="E335" s="16"/>
    </row>
    <row r="336" spans="1:5" ht="15" hidden="1">
      <c r="A336" s="13">
        <v>334</v>
      </c>
      <c r="B336" s="19" t="s">
        <v>123</v>
      </c>
      <c r="C336" s="15"/>
      <c r="D336" s="15"/>
      <c r="E336" s="16"/>
    </row>
    <row r="337" spans="1:5" ht="15" hidden="1">
      <c r="A337" s="13">
        <v>335</v>
      </c>
      <c r="B337" s="19" t="s">
        <v>124</v>
      </c>
      <c r="C337" s="15"/>
      <c r="D337" s="15"/>
      <c r="E337" s="16"/>
    </row>
    <row r="338" spans="1:5" ht="15" hidden="1">
      <c r="A338" s="13">
        <v>336</v>
      </c>
      <c r="B338" s="19" t="s">
        <v>125</v>
      </c>
      <c r="C338" s="15"/>
      <c r="D338" s="15"/>
      <c r="E338" s="16"/>
    </row>
    <row r="339" spans="1:5" ht="15" hidden="1">
      <c r="A339" s="13">
        <v>337</v>
      </c>
      <c r="B339" s="19" t="s">
        <v>126</v>
      </c>
      <c r="C339" s="15"/>
      <c r="D339" s="15"/>
      <c r="E339" s="16"/>
    </row>
    <row r="340" spans="1:5" ht="15" hidden="1">
      <c r="A340" s="13">
        <v>338</v>
      </c>
      <c r="B340" s="19" t="s">
        <v>127</v>
      </c>
      <c r="C340" s="15"/>
      <c r="D340" s="15"/>
      <c r="E340" s="16"/>
    </row>
    <row r="341" spans="1:5" ht="15" hidden="1">
      <c r="A341" s="13">
        <v>339</v>
      </c>
      <c r="B341" s="19" t="s">
        <v>128</v>
      </c>
      <c r="C341" s="15"/>
      <c r="D341" s="15"/>
      <c r="E341" s="16"/>
    </row>
    <row r="342" spans="1:5" ht="15" hidden="1">
      <c r="A342" s="13">
        <v>340</v>
      </c>
      <c r="B342" s="19" t="s">
        <v>129</v>
      </c>
      <c r="C342" s="15"/>
      <c r="D342" s="15"/>
      <c r="E342" s="16"/>
    </row>
    <row r="343" spans="1:5" ht="15" hidden="1">
      <c r="A343" s="13">
        <v>341</v>
      </c>
      <c r="B343" s="19" t="s">
        <v>130</v>
      </c>
      <c r="C343" s="15"/>
      <c r="D343" s="15"/>
      <c r="E343" s="16"/>
    </row>
    <row r="344" spans="1:5" ht="15" hidden="1">
      <c r="A344" s="13">
        <v>342</v>
      </c>
      <c r="B344" s="19" t="s">
        <v>131</v>
      </c>
      <c r="C344" s="15"/>
      <c r="D344" s="15"/>
      <c r="E344" s="16"/>
    </row>
    <row r="345" spans="1:5" ht="15" hidden="1">
      <c r="A345" s="13">
        <v>343</v>
      </c>
      <c r="B345" s="19" t="s">
        <v>132</v>
      </c>
      <c r="C345" s="15"/>
      <c r="D345" s="15"/>
      <c r="E345" s="16"/>
    </row>
    <row r="346" spans="1:5" ht="15" hidden="1">
      <c r="A346" s="13">
        <v>344</v>
      </c>
      <c r="B346" s="19" t="s">
        <v>133</v>
      </c>
      <c r="C346" s="15"/>
      <c r="D346" s="15"/>
      <c r="E346" s="16"/>
    </row>
    <row r="347" spans="1:5" ht="15" hidden="1">
      <c r="A347" s="13">
        <v>345</v>
      </c>
      <c r="B347" s="19" t="s">
        <v>134</v>
      </c>
      <c r="C347" s="15"/>
      <c r="D347" s="15"/>
      <c r="E347" s="16"/>
    </row>
    <row r="348" spans="1:5" ht="15" hidden="1">
      <c r="A348" s="13">
        <v>346</v>
      </c>
      <c r="B348" s="20" t="s">
        <v>135</v>
      </c>
      <c r="C348" s="15"/>
      <c r="D348" s="15"/>
      <c r="E348" s="16"/>
    </row>
    <row r="349" spans="1:5" ht="15">
      <c r="A349" s="13">
        <v>347</v>
      </c>
      <c r="B349" s="19" t="s">
        <v>955</v>
      </c>
      <c r="C349" s="15" t="s">
        <v>706</v>
      </c>
      <c r="D349" s="15">
        <v>1</v>
      </c>
      <c r="E349" s="15"/>
    </row>
    <row r="350" spans="1:5" ht="15">
      <c r="A350" s="13">
        <v>348</v>
      </c>
      <c r="B350" s="19" t="s">
        <v>956</v>
      </c>
      <c r="C350" s="15" t="s">
        <v>707</v>
      </c>
      <c r="D350" s="15">
        <v>2</v>
      </c>
      <c r="E350" s="15"/>
    </row>
    <row r="351" spans="1:5" ht="15" hidden="1">
      <c r="A351" s="13">
        <v>349</v>
      </c>
      <c r="B351" s="19" t="s">
        <v>137</v>
      </c>
      <c r="C351" s="15"/>
      <c r="D351" s="15"/>
      <c r="E351" s="16"/>
    </row>
    <row r="352" spans="1:5" ht="15">
      <c r="A352" s="13">
        <v>350</v>
      </c>
      <c r="B352" s="19" t="s">
        <v>957</v>
      </c>
      <c r="C352" s="15" t="s">
        <v>706</v>
      </c>
      <c r="D352" s="15">
        <v>1</v>
      </c>
      <c r="E352" s="15"/>
    </row>
    <row r="353" spans="1:5" ht="15">
      <c r="A353" s="13">
        <v>351</v>
      </c>
      <c r="B353" s="19" t="s">
        <v>958</v>
      </c>
      <c r="C353" s="15" t="s">
        <v>707</v>
      </c>
      <c r="D353" s="15">
        <v>2</v>
      </c>
      <c r="E353" s="15"/>
    </row>
    <row r="354" spans="1:5" ht="15" hidden="1">
      <c r="A354" s="13">
        <v>352</v>
      </c>
      <c r="B354" s="19" t="s">
        <v>138</v>
      </c>
      <c r="C354" s="15"/>
      <c r="D354" s="15"/>
      <c r="E354" s="16"/>
    </row>
    <row r="355" spans="1:5" ht="15" hidden="1">
      <c r="A355" s="13">
        <v>353</v>
      </c>
      <c r="B355" s="19" t="s">
        <v>139</v>
      </c>
      <c r="C355" s="15"/>
      <c r="D355" s="15"/>
      <c r="E355" s="16"/>
    </row>
    <row r="356" spans="1:5" ht="15" hidden="1">
      <c r="A356" s="13">
        <v>354</v>
      </c>
      <c r="B356" s="19" t="s">
        <v>140</v>
      </c>
      <c r="C356" s="15"/>
      <c r="D356" s="15"/>
      <c r="E356" s="16"/>
    </row>
    <row r="357" spans="1:5" ht="15" hidden="1">
      <c r="A357" s="13">
        <v>355</v>
      </c>
      <c r="B357" s="19" t="s">
        <v>141</v>
      </c>
      <c r="C357" s="15"/>
      <c r="D357" s="15"/>
      <c r="E357" s="16"/>
    </row>
    <row r="358" spans="1:5" ht="15" hidden="1">
      <c r="A358" s="13">
        <v>356</v>
      </c>
      <c r="B358" s="19" t="s">
        <v>142</v>
      </c>
      <c r="C358" s="15"/>
      <c r="D358" s="15"/>
      <c r="E358" s="16"/>
    </row>
    <row r="359" spans="1:5" ht="15" hidden="1">
      <c r="A359" s="13">
        <v>357</v>
      </c>
      <c r="B359" s="19" t="s">
        <v>143</v>
      </c>
      <c r="C359" s="15"/>
      <c r="D359" s="15"/>
      <c r="E359" s="16"/>
    </row>
    <row r="360" spans="1:5" ht="15" hidden="1">
      <c r="A360" s="13">
        <v>358</v>
      </c>
      <c r="B360" s="19" t="s">
        <v>144</v>
      </c>
      <c r="C360" s="15"/>
      <c r="D360" s="15"/>
      <c r="E360" s="16"/>
    </row>
    <row r="361" spans="1:5" ht="15" hidden="1">
      <c r="A361" s="13">
        <v>359</v>
      </c>
      <c r="B361" s="19" t="s">
        <v>145</v>
      </c>
      <c r="C361" s="15"/>
      <c r="D361" s="15"/>
      <c r="E361" s="16"/>
    </row>
    <row r="362" spans="1:5" ht="15" hidden="1">
      <c r="A362" s="13">
        <v>360</v>
      </c>
      <c r="B362" s="19" t="s">
        <v>146</v>
      </c>
      <c r="C362" s="15"/>
      <c r="D362" s="15"/>
      <c r="E362" s="16"/>
    </row>
    <row r="363" spans="1:5" ht="15" hidden="1">
      <c r="A363" s="13">
        <v>361</v>
      </c>
      <c r="B363" s="19" t="s">
        <v>147</v>
      </c>
      <c r="C363" s="15"/>
      <c r="D363" s="15"/>
      <c r="E363" s="16"/>
    </row>
    <row r="364" spans="1:5" ht="15" hidden="1">
      <c r="A364" s="13">
        <v>362</v>
      </c>
      <c r="B364" s="19" t="s">
        <v>148</v>
      </c>
      <c r="C364" s="15"/>
      <c r="D364" s="15"/>
      <c r="E364" s="16"/>
    </row>
    <row r="365" spans="1:5" ht="15" hidden="1">
      <c r="A365" s="13">
        <v>363</v>
      </c>
      <c r="B365" s="19" t="s">
        <v>149</v>
      </c>
      <c r="C365" s="15"/>
      <c r="D365" s="15"/>
      <c r="E365" s="16"/>
    </row>
    <row r="366" spans="1:5" ht="15" hidden="1">
      <c r="A366" s="13">
        <v>364</v>
      </c>
      <c r="B366" s="19" t="s">
        <v>150</v>
      </c>
      <c r="C366" s="15"/>
      <c r="D366" s="15"/>
      <c r="E366" s="16"/>
    </row>
    <row r="367" spans="1:5" ht="15" hidden="1">
      <c r="A367" s="13">
        <v>365</v>
      </c>
      <c r="B367" s="19" t="s">
        <v>151</v>
      </c>
      <c r="C367" s="15"/>
      <c r="D367" s="15"/>
      <c r="E367" s="16"/>
    </row>
    <row r="368" spans="1:5" ht="15" hidden="1">
      <c r="A368" s="13">
        <v>366</v>
      </c>
      <c r="B368" s="19" t="s">
        <v>152</v>
      </c>
      <c r="C368" s="15"/>
      <c r="D368" s="15"/>
      <c r="E368" s="16"/>
    </row>
    <row r="369" spans="1:5" ht="15" hidden="1">
      <c r="A369" s="13">
        <v>367</v>
      </c>
      <c r="B369" s="19" t="s">
        <v>153</v>
      </c>
      <c r="C369" s="15"/>
      <c r="D369" s="15"/>
      <c r="E369" s="16"/>
    </row>
    <row r="370" spans="1:5" ht="15" hidden="1">
      <c r="A370" s="13">
        <v>368</v>
      </c>
      <c r="B370" s="19" t="s">
        <v>154</v>
      </c>
      <c r="C370" s="15"/>
      <c r="D370" s="15"/>
      <c r="E370" s="16"/>
    </row>
    <row r="371" spans="1:5" ht="15" hidden="1">
      <c r="A371" s="13">
        <v>369</v>
      </c>
      <c r="B371" s="19" t="s">
        <v>155</v>
      </c>
      <c r="C371" s="15"/>
      <c r="D371" s="15"/>
      <c r="E371" s="16"/>
    </row>
    <row r="372" spans="1:5" ht="15" hidden="1">
      <c r="A372" s="13">
        <v>370</v>
      </c>
      <c r="B372" s="19" t="s">
        <v>156</v>
      </c>
      <c r="C372" s="15"/>
      <c r="D372" s="15"/>
      <c r="E372" s="16"/>
    </row>
    <row r="373" spans="1:5" ht="15" hidden="1">
      <c r="A373" s="13">
        <v>371</v>
      </c>
      <c r="B373" s="19" t="s">
        <v>158</v>
      </c>
      <c r="C373" s="15"/>
      <c r="D373" s="15"/>
      <c r="E373" s="16"/>
    </row>
    <row r="374" spans="1:5" ht="15" hidden="1">
      <c r="A374" s="13">
        <v>372</v>
      </c>
      <c r="B374" s="19" t="s">
        <v>157</v>
      </c>
      <c r="C374" s="15"/>
      <c r="D374" s="15"/>
      <c r="E374" s="16"/>
    </row>
    <row r="375" spans="1:5" ht="15" hidden="1">
      <c r="A375" s="13">
        <v>373</v>
      </c>
      <c r="B375" s="19" t="s">
        <v>159</v>
      </c>
      <c r="C375" s="15"/>
      <c r="D375" s="15"/>
      <c r="E375" s="16"/>
    </row>
    <row r="376" spans="1:5" ht="15" hidden="1">
      <c r="A376" s="13">
        <v>374</v>
      </c>
      <c r="B376" s="19" t="s">
        <v>160</v>
      </c>
      <c r="C376" s="15"/>
      <c r="D376" s="15"/>
      <c r="E376" s="16"/>
    </row>
    <row r="377" spans="1:5" ht="15" hidden="1">
      <c r="A377" s="13">
        <v>375</v>
      </c>
      <c r="B377" s="19" t="s">
        <v>161</v>
      </c>
      <c r="C377" s="15"/>
      <c r="D377" s="15"/>
      <c r="E377" s="16"/>
    </row>
    <row r="378" spans="1:5" ht="15" hidden="1">
      <c r="A378" s="13">
        <v>376</v>
      </c>
      <c r="B378" s="19" t="s">
        <v>162</v>
      </c>
      <c r="C378" s="15"/>
      <c r="D378" s="15"/>
      <c r="E378" s="16"/>
    </row>
    <row r="379" spans="1:5" ht="15">
      <c r="A379" s="13">
        <v>377</v>
      </c>
      <c r="B379" s="19" t="s">
        <v>959</v>
      </c>
      <c r="C379" s="15" t="s">
        <v>707</v>
      </c>
      <c r="D379" s="15">
        <v>2</v>
      </c>
      <c r="E379" s="15"/>
    </row>
    <row r="380" spans="1:5" ht="15">
      <c r="A380" s="13">
        <v>378</v>
      </c>
      <c r="B380" s="19" t="s">
        <v>960</v>
      </c>
      <c r="C380" s="15" t="s">
        <v>707</v>
      </c>
      <c r="D380" s="15">
        <v>2</v>
      </c>
      <c r="E380" s="15"/>
    </row>
    <row r="381" spans="1:5" ht="15" hidden="1">
      <c r="A381" s="13">
        <v>379</v>
      </c>
      <c r="B381" s="19" t="s">
        <v>163</v>
      </c>
      <c r="C381" s="15"/>
      <c r="D381" s="15"/>
      <c r="E381" s="16"/>
    </row>
    <row r="382" spans="1:5" ht="15">
      <c r="A382" s="13">
        <v>380</v>
      </c>
      <c r="B382" s="19" t="s">
        <v>961</v>
      </c>
      <c r="C382" s="15" t="s">
        <v>707</v>
      </c>
      <c r="D382" s="15">
        <v>2</v>
      </c>
      <c r="E382" s="15"/>
    </row>
    <row r="383" spans="1:5" ht="15">
      <c r="A383" s="13">
        <v>381</v>
      </c>
      <c r="B383" s="19" t="s">
        <v>962</v>
      </c>
      <c r="C383" s="15" t="s">
        <v>707</v>
      </c>
      <c r="D383" s="15">
        <v>2</v>
      </c>
      <c r="E383" s="15"/>
    </row>
    <row r="384" spans="1:5" ht="15" hidden="1">
      <c r="A384" s="13">
        <v>382</v>
      </c>
      <c r="B384" s="19" t="s">
        <v>164</v>
      </c>
      <c r="C384" s="15"/>
      <c r="D384" s="15"/>
      <c r="E384" s="16"/>
    </row>
    <row r="385" spans="1:5" ht="15">
      <c r="A385" s="13">
        <v>383</v>
      </c>
      <c r="B385" s="19" t="s">
        <v>963</v>
      </c>
      <c r="C385" s="15" t="s">
        <v>707</v>
      </c>
      <c r="D385" s="15">
        <v>2</v>
      </c>
      <c r="E385" s="15"/>
    </row>
    <row r="386" spans="1:5" ht="15">
      <c r="A386" s="13">
        <v>384</v>
      </c>
      <c r="B386" s="19" t="s">
        <v>964</v>
      </c>
      <c r="C386" s="15" t="s">
        <v>707</v>
      </c>
      <c r="D386" s="15">
        <v>2</v>
      </c>
      <c r="E386" s="15"/>
    </row>
    <row r="387" spans="1:5" ht="15" hidden="1">
      <c r="A387" s="13">
        <v>385</v>
      </c>
      <c r="B387" s="19" t="s">
        <v>165</v>
      </c>
      <c r="C387" s="15"/>
      <c r="D387" s="15"/>
      <c r="E387" s="16"/>
    </row>
    <row r="388" spans="1:5" ht="15">
      <c r="A388" s="13">
        <v>386</v>
      </c>
      <c r="B388" s="19" t="s">
        <v>965</v>
      </c>
      <c r="C388" s="15" t="s">
        <v>707</v>
      </c>
      <c r="D388" s="15">
        <v>2</v>
      </c>
      <c r="E388" s="15"/>
    </row>
    <row r="389" spans="1:5" ht="15">
      <c r="A389" s="13">
        <v>387</v>
      </c>
      <c r="B389" s="19" t="s">
        <v>966</v>
      </c>
      <c r="C389" s="15" t="s">
        <v>707</v>
      </c>
      <c r="D389" s="15">
        <v>2</v>
      </c>
      <c r="E389" s="15"/>
    </row>
    <row r="390" spans="1:5" ht="15" hidden="1">
      <c r="A390" s="13">
        <v>388</v>
      </c>
      <c r="B390" s="19" t="s">
        <v>166</v>
      </c>
      <c r="C390" s="15"/>
      <c r="D390" s="15"/>
      <c r="E390" s="16"/>
    </row>
    <row r="391" spans="1:5" ht="15" hidden="1">
      <c r="A391" s="13">
        <v>389</v>
      </c>
      <c r="B391" s="19" t="s">
        <v>1126</v>
      </c>
      <c r="C391" s="15"/>
      <c r="D391" s="15"/>
      <c r="E391" s="16"/>
    </row>
    <row r="392" spans="1:5" ht="15" hidden="1">
      <c r="A392" s="13">
        <v>390</v>
      </c>
      <c r="B392" s="19" t="s">
        <v>1127</v>
      </c>
      <c r="C392" s="15"/>
      <c r="D392" s="15"/>
      <c r="E392" s="16"/>
    </row>
    <row r="393" spans="1:5" ht="15" hidden="1">
      <c r="A393" s="13">
        <v>391</v>
      </c>
      <c r="B393" s="19" t="s">
        <v>167</v>
      </c>
      <c r="C393" s="15"/>
      <c r="D393" s="15"/>
      <c r="E393" s="16"/>
    </row>
    <row r="394" spans="1:5" ht="15" hidden="1">
      <c r="A394" s="13">
        <v>392</v>
      </c>
      <c r="B394" s="19" t="s">
        <v>168</v>
      </c>
      <c r="C394" s="15"/>
      <c r="D394" s="15"/>
      <c r="E394" s="16"/>
    </row>
    <row r="395" spans="1:5" ht="15" hidden="1">
      <c r="A395" s="13">
        <v>393</v>
      </c>
      <c r="B395" s="19" t="s">
        <v>169</v>
      </c>
      <c r="C395" s="15"/>
      <c r="D395" s="15"/>
      <c r="E395" s="16"/>
    </row>
    <row r="396" spans="1:5" ht="15" hidden="1">
      <c r="A396" s="13">
        <v>394</v>
      </c>
      <c r="B396" s="19" t="s">
        <v>170</v>
      </c>
      <c r="C396" s="15"/>
      <c r="D396" s="15"/>
      <c r="E396" s="16"/>
    </row>
    <row r="397" spans="1:5" ht="15" hidden="1">
      <c r="A397" s="13">
        <v>395</v>
      </c>
      <c r="B397" s="19" t="s">
        <v>171</v>
      </c>
      <c r="C397" s="15"/>
      <c r="D397" s="15"/>
      <c r="E397" s="16"/>
    </row>
    <row r="398" spans="1:5" ht="15" hidden="1">
      <c r="A398" s="13">
        <v>396</v>
      </c>
      <c r="B398" s="19" t="s">
        <v>172</v>
      </c>
      <c r="C398" s="15"/>
      <c r="D398" s="15"/>
      <c r="E398" s="16"/>
    </row>
    <row r="399" spans="1:5" ht="15" hidden="1">
      <c r="A399" s="13">
        <v>397</v>
      </c>
      <c r="B399" s="19" t="s">
        <v>173</v>
      </c>
      <c r="C399" s="15"/>
      <c r="D399" s="15"/>
      <c r="E399" s="16"/>
    </row>
    <row r="400" spans="1:5" ht="15" hidden="1">
      <c r="A400" s="13">
        <v>398</v>
      </c>
      <c r="B400" s="19" t="s">
        <v>174</v>
      </c>
      <c r="C400" s="15"/>
      <c r="D400" s="15"/>
      <c r="E400" s="16"/>
    </row>
    <row r="401" spans="1:5" ht="15" hidden="1">
      <c r="A401" s="15">
        <v>399</v>
      </c>
      <c r="B401" s="19" t="s">
        <v>175</v>
      </c>
      <c r="C401" s="15"/>
      <c r="D401" s="15"/>
      <c r="E401" s="16"/>
    </row>
    <row r="402" spans="1:5" ht="15" hidden="1">
      <c r="A402" s="15">
        <v>400</v>
      </c>
      <c r="B402" s="19" t="s">
        <v>176</v>
      </c>
      <c r="C402" s="15"/>
      <c r="D402" s="15"/>
      <c r="E402" s="16"/>
    </row>
    <row r="403" spans="1:5" ht="15" hidden="1">
      <c r="A403" s="15">
        <v>401</v>
      </c>
      <c r="B403" s="19" t="s">
        <v>177</v>
      </c>
      <c r="C403" s="15"/>
      <c r="D403" s="15"/>
      <c r="E403" s="16"/>
    </row>
    <row r="404" spans="1:5" ht="15" hidden="1">
      <c r="A404" s="15">
        <v>402</v>
      </c>
      <c r="B404" s="19" t="s">
        <v>178</v>
      </c>
      <c r="C404" s="15"/>
      <c r="D404" s="15"/>
      <c r="E404" s="16"/>
    </row>
    <row r="405" spans="1:5" ht="15" hidden="1">
      <c r="A405" s="15">
        <v>403</v>
      </c>
      <c r="B405" s="19" t="s">
        <v>179</v>
      </c>
      <c r="C405" s="15"/>
      <c r="D405" s="15"/>
      <c r="E405" s="16"/>
    </row>
    <row r="406" spans="1:5" ht="15" hidden="1">
      <c r="A406" s="15">
        <v>404</v>
      </c>
      <c r="B406" s="19" t="s">
        <v>180</v>
      </c>
      <c r="C406" s="15"/>
      <c r="D406" s="15"/>
      <c r="E406" s="16"/>
    </row>
    <row r="407" spans="1:5" ht="15" hidden="1">
      <c r="A407" s="15">
        <v>405</v>
      </c>
      <c r="B407" s="19" t="s">
        <v>181</v>
      </c>
      <c r="C407" s="15"/>
      <c r="D407" s="15"/>
      <c r="E407" s="16"/>
    </row>
    <row r="408" spans="1:5" ht="15" hidden="1">
      <c r="A408" s="15">
        <v>406</v>
      </c>
      <c r="B408" s="19" t="s">
        <v>182</v>
      </c>
      <c r="C408" s="15"/>
      <c r="D408" s="15"/>
      <c r="E408" s="16"/>
    </row>
    <row r="409" spans="1:5" ht="15" hidden="1">
      <c r="A409" s="15">
        <v>407</v>
      </c>
      <c r="B409" s="19" t="s">
        <v>183</v>
      </c>
      <c r="C409" s="15"/>
      <c r="D409" s="15"/>
      <c r="E409" s="16"/>
    </row>
    <row r="410" spans="1:5" ht="15" hidden="1">
      <c r="A410" s="15">
        <v>408</v>
      </c>
      <c r="B410" s="19" t="s">
        <v>190</v>
      </c>
      <c r="C410" s="15"/>
      <c r="D410" s="15"/>
      <c r="E410" s="16"/>
    </row>
    <row r="411" spans="1:5" ht="15" hidden="1">
      <c r="A411" s="15">
        <v>409</v>
      </c>
      <c r="B411" s="19" t="s">
        <v>185</v>
      </c>
      <c r="C411" s="15"/>
      <c r="D411" s="15"/>
      <c r="E411" s="16"/>
    </row>
    <row r="412" spans="1:5" ht="15" hidden="1">
      <c r="A412" s="15">
        <v>410</v>
      </c>
      <c r="B412" s="19" t="s">
        <v>186</v>
      </c>
      <c r="C412" s="15"/>
      <c r="D412" s="15"/>
      <c r="E412" s="16"/>
    </row>
    <row r="413" spans="1:5" ht="15" hidden="1">
      <c r="A413" s="15">
        <v>411</v>
      </c>
      <c r="B413" s="19" t="s">
        <v>184</v>
      </c>
      <c r="C413" s="15"/>
      <c r="D413" s="15"/>
      <c r="E413" s="16"/>
    </row>
    <row r="414" spans="1:5" ht="15" hidden="1">
      <c r="A414" s="15">
        <v>412</v>
      </c>
      <c r="B414" s="19" t="s">
        <v>187</v>
      </c>
      <c r="C414" s="15"/>
      <c r="D414" s="15"/>
      <c r="E414" s="16"/>
    </row>
    <row r="415" spans="1:5" ht="15" hidden="1">
      <c r="A415" s="15">
        <v>413</v>
      </c>
      <c r="B415" s="19" t="s">
        <v>188</v>
      </c>
      <c r="C415" s="15"/>
      <c r="D415" s="15"/>
      <c r="E415" s="16"/>
    </row>
    <row r="416" spans="1:5" ht="15" hidden="1">
      <c r="A416" s="15">
        <v>414</v>
      </c>
      <c r="B416" s="19" t="s">
        <v>189</v>
      </c>
      <c r="C416" s="15"/>
      <c r="D416" s="15"/>
      <c r="E416" s="16"/>
    </row>
    <row r="417" spans="1:5" ht="15" hidden="1">
      <c r="A417" s="15">
        <v>415</v>
      </c>
      <c r="B417" s="19" t="s">
        <v>201</v>
      </c>
      <c r="C417" s="15"/>
      <c r="D417" s="15"/>
      <c r="E417" s="16"/>
    </row>
    <row r="418" spans="1:5" ht="15" hidden="1">
      <c r="A418" s="15">
        <v>416</v>
      </c>
      <c r="B418" s="19" t="s">
        <v>1128</v>
      </c>
      <c r="C418" s="15"/>
      <c r="D418" s="15"/>
      <c r="E418" s="16"/>
    </row>
    <row r="419" spans="1:5" ht="15" hidden="1">
      <c r="A419" s="15">
        <v>417</v>
      </c>
      <c r="B419" s="19" t="s">
        <v>191</v>
      </c>
      <c r="C419" s="15"/>
      <c r="D419" s="15"/>
      <c r="E419" s="16"/>
    </row>
    <row r="420" spans="1:5" ht="15" hidden="1">
      <c r="A420" s="15">
        <v>418</v>
      </c>
      <c r="B420" s="19" t="s">
        <v>192</v>
      </c>
      <c r="C420" s="15"/>
      <c r="D420" s="15"/>
      <c r="E420" s="16"/>
    </row>
    <row r="421" spans="1:5" ht="15" hidden="1">
      <c r="A421" s="15">
        <v>419</v>
      </c>
      <c r="B421" s="19" t="s">
        <v>193</v>
      </c>
      <c r="C421" s="15"/>
      <c r="D421" s="15"/>
      <c r="E421" s="16"/>
    </row>
    <row r="422" spans="1:5" ht="15" hidden="1">
      <c r="A422" s="15">
        <v>420</v>
      </c>
      <c r="B422" s="19" t="s">
        <v>194</v>
      </c>
      <c r="C422" s="15"/>
      <c r="D422" s="15"/>
      <c r="E422" s="16"/>
    </row>
    <row r="423" spans="1:5" ht="15" hidden="1">
      <c r="A423" s="15">
        <v>421</v>
      </c>
      <c r="B423" s="19" t="s">
        <v>195</v>
      </c>
      <c r="C423" s="15"/>
      <c r="D423" s="15"/>
      <c r="E423" s="16"/>
    </row>
    <row r="424" spans="1:5" ht="15" hidden="1">
      <c r="A424" s="15">
        <v>422</v>
      </c>
      <c r="B424" s="19" t="s">
        <v>1129</v>
      </c>
      <c r="C424" s="15"/>
      <c r="D424" s="15"/>
      <c r="E424" s="16"/>
    </row>
    <row r="425" spans="1:5" ht="15" hidden="1">
      <c r="A425" s="15">
        <v>423</v>
      </c>
      <c r="B425" s="19" t="s">
        <v>196</v>
      </c>
      <c r="C425" s="15"/>
      <c r="D425" s="15"/>
      <c r="E425" s="16"/>
    </row>
    <row r="426" spans="1:5" ht="15" hidden="1">
      <c r="A426" s="15">
        <v>424</v>
      </c>
      <c r="B426" s="19" t="s">
        <v>197</v>
      </c>
      <c r="C426" s="15"/>
      <c r="D426" s="15"/>
      <c r="E426" s="16"/>
    </row>
    <row r="427" spans="1:5" ht="15" hidden="1">
      <c r="A427" s="15">
        <v>425</v>
      </c>
      <c r="B427" s="19" t="s">
        <v>198</v>
      </c>
      <c r="C427" s="15"/>
      <c r="D427" s="15"/>
      <c r="E427" s="16"/>
    </row>
    <row r="428" spans="1:5" ht="15" hidden="1">
      <c r="A428" s="15">
        <v>426</v>
      </c>
      <c r="B428" s="19" t="s">
        <v>199</v>
      </c>
      <c r="C428" s="15"/>
      <c r="D428" s="15"/>
      <c r="E428" s="16"/>
    </row>
    <row r="429" spans="1:5" ht="15" hidden="1">
      <c r="A429" s="15">
        <v>427</v>
      </c>
      <c r="B429" s="19" t="s">
        <v>200</v>
      </c>
      <c r="C429" s="15"/>
      <c r="D429" s="15"/>
      <c r="E429" s="16"/>
    </row>
    <row r="430" spans="1:5" ht="15" hidden="1">
      <c r="A430" s="15">
        <v>428</v>
      </c>
      <c r="B430" s="19" t="s">
        <v>202</v>
      </c>
      <c r="C430" s="15"/>
      <c r="D430" s="15"/>
      <c r="E430" s="16"/>
    </row>
    <row r="431" spans="1:5" ht="15" hidden="1">
      <c r="A431" s="15">
        <v>429</v>
      </c>
      <c r="B431" s="19" t="s">
        <v>203</v>
      </c>
      <c r="C431" s="15"/>
      <c r="D431" s="15"/>
      <c r="E431" s="16"/>
    </row>
    <row r="432" spans="1:5" ht="15" hidden="1">
      <c r="A432" s="15">
        <v>430</v>
      </c>
      <c r="B432" s="19" t="s">
        <v>204</v>
      </c>
      <c r="C432" s="15"/>
      <c r="D432" s="15"/>
      <c r="E432" s="16"/>
    </row>
    <row r="433" spans="1:5" ht="15" hidden="1">
      <c r="A433" s="15">
        <v>431</v>
      </c>
      <c r="B433" s="19" t="s">
        <v>205</v>
      </c>
      <c r="C433" s="15"/>
      <c r="D433" s="15"/>
      <c r="E433" s="16"/>
    </row>
    <row r="434" spans="1:5" ht="15" hidden="1">
      <c r="A434" s="15">
        <v>432</v>
      </c>
      <c r="B434" s="19" t="s">
        <v>206</v>
      </c>
      <c r="C434" s="15"/>
      <c r="D434" s="15"/>
      <c r="E434" s="16"/>
    </row>
    <row r="435" spans="1:5" ht="15" hidden="1">
      <c r="A435" s="15">
        <v>433</v>
      </c>
      <c r="B435" s="19" t="s">
        <v>207</v>
      </c>
      <c r="C435" s="15"/>
      <c r="D435" s="15"/>
      <c r="E435" s="16"/>
    </row>
    <row r="436" spans="1:5" ht="15" hidden="1">
      <c r="A436" s="15">
        <v>434</v>
      </c>
      <c r="B436" s="19" t="s">
        <v>208</v>
      </c>
      <c r="C436" s="15"/>
      <c r="D436" s="15"/>
      <c r="E436" s="16"/>
    </row>
    <row r="437" spans="1:5" ht="15" hidden="1">
      <c r="A437" s="15">
        <v>435</v>
      </c>
      <c r="B437" s="19" t="s">
        <v>209</v>
      </c>
      <c r="C437" s="15"/>
      <c r="D437" s="15"/>
      <c r="E437" s="16"/>
    </row>
    <row r="438" spans="1:5" ht="15" hidden="1">
      <c r="A438" s="15">
        <v>436</v>
      </c>
      <c r="B438" s="19" t="s">
        <v>210</v>
      </c>
      <c r="C438" s="15"/>
      <c r="D438" s="15"/>
      <c r="E438" s="16"/>
    </row>
    <row r="439" spans="1:5" ht="15" hidden="1">
      <c r="A439" s="15">
        <v>437</v>
      </c>
      <c r="B439" s="19" t="s">
        <v>211</v>
      </c>
      <c r="C439" s="15"/>
      <c r="D439" s="15"/>
      <c r="E439" s="16"/>
    </row>
    <row r="440" spans="1:5" ht="15" hidden="1">
      <c r="A440" s="15">
        <v>438</v>
      </c>
      <c r="B440" s="19" t="s">
        <v>212</v>
      </c>
      <c r="C440" s="15"/>
      <c r="D440" s="15"/>
      <c r="E440" s="16"/>
    </row>
    <row r="441" spans="1:5" ht="15" hidden="1">
      <c r="A441" s="15">
        <v>439</v>
      </c>
      <c r="B441" s="19" t="s">
        <v>213</v>
      </c>
      <c r="C441" s="15"/>
      <c r="D441" s="15"/>
      <c r="E441" s="16"/>
    </row>
    <row r="442" spans="1:5" ht="15" hidden="1">
      <c r="A442" s="15">
        <v>440</v>
      </c>
      <c r="B442" s="19" t="s">
        <v>214</v>
      </c>
      <c r="C442" s="15"/>
      <c r="D442" s="15"/>
      <c r="E442" s="16"/>
    </row>
    <row r="443" spans="1:5" ht="15" hidden="1">
      <c r="A443" s="15">
        <v>441</v>
      </c>
      <c r="B443" s="19" t="s">
        <v>215</v>
      </c>
      <c r="C443" s="15"/>
      <c r="D443" s="15"/>
      <c r="E443" s="16"/>
    </row>
    <row r="444" spans="1:5" ht="15" hidden="1">
      <c r="A444" s="15">
        <v>442</v>
      </c>
      <c r="B444" s="19" t="s">
        <v>216</v>
      </c>
      <c r="C444" s="15"/>
      <c r="D444" s="15"/>
      <c r="E444" s="16"/>
    </row>
    <row r="445" spans="1:5" ht="15" hidden="1">
      <c r="A445" s="15">
        <v>443</v>
      </c>
      <c r="B445" s="19" t="s">
        <v>217</v>
      </c>
      <c r="C445" s="15"/>
      <c r="D445" s="15"/>
      <c r="E445" s="16"/>
    </row>
    <row r="446" spans="1:5" ht="15" hidden="1">
      <c r="A446" s="15">
        <v>444</v>
      </c>
      <c r="B446" s="19" t="s">
        <v>218</v>
      </c>
      <c r="C446" s="15"/>
      <c r="D446" s="15"/>
      <c r="E446" s="16"/>
    </row>
    <row r="447" spans="1:5" ht="15" hidden="1">
      <c r="A447" s="15">
        <v>445</v>
      </c>
      <c r="B447" s="19" t="s">
        <v>219</v>
      </c>
      <c r="C447" s="15"/>
      <c r="D447" s="15"/>
      <c r="E447" s="16"/>
    </row>
    <row r="448" spans="1:5" ht="15" hidden="1">
      <c r="A448" s="15">
        <v>446</v>
      </c>
      <c r="B448" s="19" t="s">
        <v>220</v>
      </c>
      <c r="C448" s="15"/>
      <c r="D448" s="15"/>
      <c r="E448" s="16"/>
    </row>
    <row r="449" spans="1:5" ht="15" hidden="1">
      <c r="A449" s="15">
        <v>447</v>
      </c>
      <c r="B449" s="19" t="s">
        <v>221</v>
      </c>
      <c r="C449" s="15"/>
      <c r="D449" s="15"/>
      <c r="E449" s="16"/>
    </row>
    <row r="450" spans="1:5" ht="15" hidden="1">
      <c r="A450" s="15">
        <v>448</v>
      </c>
      <c r="B450" s="19" t="s">
        <v>222</v>
      </c>
      <c r="C450" s="15"/>
      <c r="D450" s="15"/>
      <c r="E450" s="16"/>
    </row>
    <row r="451" spans="1:5" ht="15" hidden="1">
      <c r="A451" s="15">
        <v>449</v>
      </c>
      <c r="B451" s="19" t="s">
        <v>223</v>
      </c>
      <c r="C451" s="15"/>
      <c r="D451" s="15"/>
      <c r="E451" s="16"/>
    </row>
    <row r="452" spans="1:5" ht="15" hidden="1">
      <c r="A452" s="15">
        <v>450</v>
      </c>
      <c r="B452" s="19" t="s">
        <v>224</v>
      </c>
      <c r="C452" s="15"/>
      <c r="D452" s="15"/>
      <c r="E452" s="16"/>
    </row>
    <row r="453" spans="1:5" ht="15" hidden="1">
      <c r="A453" s="15">
        <v>451</v>
      </c>
      <c r="B453" s="19" t="s">
        <v>225</v>
      </c>
      <c r="C453" s="15"/>
      <c r="D453" s="15"/>
      <c r="E453" s="16"/>
    </row>
    <row r="454" spans="1:5" ht="15" hidden="1">
      <c r="A454" s="15">
        <v>452</v>
      </c>
      <c r="B454" s="19" t="s">
        <v>226</v>
      </c>
      <c r="C454" s="15"/>
      <c r="D454" s="15"/>
      <c r="E454" s="16"/>
    </row>
    <row r="455" spans="1:5" ht="15" hidden="1">
      <c r="A455" s="15">
        <v>453</v>
      </c>
      <c r="B455" s="19" t="s">
        <v>227</v>
      </c>
      <c r="C455" s="15"/>
      <c r="D455" s="15"/>
      <c r="E455" s="16"/>
    </row>
    <row r="456" spans="1:5" ht="15" hidden="1">
      <c r="A456" s="15">
        <v>454</v>
      </c>
      <c r="B456" s="19" t="s">
        <v>228</v>
      </c>
      <c r="C456" s="15"/>
      <c r="D456" s="15"/>
      <c r="E456" s="16"/>
    </row>
    <row r="457" spans="1:5" ht="15" hidden="1">
      <c r="A457" s="15">
        <v>455</v>
      </c>
      <c r="B457" s="19" t="s">
        <v>229</v>
      </c>
      <c r="C457" s="15"/>
      <c r="D457" s="15"/>
      <c r="E457" s="16"/>
    </row>
    <row r="458" spans="1:5" ht="15" hidden="1">
      <c r="A458" s="15">
        <v>456</v>
      </c>
      <c r="B458" s="19" t="s">
        <v>230</v>
      </c>
      <c r="C458" s="15"/>
      <c r="D458" s="15"/>
      <c r="E458" s="16"/>
    </row>
    <row r="459" spans="1:5" ht="15" hidden="1">
      <c r="A459" s="15">
        <v>457</v>
      </c>
      <c r="B459" s="19" t="s">
        <v>231</v>
      </c>
      <c r="C459" s="15"/>
      <c r="D459" s="15"/>
      <c r="E459" s="16"/>
    </row>
    <row r="460" spans="1:5" ht="15" hidden="1">
      <c r="A460" s="3">
        <v>2001</v>
      </c>
      <c r="B460" s="21" t="s">
        <v>1027</v>
      </c>
      <c r="C460" s="22"/>
      <c r="D460" s="13"/>
      <c r="E460" s="17"/>
    </row>
    <row r="461" spans="1:5" ht="15" hidden="1">
      <c r="A461" s="3">
        <v>2002</v>
      </c>
      <c r="B461" s="21" t="s">
        <v>1028</v>
      </c>
      <c r="C461" s="22"/>
      <c r="D461" s="13"/>
      <c r="E461" s="17"/>
    </row>
    <row r="462" spans="1:5" ht="15">
      <c r="A462" s="3">
        <v>2003</v>
      </c>
      <c r="B462" s="21" t="s">
        <v>1029</v>
      </c>
      <c r="C462" s="22" t="s">
        <v>1030</v>
      </c>
      <c r="D462" s="13">
        <v>1</v>
      </c>
      <c r="E462" s="15" t="s">
        <v>1031</v>
      </c>
    </row>
    <row r="463" spans="1:5" ht="15" hidden="1">
      <c r="A463" s="3">
        <v>2006</v>
      </c>
      <c r="B463" s="21" t="s">
        <v>1032</v>
      </c>
      <c r="C463" s="22"/>
      <c r="D463" s="13"/>
      <c r="E463" s="15"/>
    </row>
    <row r="464" spans="1:5" ht="15" hidden="1">
      <c r="A464" s="3">
        <v>2007</v>
      </c>
      <c r="B464" s="21" t="s">
        <v>1033</v>
      </c>
      <c r="C464" s="22"/>
      <c r="D464" s="15"/>
      <c r="E464" s="16"/>
    </row>
    <row r="465" spans="1:5" ht="15">
      <c r="A465" s="3">
        <v>2008</v>
      </c>
      <c r="B465" s="21" t="s">
        <v>1034</v>
      </c>
      <c r="C465" s="22" t="s">
        <v>1035</v>
      </c>
      <c r="D465" s="15">
        <v>2</v>
      </c>
      <c r="E465" s="15" t="s">
        <v>1036</v>
      </c>
    </row>
    <row r="466" spans="1:5" ht="15" hidden="1">
      <c r="A466" s="3">
        <v>2011</v>
      </c>
      <c r="B466" s="21" t="s">
        <v>1037</v>
      </c>
      <c r="C466" s="22"/>
      <c r="D466" s="15"/>
      <c r="E466" s="15"/>
    </row>
    <row r="467" spans="1:5" ht="15" hidden="1">
      <c r="A467" s="3">
        <v>2012</v>
      </c>
      <c r="B467" s="21" t="s">
        <v>1038</v>
      </c>
      <c r="C467" s="22"/>
      <c r="D467" s="15"/>
      <c r="E467" s="16"/>
    </row>
    <row r="468" spans="1:5" ht="15">
      <c r="A468" s="3">
        <v>2013</v>
      </c>
      <c r="B468" s="21" t="s">
        <v>1039</v>
      </c>
      <c r="C468" s="22" t="s">
        <v>1040</v>
      </c>
      <c r="D468" s="15">
        <v>1</v>
      </c>
      <c r="E468" s="15"/>
    </row>
    <row r="469" spans="1:5" ht="15" hidden="1">
      <c r="A469" s="3">
        <v>2016</v>
      </c>
      <c r="B469" s="21" t="s">
        <v>1041</v>
      </c>
      <c r="C469" s="22"/>
      <c r="D469" s="15"/>
      <c r="E469" s="16"/>
    </row>
    <row r="470" spans="1:5" ht="15" hidden="1">
      <c r="A470" s="3">
        <v>2017</v>
      </c>
      <c r="B470" s="21" t="s">
        <v>1042</v>
      </c>
      <c r="C470" s="22"/>
      <c r="D470" s="15"/>
      <c r="E470" s="16"/>
    </row>
    <row r="471" spans="1:5" ht="15">
      <c r="A471" s="3">
        <v>2018</v>
      </c>
      <c r="B471" s="21" t="s">
        <v>1043</v>
      </c>
      <c r="C471" s="22" t="s">
        <v>1044</v>
      </c>
      <c r="D471" s="15">
        <v>2</v>
      </c>
      <c r="E471" s="15"/>
    </row>
    <row r="472" spans="1:5" ht="15" hidden="1">
      <c r="A472" s="3">
        <v>2021</v>
      </c>
      <c r="B472" s="21" t="s">
        <v>1045</v>
      </c>
      <c r="C472" s="22"/>
      <c r="D472" s="15"/>
      <c r="E472" s="16"/>
    </row>
    <row r="473" spans="1:5" ht="15" hidden="1">
      <c r="A473" s="3">
        <v>2022</v>
      </c>
      <c r="B473" s="21" t="s">
        <v>1046</v>
      </c>
      <c r="C473" s="22"/>
      <c r="D473" s="15"/>
      <c r="E473" s="16"/>
    </row>
    <row r="474" spans="1:5" ht="15" hidden="1">
      <c r="A474" s="3">
        <v>2023</v>
      </c>
      <c r="B474" s="21" t="s">
        <v>1047</v>
      </c>
      <c r="C474" s="22"/>
      <c r="D474" s="15"/>
      <c r="E474" s="16"/>
    </row>
    <row r="475" spans="1:5" ht="15" hidden="1">
      <c r="A475" s="3">
        <v>2026</v>
      </c>
      <c r="B475" s="21" t="s">
        <v>1048</v>
      </c>
      <c r="C475" s="22"/>
      <c r="D475" s="15"/>
      <c r="E475" s="16"/>
    </row>
    <row r="476" spans="1:5" ht="15" hidden="1">
      <c r="A476" s="3">
        <v>2027</v>
      </c>
      <c r="B476" s="21" t="s">
        <v>1049</v>
      </c>
      <c r="C476" s="22"/>
      <c r="D476" s="15"/>
      <c r="E476" s="16"/>
    </row>
    <row r="477" spans="1:5" ht="15" hidden="1">
      <c r="A477" s="3">
        <v>2028</v>
      </c>
      <c r="B477" s="21" t="s">
        <v>1050</v>
      </c>
      <c r="C477" s="22"/>
      <c r="D477" s="15"/>
      <c r="E477" s="16"/>
    </row>
    <row r="478" spans="1:5" ht="15" hidden="1">
      <c r="A478" s="3">
        <v>2030</v>
      </c>
      <c r="B478" s="23" t="s">
        <v>269</v>
      </c>
      <c r="C478" s="24"/>
      <c r="D478" s="15"/>
      <c r="E478" s="16"/>
    </row>
    <row r="479" spans="1:5" ht="15" hidden="1">
      <c r="A479" s="3">
        <v>2035</v>
      </c>
      <c r="B479" s="23" t="s">
        <v>271</v>
      </c>
      <c r="C479" s="24"/>
      <c r="D479" s="15"/>
      <c r="E479" s="16"/>
    </row>
    <row r="480" spans="1:5" ht="15" hidden="1">
      <c r="A480" s="3">
        <v>2040</v>
      </c>
      <c r="B480" s="23" t="s">
        <v>272</v>
      </c>
      <c r="C480" s="24"/>
      <c r="D480" s="15"/>
      <c r="E480" s="16"/>
    </row>
    <row r="481" spans="1:5" ht="15" hidden="1">
      <c r="A481" s="3">
        <v>2045</v>
      </c>
      <c r="B481" s="23" t="s">
        <v>273</v>
      </c>
      <c r="C481" s="24"/>
      <c r="D481" s="15"/>
      <c r="E481" s="16"/>
    </row>
    <row r="482" spans="1:5" ht="15" hidden="1">
      <c r="A482" s="3">
        <v>2051</v>
      </c>
      <c r="B482" s="21" t="s">
        <v>1051</v>
      </c>
      <c r="C482" s="22"/>
      <c r="D482" s="15"/>
      <c r="E482" s="16"/>
    </row>
    <row r="483" spans="1:5" ht="15" hidden="1">
      <c r="A483" s="3">
        <v>2052</v>
      </c>
      <c r="B483" s="21" t="s">
        <v>1052</v>
      </c>
      <c r="C483" s="22"/>
      <c r="D483" s="15"/>
      <c r="E483" s="16"/>
    </row>
    <row r="484" spans="1:5" ht="15">
      <c r="A484" s="3">
        <v>2053</v>
      </c>
      <c r="B484" s="21" t="s">
        <v>1053</v>
      </c>
      <c r="C484" s="22" t="s">
        <v>1044</v>
      </c>
      <c r="D484" s="15">
        <v>3</v>
      </c>
      <c r="E484" s="15" t="s">
        <v>1054</v>
      </c>
    </row>
    <row r="485" spans="1:5" ht="15" hidden="1">
      <c r="A485" s="3">
        <v>2056</v>
      </c>
      <c r="B485" s="21" t="s">
        <v>1055</v>
      </c>
      <c r="C485" s="22"/>
      <c r="D485" s="15"/>
      <c r="E485" s="16"/>
    </row>
    <row r="486" spans="1:5" ht="15" hidden="1">
      <c r="A486" s="3">
        <v>2057</v>
      </c>
      <c r="B486" s="21" t="s">
        <v>1056</v>
      </c>
      <c r="C486" s="22"/>
      <c r="D486" s="15"/>
      <c r="E486" s="16"/>
    </row>
    <row r="487" spans="1:5" ht="15">
      <c r="A487" s="3">
        <v>2058</v>
      </c>
      <c r="B487" s="21" t="s">
        <v>1057</v>
      </c>
      <c r="C487" s="22" t="s">
        <v>1058</v>
      </c>
      <c r="D487" s="15">
        <v>3</v>
      </c>
      <c r="E487" s="15" t="s">
        <v>1054</v>
      </c>
    </row>
    <row r="488" spans="1:5" ht="15" hidden="1">
      <c r="A488" s="3">
        <v>2071</v>
      </c>
      <c r="B488" s="23" t="s">
        <v>1060</v>
      </c>
      <c r="C488" s="24"/>
      <c r="D488" s="15"/>
      <c r="E488" s="16"/>
    </row>
    <row r="489" spans="1:5" ht="15" hidden="1">
      <c r="A489" s="3">
        <v>2072</v>
      </c>
      <c r="B489" s="23" t="s">
        <v>1061</v>
      </c>
      <c r="C489" s="24"/>
      <c r="D489" s="15"/>
      <c r="E489" s="16"/>
    </row>
    <row r="490" spans="1:5" ht="15">
      <c r="A490" s="3">
        <v>2073</v>
      </c>
      <c r="B490" s="23" t="s">
        <v>1062</v>
      </c>
      <c r="C490" s="25" t="s">
        <v>1063</v>
      </c>
      <c r="D490" s="15">
        <v>2</v>
      </c>
      <c r="E490" s="15" t="s">
        <v>1064</v>
      </c>
    </row>
    <row r="491" spans="1:5" ht="15" hidden="1">
      <c r="A491" s="3">
        <v>2076</v>
      </c>
      <c r="B491" s="21" t="s">
        <v>1065</v>
      </c>
      <c r="C491" s="22"/>
      <c r="D491" s="15"/>
      <c r="E491" s="16"/>
    </row>
    <row r="492" spans="1:5" ht="15" hidden="1">
      <c r="A492" s="3">
        <v>2077</v>
      </c>
      <c r="B492" s="21" t="s">
        <v>1066</v>
      </c>
      <c r="C492" s="22"/>
      <c r="D492" s="15"/>
      <c r="E492" s="16"/>
    </row>
    <row r="493" spans="1:5" ht="15">
      <c r="A493" s="3">
        <v>2078</v>
      </c>
      <c r="B493" s="21" t="s">
        <v>1067</v>
      </c>
      <c r="C493" s="22" t="s">
        <v>1068</v>
      </c>
      <c r="D493" s="15">
        <v>1</v>
      </c>
      <c r="E493" s="15" t="s">
        <v>1020</v>
      </c>
    </row>
    <row r="494" spans="1:5" ht="15" hidden="1">
      <c r="A494" s="3">
        <v>2081</v>
      </c>
      <c r="B494" s="21" t="s">
        <v>1069</v>
      </c>
      <c r="C494" s="22"/>
      <c r="D494" s="15"/>
      <c r="E494" s="16"/>
    </row>
    <row r="495" spans="1:5" ht="15" hidden="1">
      <c r="A495" s="3">
        <v>2082</v>
      </c>
      <c r="B495" s="21" t="s">
        <v>1070</v>
      </c>
      <c r="C495" s="22"/>
      <c r="D495" s="15"/>
      <c r="E495" s="16"/>
    </row>
    <row r="496" spans="1:5" ht="15">
      <c r="A496" s="3">
        <v>2083</v>
      </c>
      <c r="B496" s="21" t="s">
        <v>1071</v>
      </c>
      <c r="C496" s="22" t="s">
        <v>1044</v>
      </c>
      <c r="D496" s="15">
        <v>3</v>
      </c>
      <c r="E496" s="15"/>
    </row>
    <row r="497" spans="1:5" ht="15" hidden="1">
      <c r="A497" s="3">
        <v>2086</v>
      </c>
      <c r="B497" s="21" t="s">
        <v>1072</v>
      </c>
      <c r="C497" s="22"/>
      <c r="D497" s="15"/>
      <c r="E497" s="16"/>
    </row>
    <row r="498" spans="1:5" ht="15" hidden="1">
      <c r="A498" s="3">
        <v>2087</v>
      </c>
      <c r="B498" s="21" t="s">
        <v>1073</v>
      </c>
      <c r="C498" s="22"/>
      <c r="D498" s="15"/>
      <c r="E498" s="16"/>
    </row>
    <row r="499" spans="1:5" ht="15">
      <c r="A499" s="3">
        <v>2088</v>
      </c>
      <c r="B499" s="21" t="s">
        <v>1074</v>
      </c>
      <c r="C499" s="22" t="s">
        <v>1044</v>
      </c>
      <c r="D499" s="15">
        <v>3</v>
      </c>
      <c r="E499" s="15"/>
    </row>
    <row r="500" spans="1:5" ht="15" hidden="1">
      <c r="A500" s="3">
        <v>2091</v>
      </c>
      <c r="B500" s="21" t="s">
        <v>1075</v>
      </c>
      <c r="C500" s="22"/>
      <c r="D500" s="15"/>
      <c r="E500" s="16"/>
    </row>
    <row r="501" spans="1:5" ht="15" hidden="1">
      <c r="A501" s="3">
        <v>2092</v>
      </c>
      <c r="B501" s="21" t="s">
        <v>1076</v>
      </c>
      <c r="C501" s="22"/>
      <c r="D501" s="15"/>
      <c r="E501" s="16"/>
    </row>
    <row r="502" spans="1:5" ht="15">
      <c r="A502" s="3">
        <v>2093</v>
      </c>
      <c r="B502" s="21" t="s">
        <v>1077</v>
      </c>
      <c r="C502" s="22" t="s">
        <v>1044</v>
      </c>
      <c r="D502" s="15">
        <v>3</v>
      </c>
      <c r="E502" s="15"/>
    </row>
    <row r="503" spans="1:5" ht="15" hidden="1">
      <c r="A503" s="3">
        <v>2095</v>
      </c>
      <c r="B503" s="23" t="s">
        <v>864</v>
      </c>
      <c r="C503" s="24"/>
      <c r="D503" s="15"/>
      <c r="E503" s="16"/>
    </row>
    <row r="504" spans="1:5" ht="15" hidden="1">
      <c r="A504" s="3">
        <v>2100</v>
      </c>
      <c r="B504" s="23" t="s">
        <v>865</v>
      </c>
      <c r="C504" s="24"/>
      <c r="D504" s="15"/>
      <c r="E504" s="16"/>
    </row>
    <row r="505" spans="1:5" ht="15" hidden="1">
      <c r="A505" s="3">
        <v>2105</v>
      </c>
      <c r="B505" s="23" t="s">
        <v>866</v>
      </c>
      <c r="C505" s="24"/>
      <c r="D505" s="15"/>
      <c r="E505" s="16"/>
    </row>
    <row r="506" spans="1:5" ht="15" hidden="1">
      <c r="A506" s="3">
        <v>2110</v>
      </c>
      <c r="B506" s="23" t="s">
        <v>291</v>
      </c>
      <c r="C506" s="24"/>
      <c r="D506" s="15"/>
      <c r="E506" s="16"/>
    </row>
    <row r="507" spans="1:5" ht="15" hidden="1">
      <c r="A507" s="3">
        <v>2115</v>
      </c>
      <c r="B507" s="23" t="s">
        <v>867</v>
      </c>
      <c r="C507" s="24"/>
      <c r="D507" s="15"/>
      <c r="E507" s="16"/>
    </row>
    <row r="508" spans="1:5" ht="15" hidden="1">
      <c r="A508" s="3">
        <v>2120</v>
      </c>
      <c r="B508" s="23" t="s">
        <v>868</v>
      </c>
      <c r="C508" s="24"/>
      <c r="D508" s="15"/>
      <c r="E508" s="16"/>
    </row>
    <row r="509" spans="1:5" ht="15" hidden="1">
      <c r="A509" s="3">
        <v>2125</v>
      </c>
      <c r="B509" s="23" t="s">
        <v>299</v>
      </c>
      <c r="C509" s="24"/>
      <c r="D509" s="15"/>
      <c r="E509" s="16"/>
    </row>
    <row r="510" spans="1:5" ht="15" hidden="1">
      <c r="A510" s="3">
        <v>2130</v>
      </c>
      <c r="B510" s="23" t="s">
        <v>869</v>
      </c>
      <c r="C510" s="24"/>
      <c r="D510" s="15"/>
      <c r="E510" s="16"/>
    </row>
    <row r="511" spans="1:5" ht="15" hidden="1">
      <c r="A511" s="3">
        <v>2135</v>
      </c>
      <c r="B511" s="23" t="s">
        <v>870</v>
      </c>
      <c r="C511" s="24"/>
      <c r="D511" s="15"/>
      <c r="E511" s="16"/>
    </row>
    <row r="512" spans="1:5" ht="15" hidden="1">
      <c r="A512" s="3">
        <v>2140</v>
      </c>
      <c r="B512" s="23" t="s">
        <v>871</v>
      </c>
      <c r="C512" s="24"/>
      <c r="D512" s="15"/>
      <c r="E512" s="16"/>
    </row>
    <row r="513" spans="1:5" ht="15" hidden="1">
      <c r="A513" s="3">
        <v>2145</v>
      </c>
      <c r="B513" s="23" t="s">
        <v>872</v>
      </c>
      <c r="C513" s="24"/>
      <c r="D513" s="15"/>
      <c r="E513" s="16"/>
    </row>
    <row r="514" spans="1:5" ht="15" hidden="1">
      <c r="A514" s="3">
        <v>2150</v>
      </c>
      <c r="B514" s="23" t="s">
        <v>873</v>
      </c>
      <c r="C514" s="24"/>
      <c r="D514" s="15"/>
      <c r="E514" s="16"/>
    </row>
    <row r="515" spans="1:5" ht="15" hidden="1">
      <c r="A515" s="3">
        <v>2155</v>
      </c>
      <c r="B515" s="23" t="s">
        <v>874</v>
      </c>
      <c r="C515" s="24"/>
      <c r="D515" s="15"/>
      <c r="E515" s="16"/>
    </row>
    <row r="516" spans="1:5" ht="15" hidden="1">
      <c r="A516" s="3">
        <v>2160</v>
      </c>
      <c r="B516" s="23" t="s">
        <v>303</v>
      </c>
      <c r="C516" s="24"/>
      <c r="D516" s="15"/>
      <c r="E516" s="16"/>
    </row>
    <row r="517" spans="1:5" ht="15" hidden="1">
      <c r="A517" s="3">
        <v>2165</v>
      </c>
      <c r="B517" s="23" t="s">
        <v>875</v>
      </c>
      <c r="C517" s="24"/>
      <c r="D517" s="15"/>
      <c r="E517" s="16"/>
    </row>
    <row r="518" spans="1:5" ht="15" hidden="1">
      <c r="A518" s="3">
        <v>2170</v>
      </c>
      <c r="B518" s="23" t="s">
        <v>876</v>
      </c>
      <c r="C518" s="24"/>
      <c r="D518" s="15"/>
      <c r="E518" s="16"/>
    </row>
    <row r="519" spans="1:5" ht="15" hidden="1">
      <c r="A519" s="3">
        <v>2175</v>
      </c>
      <c r="B519" s="23" t="s">
        <v>877</v>
      </c>
      <c r="C519" s="24"/>
      <c r="D519" s="15"/>
      <c r="E519" s="16"/>
    </row>
    <row r="520" spans="1:5" ht="15" hidden="1">
      <c r="A520" s="3">
        <v>2180</v>
      </c>
      <c r="B520" s="23" t="s">
        <v>306</v>
      </c>
      <c r="C520" s="24"/>
      <c r="D520" s="15"/>
      <c r="E520" s="16"/>
    </row>
    <row r="521" spans="1:5" ht="15" hidden="1">
      <c r="A521" s="3">
        <v>2185</v>
      </c>
      <c r="B521" s="23" t="s">
        <v>1135</v>
      </c>
      <c r="C521" s="24"/>
      <c r="D521" s="15"/>
      <c r="E521" s="16"/>
    </row>
    <row r="522" spans="1:5" ht="15" hidden="1">
      <c r="A522" s="3">
        <v>2190</v>
      </c>
      <c r="B522" s="23" t="s">
        <v>878</v>
      </c>
      <c r="C522" s="24"/>
      <c r="D522" s="15"/>
      <c r="E522" s="16"/>
    </row>
    <row r="523" spans="1:5" ht="15" hidden="1">
      <c r="A523" s="3">
        <v>2196</v>
      </c>
      <c r="B523" s="21" t="s">
        <v>1078</v>
      </c>
      <c r="C523" s="22"/>
      <c r="D523" s="15"/>
      <c r="E523" s="16"/>
    </row>
    <row r="524" spans="1:5" ht="15" hidden="1">
      <c r="A524" s="3">
        <v>2197</v>
      </c>
      <c r="B524" s="21" t="s">
        <v>1079</v>
      </c>
      <c r="C524" s="22"/>
      <c r="D524" s="15"/>
      <c r="E524" s="16"/>
    </row>
    <row r="525" spans="1:5" ht="15" hidden="1">
      <c r="A525" s="3">
        <v>2198</v>
      </c>
      <c r="B525" s="21" t="s">
        <v>1080</v>
      </c>
      <c r="C525" s="22"/>
      <c r="D525" s="15"/>
      <c r="E525" s="16"/>
    </row>
    <row r="526" spans="1:5" ht="15">
      <c r="A526" s="3">
        <v>2200</v>
      </c>
      <c r="B526" s="23" t="s">
        <v>881</v>
      </c>
      <c r="C526" s="25" t="s">
        <v>1084</v>
      </c>
      <c r="D526" s="15">
        <v>2</v>
      </c>
      <c r="E526" s="15"/>
    </row>
    <row r="527" spans="1:5" ht="15">
      <c r="A527" s="3">
        <v>2205</v>
      </c>
      <c r="B527" s="23" t="s">
        <v>882</v>
      </c>
      <c r="C527" s="25" t="s">
        <v>1063</v>
      </c>
      <c r="D527" s="15">
        <v>2</v>
      </c>
      <c r="E527" s="15"/>
    </row>
    <row r="528" spans="1:5" ht="15">
      <c r="A528" s="3">
        <v>2210</v>
      </c>
      <c r="B528" s="23" t="s">
        <v>883</v>
      </c>
      <c r="C528" s="25" t="s">
        <v>1063</v>
      </c>
      <c r="D528" s="15">
        <v>3</v>
      </c>
      <c r="E528" s="15"/>
    </row>
    <row r="529" spans="1:5" ht="15">
      <c r="A529" s="3">
        <v>2215</v>
      </c>
      <c r="B529" s="23" t="s">
        <v>884</v>
      </c>
      <c r="C529" s="25" t="s">
        <v>1063</v>
      </c>
      <c r="D529" s="15">
        <v>3</v>
      </c>
      <c r="E529" s="15"/>
    </row>
    <row r="530" spans="1:5" ht="15" hidden="1">
      <c r="A530" s="3">
        <v>2221</v>
      </c>
      <c r="B530" s="23" t="s">
        <v>1081</v>
      </c>
      <c r="C530" s="24"/>
      <c r="D530" s="15"/>
      <c r="E530" s="16"/>
    </row>
    <row r="531" spans="1:5" ht="15" hidden="1">
      <c r="A531" s="3">
        <v>2222</v>
      </c>
      <c r="B531" s="23" t="s">
        <v>1082</v>
      </c>
      <c r="C531" s="24"/>
      <c r="D531" s="15"/>
      <c r="E531" s="16"/>
    </row>
    <row r="532" spans="1:5" ht="15">
      <c r="A532" s="3">
        <v>2223</v>
      </c>
      <c r="B532" s="23" t="s">
        <v>1083</v>
      </c>
      <c r="C532" s="25" t="s">
        <v>1063</v>
      </c>
      <c r="D532" s="15">
        <v>3</v>
      </c>
      <c r="E532" s="15" t="s">
        <v>1064</v>
      </c>
    </row>
    <row r="533" spans="1:5" ht="15" hidden="1">
      <c r="A533" s="3">
        <v>2226</v>
      </c>
      <c r="B533" s="4" t="s">
        <v>1136</v>
      </c>
      <c r="C533" s="26"/>
      <c r="D533" s="15"/>
      <c r="E533" s="16"/>
    </row>
    <row r="534" spans="1:5" ht="15" hidden="1">
      <c r="A534" s="3">
        <v>2227</v>
      </c>
      <c r="B534" s="4" t="s">
        <v>1137</v>
      </c>
      <c r="C534" s="3"/>
      <c r="D534" s="3"/>
      <c r="E534" s="3"/>
    </row>
    <row r="535" spans="1:5" ht="15">
      <c r="A535" s="3">
        <v>2228</v>
      </c>
      <c r="B535" s="4" t="s">
        <v>1138</v>
      </c>
      <c r="C535" s="22" t="s">
        <v>1035</v>
      </c>
      <c r="D535" s="15">
        <v>3</v>
      </c>
      <c r="E535" s="15" t="s">
        <v>1054</v>
      </c>
    </row>
    <row r="536" spans="1:5" ht="15" hidden="1">
      <c r="A536" s="3">
        <v>2231</v>
      </c>
      <c r="B536" s="27" t="s">
        <v>1139</v>
      </c>
      <c r="C536" s="3"/>
      <c r="D536" s="3"/>
      <c r="E536" s="3"/>
    </row>
    <row r="537" spans="1:5" ht="15" hidden="1">
      <c r="A537" s="3">
        <v>2232</v>
      </c>
      <c r="B537" s="27" t="s">
        <v>1140</v>
      </c>
      <c r="C537" s="3"/>
      <c r="D537" s="3"/>
      <c r="E537" s="3"/>
    </row>
    <row r="538" spans="1:5" ht="15">
      <c r="A538" s="3">
        <v>2233</v>
      </c>
      <c r="B538" s="27" t="s">
        <v>1141</v>
      </c>
      <c r="C538" s="22" t="s">
        <v>1035</v>
      </c>
      <c r="D538" s="15">
        <v>2</v>
      </c>
      <c r="E538" s="15" t="s">
        <v>1064</v>
      </c>
    </row>
    <row r="539" spans="1:5" ht="15" hidden="1">
      <c r="A539" s="3">
        <v>2235</v>
      </c>
      <c r="B539" s="27" t="s">
        <v>893</v>
      </c>
      <c r="C539" s="3"/>
      <c r="D539" s="3"/>
      <c r="E539" s="3"/>
    </row>
  </sheetData>
  <autoFilter ref="A1:D539">
    <filterColumn colId="3">
      <customFilters>
        <customFilter operator="notEqual" val=" "/>
      </customFilters>
    </filterColumn>
  </autoFilter>
  <phoneticPr fontId="5" type="noConversion"/>
  <conditionalFormatting sqref="C460:C533">
    <cfRule type="expression" dxfId="10" priority="13">
      <formula>#REF!=1</formula>
    </cfRule>
  </conditionalFormatting>
  <conditionalFormatting sqref="B478:B481">
    <cfRule type="expression" dxfId="9" priority="12">
      <formula>#REF!=1</formula>
    </cfRule>
  </conditionalFormatting>
  <conditionalFormatting sqref="B488:B490">
    <cfRule type="expression" dxfId="8" priority="11">
      <formula>#REF!=1</formula>
    </cfRule>
  </conditionalFormatting>
  <conditionalFormatting sqref="B491:B493">
    <cfRule type="expression" dxfId="7" priority="10">
      <formula>#REF!=1</formula>
    </cfRule>
  </conditionalFormatting>
  <conditionalFormatting sqref="B494">
    <cfRule type="expression" dxfId="6" priority="9">
      <formula>#REF!=1</formula>
    </cfRule>
  </conditionalFormatting>
  <conditionalFormatting sqref="B503:B522">
    <cfRule type="expression" dxfId="5" priority="8">
      <formula>#REF!=1</formula>
    </cfRule>
  </conditionalFormatting>
  <conditionalFormatting sqref="B526:B529">
    <cfRule type="expression" dxfId="4" priority="7">
      <formula>#REF!=1</formula>
    </cfRule>
  </conditionalFormatting>
  <conditionalFormatting sqref="B530:B532">
    <cfRule type="expression" dxfId="3" priority="6">
      <formula>#REF!=1</formula>
    </cfRule>
  </conditionalFormatting>
  <conditionalFormatting sqref="B533:B535">
    <cfRule type="expression" dxfId="2" priority="4">
      <formula>#REF!=1</formula>
    </cfRule>
  </conditionalFormatting>
  <conditionalFormatting sqref="C535">
    <cfRule type="expression" dxfId="1" priority="2">
      <formula>#REF!=1</formula>
    </cfRule>
  </conditionalFormatting>
  <conditionalFormatting sqref="C538">
    <cfRule type="expression" dxfId="0" priority="1">
      <formula>#REF!=1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6.0-RDB通讯协议</vt:lpstr>
      <vt:lpstr>6.0故障码解析</vt:lpstr>
      <vt:lpstr>'6.0-RDB通讯协议'!Print_Titles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2018-05-02T15:00:04Z</dcterms:modified>
</cp:coreProperties>
</file>